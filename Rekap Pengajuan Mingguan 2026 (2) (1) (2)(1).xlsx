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5601B563-CCA6-4ED1-98B8-6E4F2747A2D8}" xr6:coauthVersionLast="45" xr6:coauthVersionMax="47" xr10:uidLastSave="{00000000-0000-0000-0000-000000000000}"/>
  <bookViews>
    <workbookView xWindow="45" yWindow="0" windowWidth="21195" windowHeight="15345" firstSheet="73" activeTab="78" xr2:uid="{00000000-000D-0000-FFFF-FFFF00000000}"/>
  </bookViews>
  <sheets>
    <sheet name="Tgl 9" sheetId="1" r:id="rId1"/>
    <sheet name="Sheet2" sheetId="2" r:id="rId2"/>
    <sheet name="Tgl 10" sheetId="3" r:id="rId3"/>
    <sheet name="Pengan Juan Rt Bu Ani" sheetId="4" r:id="rId4"/>
    <sheet name="Sheet5" sheetId="5" r:id="rId5"/>
    <sheet name="Sheet8" sheetId="9" r:id="rId6"/>
    <sheet name="Pengajuan RT BU Ani " sheetId="6" r:id="rId7"/>
    <sheet name="Sheet6" sheetId="7" r:id="rId8"/>
    <sheet name="Sheet9" sheetId="12" r:id="rId9"/>
    <sheet name="Pengajuan RT Bu Ani 3" sheetId="13" r:id="rId10"/>
    <sheet name="Sheet11" sheetId="14" r:id="rId11"/>
    <sheet name="Sheet 12" sheetId="21" r:id="rId12"/>
    <sheet name="Pengajuan RT bu Ani ke 4" sheetId="20" r:id="rId13"/>
    <sheet name="Sheet14" sheetId="22" r:id="rId14"/>
    <sheet name="Sheet 15" sheetId="23" r:id="rId15"/>
    <sheet name="Pengajuan RT bu Ani ke 5" sheetId="24" r:id="rId16"/>
    <sheet name="Sheet 16" sheetId="26" r:id="rId17"/>
    <sheet name="Sheet17" sheetId="27" r:id="rId18"/>
    <sheet name="Pengajuan Ke 6 " sheetId="28" r:id="rId19"/>
    <sheet name="Sheet19" sheetId="29" r:id="rId20"/>
    <sheet name="Sheet1" sheetId="30" r:id="rId21"/>
    <sheet name="Pengauan Ke 7 RT BU Ani " sheetId="31" r:id="rId22"/>
    <sheet name="Sheet4" sheetId="32" r:id="rId23"/>
    <sheet name="Sheet3" sheetId="33" r:id="rId24"/>
    <sheet name="Pengajuan Ke 8 RT BU Ani " sheetId="34" r:id="rId25"/>
    <sheet name="Sheet7" sheetId="35" r:id="rId26"/>
    <sheet name="Sheet10" sheetId="36" r:id="rId27"/>
    <sheet name="Sheet12" sheetId="37" r:id="rId28"/>
    <sheet name="Sheet13" sheetId="38" r:id="rId29"/>
    <sheet name="Sheet15" sheetId="39" r:id="rId30"/>
    <sheet name="Sheet16" sheetId="40" r:id="rId31"/>
    <sheet name="Sheet18" sheetId="41" r:id="rId32"/>
    <sheet name="Sheet20" sheetId="42" r:id="rId33"/>
    <sheet name="Sheet21" sheetId="43" r:id="rId34"/>
    <sheet name="Sheet22" sheetId="44" r:id="rId35"/>
    <sheet name="Sheet23" sheetId="45" r:id="rId36"/>
    <sheet name="Sheet24" sheetId="46" r:id="rId37"/>
    <sheet name="Sheet25" sheetId="47" r:id="rId38"/>
    <sheet name="Sheet26" sheetId="48" r:id="rId39"/>
    <sheet name="Sheet27" sheetId="49" r:id="rId40"/>
    <sheet name="Sheet28" sheetId="50" r:id="rId41"/>
    <sheet name="Sheet29" sheetId="51" r:id="rId42"/>
    <sheet name="Sheet30" sheetId="52" r:id="rId43"/>
    <sheet name="Sheet31" sheetId="53" r:id="rId44"/>
    <sheet name="Sheet32" sheetId="54" r:id="rId45"/>
    <sheet name="Sheet33" sheetId="55" r:id="rId46"/>
    <sheet name="Sheet34" sheetId="56" r:id="rId47"/>
    <sheet name="Sheet35" sheetId="57" r:id="rId48"/>
    <sheet name="Sheet36" sheetId="58" r:id="rId49"/>
    <sheet name="Sheet37" sheetId="59" r:id="rId50"/>
    <sheet name="Sheet38" sheetId="60" r:id="rId51"/>
    <sheet name="Sheet39" sheetId="61" r:id="rId52"/>
    <sheet name="Sheet40" sheetId="62" r:id="rId53"/>
    <sheet name="Sheet41" sheetId="63" r:id="rId54"/>
    <sheet name="2 JULI" sheetId="64" r:id="rId55"/>
    <sheet name="Sheet43" sheetId="65" r:id="rId56"/>
    <sheet name="10 JULI" sheetId="66" r:id="rId57"/>
    <sheet name="Sheet42" sheetId="67" r:id="rId58"/>
    <sheet name="16 JULI " sheetId="68" r:id="rId59"/>
    <sheet name="Sheet44" sheetId="69" r:id="rId60"/>
    <sheet name="24 JULI" sheetId="70" r:id="rId61"/>
    <sheet name="Sheet45" sheetId="71" r:id="rId62"/>
    <sheet name="31 JULI" sheetId="72" r:id="rId63"/>
    <sheet name="Sheet46" sheetId="73" r:id="rId64"/>
    <sheet name="7 Agustus " sheetId="74" r:id="rId65"/>
    <sheet name="Sheet47" sheetId="75" r:id="rId66"/>
    <sheet name="14 Agustus" sheetId="76" r:id="rId67"/>
    <sheet name="Sheet48" sheetId="77" r:id="rId68"/>
    <sheet name="21 Agustus" sheetId="78" r:id="rId69"/>
    <sheet name="Sheet49" sheetId="79" r:id="rId70"/>
    <sheet name="27 Agustus" sheetId="80" r:id="rId71"/>
    <sheet name="Sheet50" sheetId="81" r:id="rId72"/>
    <sheet name="4 SEPTEMBER" sheetId="82" r:id="rId73"/>
    <sheet name="Sheet52" sheetId="83" r:id="rId74"/>
    <sheet name="11 SEPTEMBER" sheetId="84" r:id="rId75"/>
    <sheet name="Sheet51" sheetId="85" r:id="rId76"/>
    <sheet name="17 SEPTEMBER" sheetId="86" r:id="rId77"/>
    <sheet name="Sheet53" sheetId="87" r:id="rId78"/>
    <sheet name="25 SEPTEMBER" sheetId="88" r:id="rId79"/>
    <sheet name="Sheet55" sheetId="89" r:id="rId80"/>
  </sheets>
  <externalReferences>
    <externalReference r:id="rId81"/>
  </externalReferences>
  <definedNames>
    <definedName name="_xlnm.Print_Area" localSheetId="56">'10 JULI'!$A$1:$H$143</definedName>
    <definedName name="_xlnm.Print_Area" localSheetId="74">'11 SEPTEMBER'!$A$1:$H$126</definedName>
    <definedName name="_xlnm.Print_Area" localSheetId="58">'16 JULI '!$A$1:$H$151</definedName>
    <definedName name="_xlnm.Print_Area" localSheetId="76">'17 SEPTEMBER'!$B$1:$I$114</definedName>
    <definedName name="_xlnm.Print_Area" localSheetId="54">'2 JULI'!$A$1:$H$130</definedName>
    <definedName name="_xlnm.Print_Area" localSheetId="68">'21 Agustus'!$AF$1:$AM$112</definedName>
    <definedName name="_xlnm.Print_Area" localSheetId="78">'25 SEPTEMBER'!$A$1:$H$109</definedName>
    <definedName name="_xlnm.Print_Area" localSheetId="70">'27 Agustus'!$A$1:$H$120</definedName>
    <definedName name="_xlnm.Print_Area" localSheetId="62">'31 JULI'!$K$1:$R$104</definedName>
    <definedName name="_xlnm.Print_Area" localSheetId="72">'4 SEPTEMBER'!$A$43:$H$86</definedName>
    <definedName name="_xlnm.Print_Area" localSheetId="64">'7 Agustus '!$U$1:$AB$113</definedName>
    <definedName name="_xlnm.Print_Area" localSheetId="6">'Pengajuan RT BU Ani '!$A$1:$H$46</definedName>
    <definedName name="_xlnm.Print_Area" localSheetId="3">'Pengan Juan Rt Bu Ani'!$A$1:$H$46</definedName>
    <definedName name="_xlnm.Print_Area" localSheetId="11">'Sheet 12'!$A$1:$H$113</definedName>
    <definedName name="_xlnm.Print_Area" localSheetId="14">'Sheet 15'!$A$1:$H$115</definedName>
    <definedName name="_xlnm.Print_Area" localSheetId="20">Sheet1!$A$1:$H$103</definedName>
    <definedName name="_xlnm.Print_Area" localSheetId="26">Sheet10!$A$1:$H$119</definedName>
    <definedName name="_xlnm.Print_Area" localSheetId="27">Sheet12!$A$1:$B$29</definedName>
    <definedName name="_xlnm.Print_Area" localSheetId="28">Sheet13!$A$1:$H$121</definedName>
    <definedName name="_xlnm.Print_Area" localSheetId="30">Sheet16!$A$1:$H$132</definedName>
    <definedName name="_xlnm.Print_Area" localSheetId="32">Sheet20!$A$1:$H$133</definedName>
    <definedName name="_xlnm.Print_Area" localSheetId="34">Sheet22!$A$1:$H$134</definedName>
    <definedName name="_xlnm.Print_Area" localSheetId="36">Sheet24!$A$1:$H$135</definedName>
    <definedName name="_xlnm.Print_Area" localSheetId="38">Sheet26!$A$1:$H$132</definedName>
    <definedName name="_xlnm.Print_Area" localSheetId="40">Sheet28!$A$1:$H$132</definedName>
    <definedName name="_xlnm.Print_Area" localSheetId="23">Sheet3!$A$1:$H$110</definedName>
    <definedName name="_xlnm.Print_Area" localSheetId="42">Sheet30!$A$1:$H$137</definedName>
    <definedName name="_xlnm.Print_Area" localSheetId="44">Sheet32!$A$1:$H$137</definedName>
    <definedName name="_xlnm.Print_Area" localSheetId="46">Sheet34!$A$1:$H$139</definedName>
    <definedName name="_xlnm.Print_Area" localSheetId="48">Sheet36!$A$1:$H$142</definedName>
    <definedName name="_xlnm.Print_Area" localSheetId="50">Sheet38!$A$1:$H$143</definedName>
    <definedName name="_xlnm.Print_Area" localSheetId="52">Sheet40!$A$1:$H$153</definedName>
    <definedName name="_xlnm.Print_Area" localSheetId="5">Sheet8!$A$1:$H$96</definedName>
    <definedName name="_xlnm.Print_Area" localSheetId="8">Sheet9!$A$1:$H$105</definedName>
    <definedName name="_xlnm.Print_Area" localSheetId="2">'Tgl 10'!$A$1:$H$101</definedName>
    <definedName name="_xlnm.Print_Area" localSheetId="0">'Tgl 9'!$A$1:$H$108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3" i="89" l="1"/>
  <c r="D38" i="89"/>
  <c r="J6" i="89"/>
  <c r="J4" i="89"/>
  <c r="J29" i="89"/>
  <c r="I29" i="89"/>
  <c r="H29" i="89"/>
  <c r="G29" i="89"/>
  <c r="F29" i="89"/>
  <c r="E29" i="89"/>
  <c r="D29" i="89"/>
  <c r="C29" i="89"/>
  <c r="B29" i="89"/>
  <c r="U46" i="88"/>
  <c r="M108" i="88"/>
  <c r="N97" i="88"/>
  <c r="M96" i="88"/>
  <c r="M85" i="88"/>
  <c r="N86" i="88" s="1"/>
  <c r="N69" i="88"/>
  <c r="M68" i="88"/>
  <c r="M53" i="88"/>
  <c r="M57" i="88" s="1"/>
  <c r="N58" i="88" s="1"/>
  <c r="N35" i="88"/>
  <c r="M34" i="88"/>
  <c r="M23" i="88"/>
  <c r="M21" i="88"/>
  <c r="M25" i="88"/>
  <c r="Q26" i="88" s="1"/>
  <c r="N27" i="88" s="1"/>
  <c r="Q12" i="88"/>
  <c r="D17" i="88"/>
  <c r="D18" i="88"/>
  <c r="N98" i="88" l="1"/>
  <c r="N99" i="88" s="1"/>
  <c r="R28" i="88" l="1"/>
  <c r="R27" i="88"/>
  <c r="R31" i="88" s="1"/>
  <c r="R34" i="88" s="1"/>
  <c r="D85" i="88"/>
  <c r="E86" i="88" s="1"/>
  <c r="D53" i="88"/>
  <c r="D57" i="88" s="1"/>
  <c r="E58" i="88" s="1"/>
  <c r="D23" i="88"/>
  <c r="D108" i="88"/>
  <c r="D96" i="88"/>
  <c r="E97" i="88" s="1"/>
  <c r="D68" i="88"/>
  <c r="E69" i="88" s="1"/>
  <c r="D34" i="88"/>
  <c r="E35" i="88" s="1"/>
  <c r="D21" i="88"/>
  <c r="H12" i="88"/>
  <c r="E98" i="88" l="1"/>
  <c r="D25" i="88"/>
  <c r="H26" i="88" s="1"/>
  <c r="E27" i="88" s="1"/>
  <c r="B34" i="87"/>
  <c r="H34" i="87"/>
  <c r="E99" i="88" l="1"/>
  <c r="J29" i="87"/>
  <c r="I29" i="87"/>
  <c r="H29" i="87"/>
  <c r="G29" i="87"/>
  <c r="F29" i="87"/>
  <c r="E29" i="87"/>
  <c r="D29" i="87"/>
  <c r="D33" i="87" s="1"/>
  <c r="C29" i="87"/>
  <c r="B29" i="87"/>
  <c r="N100" i="86"/>
  <c r="O101" i="86" s="1"/>
  <c r="N112" i="86"/>
  <c r="N89" i="86"/>
  <c r="O90" i="86" s="1"/>
  <c r="O76" i="86"/>
  <c r="N75" i="86"/>
  <c r="N58" i="86"/>
  <c r="O59" i="86" s="1"/>
  <c r="N43" i="86"/>
  <c r="N35" i="86"/>
  <c r="O36" i="86" s="1"/>
  <c r="N26" i="86"/>
  <c r="R27" i="86" s="1"/>
  <c r="O28" i="86" s="1"/>
  <c r="N6" i="86"/>
  <c r="R12" i="86" s="1"/>
  <c r="D38" i="87" l="1"/>
  <c r="O102" i="86"/>
  <c r="O103" i="86" s="1"/>
  <c r="E100" i="86" l="1"/>
  <c r="E6" i="86" l="1"/>
  <c r="F101" i="86"/>
  <c r="E75" i="86"/>
  <c r="F76" i="86" s="1"/>
  <c r="E58" i="86"/>
  <c r="F59" i="86" s="1"/>
  <c r="E35" i="86"/>
  <c r="F36" i="86" s="1"/>
  <c r="E26" i="86"/>
  <c r="E43" i="86"/>
  <c r="E21" i="86"/>
  <c r="E112" i="86"/>
  <c r="E89" i="86"/>
  <c r="F90" i="86" s="1"/>
  <c r="E18" i="86"/>
  <c r="E17" i="86"/>
  <c r="I12" i="86"/>
  <c r="F102" i="86" l="1"/>
  <c r="I27" i="86"/>
  <c r="F28" i="86" s="1"/>
  <c r="F103" i="86" l="1"/>
  <c r="H60" i="85" l="1"/>
  <c r="B48" i="85"/>
  <c r="B52" i="85"/>
  <c r="H64" i="85"/>
  <c r="H63" i="85"/>
  <c r="H58" i="85"/>
  <c r="H56" i="85"/>
  <c r="H57" i="85"/>
  <c r="R119" i="84"/>
  <c r="J54" i="85"/>
  <c r="J56" i="85"/>
  <c r="H48" i="85"/>
  <c r="H54" i="85" s="1"/>
  <c r="F48" i="85"/>
  <c r="H53" i="85"/>
  <c r="N55" i="84"/>
  <c r="J48" i="85"/>
  <c r="I48" i="85"/>
  <c r="G48" i="85"/>
  <c r="E48" i="85"/>
  <c r="D48" i="85"/>
  <c r="D50" i="85" s="1"/>
  <c r="C48" i="85"/>
  <c r="B59" i="85" l="1"/>
  <c r="N125" i="84" l="1"/>
  <c r="N113" i="84"/>
  <c r="O114" i="84" s="1"/>
  <c r="N104" i="84"/>
  <c r="O105" i="84" s="1"/>
  <c r="N86" i="84"/>
  <c r="O87" i="84" s="1"/>
  <c r="N58" i="84"/>
  <c r="N76" i="84" s="1"/>
  <c r="O77" i="84" s="1"/>
  <c r="N44" i="84"/>
  <c r="O45" i="84" s="1"/>
  <c r="N35" i="84"/>
  <c r="R36" i="84" s="1"/>
  <c r="O37" i="84" s="1"/>
  <c r="R12" i="84"/>
  <c r="D104" i="84"/>
  <c r="E105" i="84" s="1"/>
  <c r="D84" i="84"/>
  <c r="D58" i="84"/>
  <c r="D55" i="84"/>
  <c r="O115" i="84" l="1"/>
  <c r="O116" i="84" s="1"/>
  <c r="N126" i="84" s="1"/>
  <c r="D18" i="84"/>
  <c r="D19" i="84"/>
  <c r="R105" i="82"/>
  <c r="S69" i="82"/>
  <c r="D125" i="84" l="1"/>
  <c r="D113" i="84"/>
  <c r="E114" i="84" s="1"/>
  <c r="D86" i="84"/>
  <c r="E87" i="84" s="1"/>
  <c r="D44" i="84"/>
  <c r="E45" i="84" s="1"/>
  <c r="H12" i="84"/>
  <c r="D76" i="84" l="1"/>
  <c r="E77" i="84" s="1"/>
  <c r="E115" i="84" s="1"/>
  <c r="D35" i="84"/>
  <c r="H36" i="84" s="1"/>
  <c r="E37" i="84" s="1"/>
  <c r="J27" i="83"/>
  <c r="I27" i="83"/>
  <c r="H27" i="83"/>
  <c r="G27" i="83"/>
  <c r="F27" i="83"/>
  <c r="E27" i="83"/>
  <c r="D27" i="83"/>
  <c r="D29" i="83" s="1"/>
  <c r="C27" i="83"/>
  <c r="B27" i="83"/>
  <c r="M34" i="82"/>
  <c r="Q35" i="82" s="1"/>
  <c r="N36" i="82" s="1"/>
  <c r="M124" i="82"/>
  <c r="M112" i="82"/>
  <c r="N113" i="82" s="1"/>
  <c r="M103" i="82"/>
  <c r="N104" i="82" s="1"/>
  <c r="M84" i="82"/>
  <c r="N85" i="82" s="1"/>
  <c r="N42" i="82"/>
  <c r="M41" i="82"/>
  <c r="Q12" i="82"/>
  <c r="E116" i="84" l="1"/>
  <c r="L27" i="83"/>
  <c r="N114" i="82"/>
  <c r="N115" i="82" s="1"/>
  <c r="M125" i="82" s="1"/>
  <c r="D84" i="82" l="1"/>
  <c r="D124" i="82" l="1"/>
  <c r="D112" i="82"/>
  <c r="E113" i="82" s="1"/>
  <c r="D103" i="82"/>
  <c r="E104" i="82" s="1"/>
  <c r="D70" i="82"/>
  <c r="D67" i="82"/>
  <c r="D41" i="82"/>
  <c r="E42" i="82" s="1"/>
  <c r="D19" i="82"/>
  <c r="D18" i="82"/>
  <c r="H12" i="82"/>
  <c r="E85" i="82" l="1"/>
  <c r="E114" i="82" s="1"/>
  <c r="D34" i="82"/>
  <c r="H35" i="82" s="1"/>
  <c r="E36" i="82" s="1"/>
  <c r="AI123" i="78"/>
  <c r="E115" i="82" l="1"/>
  <c r="F76" i="80"/>
  <c r="B19" i="81" l="1"/>
  <c r="D13" i="81"/>
  <c r="H15" i="81" l="1"/>
  <c r="H53" i="81"/>
  <c r="H52" i="81"/>
  <c r="J50" i="81"/>
  <c r="H50" i="81"/>
  <c r="H24" i="81"/>
  <c r="H23" i="81"/>
  <c r="AE118" i="80"/>
  <c r="AE106" i="80"/>
  <c r="AF107" i="80" s="1"/>
  <c r="AE97" i="80"/>
  <c r="AF98" i="80" s="1"/>
  <c r="AE80" i="80"/>
  <c r="AF81" i="80" s="1"/>
  <c r="AE78" i="80"/>
  <c r="AE75" i="80"/>
  <c r="AE46" i="80"/>
  <c r="AF47" i="80" s="1"/>
  <c r="AE34" i="80"/>
  <c r="AI35" i="80" s="1"/>
  <c r="AF36" i="80" s="1"/>
  <c r="AE19" i="80"/>
  <c r="AE18" i="80"/>
  <c r="AI12" i="80"/>
  <c r="F13" i="81"/>
  <c r="H13" i="81"/>
  <c r="I50" i="81"/>
  <c r="G50" i="81"/>
  <c r="F50" i="81"/>
  <c r="E50" i="81"/>
  <c r="D50" i="81"/>
  <c r="C50" i="81"/>
  <c r="B50" i="81"/>
  <c r="J13" i="81"/>
  <c r="I13" i="81"/>
  <c r="G13" i="81"/>
  <c r="E13" i="81"/>
  <c r="D15" i="81"/>
  <c r="C13" i="81"/>
  <c r="B13" i="81"/>
  <c r="B17" i="81" s="1"/>
  <c r="V118" i="80"/>
  <c r="V106" i="80"/>
  <c r="W107" i="80" s="1"/>
  <c r="W98" i="80"/>
  <c r="V97" i="80"/>
  <c r="V80" i="80"/>
  <c r="W81" i="80" s="1"/>
  <c r="V46" i="80"/>
  <c r="W47" i="80" s="1"/>
  <c r="V34" i="80"/>
  <c r="Z35" i="80" s="1"/>
  <c r="W36" i="80" s="1"/>
  <c r="Z12" i="80"/>
  <c r="M118" i="80"/>
  <c r="N107" i="80"/>
  <c r="M106" i="80"/>
  <c r="M97" i="80"/>
  <c r="N98" i="80" s="1"/>
  <c r="M78" i="80"/>
  <c r="M75" i="80"/>
  <c r="M80" i="80" s="1"/>
  <c r="N81" i="80" s="1"/>
  <c r="N47" i="80"/>
  <c r="M46" i="80"/>
  <c r="M34" i="80"/>
  <c r="Q35" i="80" s="1"/>
  <c r="N36" i="80" s="1"/>
  <c r="M19" i="80"/>
  <c r="M18" i="80"/>
  <c r="Q12" i="80"/>
  <c r="L50" i="81" l="1"/>
  <c r="AF108" i="80"/>
  <c r="AF109" i="80" s="1"/>
  <c r="L13" i="81"/>
  <c r="W108" i="80"/>
  <c r="W109" i="80" s="1"/>
  <c r="V119" i="80" s="1"/>
  <c r="N108" i="80"/>
  <c r="N109" i="80" s="1"/>
  <c r="D78" i="80" l="1"/>
  <c r="D75" i="80"/>
  <c r="D97" i="80"/>
  <c r="E98" i="80" s="1"/>
  <c r="D46" i="80"/>
  <c r="E47" i="80" s="1"/>
  <c r="D118" i="80"/>
  <c r="D19" i="80"/>
  <c r="D18" i="80"/>
  <c r="D34" i="80" s="1"/>
  <c r="H12" i="80"/>
  <c r="D80" i="80" l="1"/>
  <c r="E81" i="80" s="1"/>
  <c r="E108" i="80" s="1"/>
  <c r="D106" i="80"/>
  <c r="E107" i="80" s="1"/>
  <c r="H35" i="80"/>
  <c r="E36" i="80" s="1"/>
  <c r="AI91" i="78"/>
  <c r="AI86" i="78"/>
  <c r="AI83" i="78"/>
  <c r="AI23" i="78"/>
  <c r="E109" i="80" l="1"/>
  <c r="N23" i="78"/>
  <c r="AI110" i="78" l="1"/>
  <c r="AI98" i="78"/>
  <c r="AJ99" i="78" s="1"/>
  <c r="AI88" i="78"/>
  <c r="AJ89" i="78" s="1"/>
  <c r="AI65" i="78"/>
  <c r="AI71" i="78" s="1"/>
  <c r="AJ72" i="78" s="1"/>
  <c r="AJ100" i="78" s="1"/>
  <c r="AJ101" i="78" s="1"/>
  <c r="AI111" i="78" s="1"/>
  <c r="AI44" i="78"/>
  <c r="AI43" i="78"/>
  <c r="AI59" i="78"/>
  <c r="AJ60" i="78" s="1"/>
  <c r="AI34" i="78"/>
  <c r="AJ35" i="78" s="1"/>
  <c r="AI27" i="78"/>
  <c r="AM28" i="78" s="1"/>
  <c r="AJ29" i="78" s="1"/>
  <c r="AM12" i="78"/>
  <c r="O26" i="79"/>
  <c r="D14" i="79"/>
  <c r="J30" i="79"/>
  <c r="I30" i="79"/>
  <c r="H30" i="79"/>
  <c r="G30" i="79"/>
  <c r="F30" i="79"/>
  <c r="E30" i="79"/>
  <c r="D30" i="79"/>
  <c r="C30" i="79"/>
  <c r="B30" i="79"/>
  <c r="N44" i="78"/>
  <c r="N59" i="78" s="1"/>
  <c r="O60" i="78" s="1"/>
  <c r="Y99" i="78"/>
  <c r="X98" i="78"/>
  <c r="X88" i="78"/>
  <c r="Y89" i="78" s="1"/>
  <c r="X71" i="78"/>
  <c r="Y72" i="78" s="1"/>
  <c r="X59" i="78"/>
  <c r="Y60" i="78" s="1"/>
  <c r="X43" i="78"/>
  <c r="X34" i="78"/>
  <c r="Y35" i="78" s="1"/>
  <c r="X27" i="78"/>
  <c r="AB28" i="78" s="1"/>
  <c r="Y29" i="78" s="1"/>
  <c r="AB12" i="78"/>
  <c r="J9" i="79"/>
  <c r="I9" i="79"/>
  <c r="H9" i="79"/>
  <c r="G9" i="79"/>
  <c r="F9" i="79"/>
  <c r="E9" i="79"/>
  <c r="D9" i="79"/>
  <c r="C9" i="79"/>
  <c r="B9" i="79"/>
  <c r="N110" i="78"/>
  <c r="O99" i="78"/>
  <c r="N98" i="78"/>
  <c r="N88" i="78"/>
  <c r="O89" i="78" s="1"/>
  <c r="N65" i="78"/>
  <c r="N71" i="78" s="1"/>
  <c r="O72" i="78" s="1"/>
  <c r="N34" i="78"/>
  <c r="O35" i="78" s="1"/>
  <c r="N27" i="78"/>
  <c r="R28" i="78" s="1"/>
  <c r="O29" i="78" s="1"/>
  <c r="R12" i="78"/>
  <c r="L30" i="79" l="1"/>
  <c r="L9" i="79"/>
  <c r="D11" i="79"/>
  <c r="Y100" i="78"/>
  <c r="Y101" i="78" s="1"/>
  <c r="O100" i="78"/>
  <c r="O101" i="78" s="1"/>
  <c r="D83" i="78"/>
  <c r="D88" i="78" s="1"/>
  <c r="D86" i="78"/>
  <c r="D44" i="78"/>
  <c r="N111" i="78" l="1"/>
  <c r="X105" i="78" s="1"/>
  <c r="X110" i="78" s="1"/>
  <c r="X111" i="78" s="1"/>
  <c r="D65" i="78"/>
  <c r="D43" i="78"/>
  <c r="D37" i="78" l="1"/>
  <c r="D39" i="78"/>
  <c r="D59" i="78" l="1"/>
  <c r="E60" i="78" s="1"/>
  <c r="D23" i="78"/>
  <c r="D110" i="78"/>
  <c r="D98" i="78"/>
  <c r="E99" i="78" s="1"/>
  <c r="E89" i="78"/>
  <c r="D71" i="78"/>
  <c r="E72" i="78" s="1"/>
  <c r="D34" i="78"/>
  <c r="E35" i="78" s="1"/>
  <c r="D19" i="78"/>
  <c r="D18" i="78"/>
  <c r="H12" i="78"/>
  <c r="D27" i="78" l="1"/>
  <c r="H28" i="78" s="1"/>
  <c r="E29" i="78" s="1"/>
  <c r="E100" i="78"/>
  <c r="E101" i="78" s="1"/>
  <c r="J18" i="77"/>
  <c r="I18" i="77"/>
  <c r="H18" i="77"/>
  <c r="G18" i="77"/>
  <c r="F18" i="77"/>
  <c r="E18" i="77"/>
  <c r="D18" i="77"/>
  <c r="D22" i="77" s="1"/>
  <c r="C18" i="77"/>
  <c r="B18" i="77"/>
  <c r="B28" i="77" l="1"/>
  <c r="B30" i="77"/>
  <c r="N90" i="76" l="1"/>
  <c r="N78" i="76"/>
  <c r="O79" i="76" s="1"/>
  <c r="N72" i="76"/>
  <c r="O73" i="76" s="1"/>
  <c r="N60" i="76"/>
  <c r="O61" i="76" s="1"/>
  <c r="N48" i="76"/>
  <c r="O49" i="76" s="1"/>
  <c r="N28" i="76"/>
  <c r="O29" i="76" s="1"/>
  <c r="N22" i="76"/>
  <c r="R23" i="76" s="1"/>
  <c r="O24" i="76" s="1"/>
  <c r="R12" i="76"/>
  <c r="D18" i="76"/>
  <c r="D19" i="76"/>
  <c r="S67" i="76" l="1"/>
  <c r="S69" i="76" s="1"/>
  <c r="O80" i="76"/>
  <c r="O81" i="76" s="1"/>
  <c r="N91" i="76" s="1"/>
  <c r="E79" i="76"/>
  <c r="D22" i="76"/>
  <c r="H23" i="76" s="1"/>
  <c r="E24" i="76" s="1"/>
  <c r="D90" i="76"/>
  <c r="D78" i="76"/>
  <c r="D72" i="76"/>
  <c r="E73" i="76" s="1"/>
  <c r="D60" i="76"/>
  <c r="E61" i="76" s="1"/>
  <c r="D48" i="76"/>
  <c r="E49" i="76" s="1"/>
  <c r="D28" i="76"/>
  <c r="E29" i="76" s="1"/>
  <c r="H12" i="76"/>
  <c r="E80" i="76" l="1"/>
  <c r="E81" i="76" s="1"/>
  <c r="AG112" i="74"/>
  <c r="AG100" i="74"/>
  <c r="AH101" i="74" s="1"/>
  <c r="AG82" i="74"/>
  <c r="AH83" i="74" s="1"/>
  <c r="AG71" i="74"/>
  <c r="AH72" i="74" s="1"/>
  <c r="AG52" i="74"/>
  <c r="AH53" i="74" s="1"/>
  <c r="AG44" i="74"/>
  <c r="AH45" i="74" s="1"/>
  <c r="AG38" i="74"/>
  <c r="AH39" i="74" s="1"/>
  <c r="AG29" i="74"/>
  <c r="AK30" i="74" s="1"/>
  <c r="AH31" i="74" s="1"/>
  <c r="AK12" i="74"/>
  <c r="X71" i="74" l="1"/>
  <c r="Y72" i="74" s="1"/>
  <c r="X112" i="74"/>
  <c r="X100" i="74"/>
  <c r="Y101" i="74" s="1"/>
  <c r="X94" i="74"/>
  <c r="Y95" i="74" s="1"/>
  <c r="X82" i="74"/>
  <c r="Y83" i="74" s="1"/>
  <c r="X52" i="74"/>
  <c r="Y53" i="74" s="1"/>
  <c r="X44" i="74"/>
  <c r="Y45" i="74" s="1"/>
  <c r="X38" i="74"/>
  <c r="Y39" i="74" s="1"/>
  <c r="AB12" i="74"/>
  <c r="Y102" i="74" l="1"/>
  <c r="X29" i="74"/>
  <c r="AB30" i="74" s="1"/>
  <c r="Y31" i="74" s="1"/>
  <c r="J18" i="75"/>
  <c r="I18" i="75"/>
  <c r="H18" i="75"/>
  <c r="G18" i="75"/>
  <c r="F18" i="75"/>
  <c r="E18" i="75"/>
  <c r="D18" i="75"/>
  <c r="D22" i="75" s="1"/>
  <c r="C18" i="75"/>
  <c r="B18" i="75"/>
  <c r="B22" i="75" l="1"/>
  <c r="B24" i="75" s="1"/>
  <c r="Y103" i="74"/>
  <c r="X113" i="74" s="1"/>
  <c r="AG94" i="74" s="1"/>
  <c r="AH95" i="74" s="1"/>
  <c r="AH102" i="74" s="1"/>
  <c r="AH103" i="74" s="1"/>
  <c r="AG113" i="74" s="1"/>
  <c r="N112" i="74"/>
  <c r="N100" i="74"/>
  <c r="O101" i="74" s="1"/>
  <c r="N94" i="74"/>
  <c r="O95" i="74" s="1"/>
  <c r="N82" i="74"/>
  <c r="O83" i="74" s="1"/>
  <c r="N71" i="74"/>
  <c r="O72" i="74" s="1"/>
  <c r="N52" i="74"/>
  <c r="O53" i="74" s="1"/>
  <c r="N44" i="74"/>
  <c r="O45" i="74" s="1"/>
  <c r="N38" i="74"/>
  <c r="O39" i="74" s="1"/>
  <c r="N29" i="74"/>
  <c r="R30" i="74" s="1"/>
  <c r="O31" i="74" s="1"/>
  <c r="R12" i="74"/>
  <c r="O102" i="74" l="1"/>
  <c r="O103" i="74" s="1"/>
  <c r="N113" i="74" s="1"/>
  <c r="D94" i="74" l="1"/>
  <c r="E95" i="74" l="1"/>
  <c r="D36" i="74"/>
  <c r="D67" i="74"/>
  <c r="D112" i="74"/>
  <c r="D100" i="74"/>
  <c r="E101" i="74" s="1"/>
  <c r="D82" i="74"/>
  <c r="E83" i="74" s="1"/>
  <c r="D71" i="74"/>
  <c r="E72" i="74" s="1"/>
  <c r="D52" i="74"/>
  <c r="E53" i="74" s="1"/>
  <c r="D44" i="74"/>
  <c r="E45" i="74" s="1"/>
  <c r="D38" i="74"/>
  <c r="E39" i="74" s="1"/>
  <c r="D29" i="74"/>
  <c r="H30" i="74" s="1"/>
  <c r="E31" i="74" s="1"/>
  <c r="H12" i="74"/>
  <c r="E102" i="74" l="1"/>
  <c r="E103" i="74" s="1"/>
  <c r="J92" i="72"/>
  <c r="B37" i="73" l="1"/>
  <c r="X20" i="72"/>
  <c r="X101" i="72" l="1"/>
  <c r="Y102" i="72" s="1"/>
  <c r="X95" i="72"/>
  <c r="Y96" i="72" s="1"/>
  <c r="X83" i="72"/>
  <c r="Y84" i="72" s="1"/>
  <c r="X73" i="72"/>
  <c r="Y74" i="72" s="1"/>
  <c r="X52" i="72"/>
  <c r="Y53" i="72" s="1"/>
  <c r="X44" i="72"/>
  <c r="Y45" i="72" s="1"/>
  <c r="X38" i="72"/>
  <c r="Y39" i="72" s="1"/>
  <c r="X22" i="72"/>
  <c r="AB23" i="72" s="1"/>
  <c r="Y24" i="72" s="1"/>
  <c r="AB12" i="72"/>
  <c r="Y103" i="72" l="1"/>
  <c r="Y104" i="72" s="1"/>
  <c r="J18" i="73"/>
  <c r="I18" i="73"/>
  <c r="H18" i="73"/>
  <c r="G18" i="73"/>
  <c r="F18" i="73"/>
  <c r="E18" i="73"/>
  <c r="D18" i="73"/>
  <c r="C18" i="73"/>
  <c r="B18" i="73"/>
  <c r="T99" i="72"/>
  <c r="D21" i="73" l="1"/>
  <c r="N113" i="72"/>
  <c r="N101" i="72"/>
  <c r="O102" i="72" s="1"/>
  <c r="N95" i="72"/>
  <c r="O96" i="72" s="1"/>
  <c r="N83" i="72"/>
  <c r="O84" i="72" s="1"/>
  <c r="N73" i="72"/>
  <c r="O74" i="72" s="1"/>
  <c r="N52" i="72"/>
  <c r="O53" i="72" s="1"/>
  <c r="N44" i="72"/>
  <c r="O45" i="72" s="1"/>
  <c r="N38" i="72"/>
  <c r="O39" i="72" s="1"/>
  <c r="N22" i="72"/>
  <c r="R23" i="72" s="1"/>
  <c r="O24" i="72" s="1"/>
  <c r="R12" i="72"/>
  <c r="O103" i="72" l="1"/>
  <c r="O104" i="72" s="1"/>
  <c r="N114" i="72" s="1"/>
  <c r="X109" i="72" s="1"/>
  <c r="X113" i="72" s="1"/>
  <c r="X114" i="72" s="1"/>
  <c r="D29" i="72" l="1"/>
  <c r="D20" i="72"/>
  <c r="D113" i="72"/>
  <c r="E102" i="72"/>
  <c r="D101" i="72"/>
  <c r="D95" i="72"/>
  <c r="E96" i="72" s="1"/>
  <c r="D83" i="72"/>
  <c r="E84" i="72" s="1"/>
  <c r="D73" i="72"/>
  <c r="E74" i="72" s="1"/>
  <c r="D52" i="72"/>
  <c r="E53" i="72" s="1"/>
  <c r="D44" i="72"/>
  <c r="E45" i="72" s="1"/>
  <c r="D38" i="72"/>
  <c r="E39" i="72" s="1"/>
  <c r="D22" i="72"/>
  <c r="H23" i="72" s="1"/>
  <c r="E24" i="72" s="1"/>
  <c r="H12" i="72"/>
  <c r="E103" i="72" l="1"/>
  <c r="E104" i="72" s="1"/>
  <c r="V94" i="70"/>
  <c r="V98" i="70"/>
  <c r="V86" i="70"/>
  <c r="W87" i="70" s="1"/>
  <c r="V80" i="70"/>
  <c r="W81" i="70" s="1"/>
  <c r="V72" i="70"/>
  <c r="W73" i="70" s="1"/>
  <c r="V60" i="70"/>
  <c r="V63" i="70" s="1"/>
  <c r="W64" i="70" s="1"/>
  <c r="V46" i="70"/>
  <c r="W47" i="70" s="1"/>
  <c r="V38" i="70"/>
  <c r="W39" i="70" s="1"/>
  <c r="V32" i="70"/>
  <c r="W33" i="70" s="1"/>
  <c r="V21" i="70"/>
  <c r="Z22" i="70" s="1"/>
  <c r="W23" i="70" s="1"/>
  <c r="Z12" i="70"/>
  <c r="W88" i="70" l="1"/>
  <c r="W89" i="70" s="1"/>
  <c r="V99" i="70" s="1"/>
  <c r="J18" i="71"/>
  <c r="I18" i="71"/>
  <c r="H18" i="71"/>
  <c r="B28" i="71" s="1"/>
  <c r="B30" i="71" s="1"/>
  <c r="G18" i="71"/>
  <c r="F18" i="71"/>
  <c r="E18" i="71"/>
  <c r="D18" i="71"/>
  <c r="D21" i="71" s="1"/>
  <c r="C18" i="71"/>
  <c r="B18" i="71"/>
  <c r="M98" i="70"/>
  <c r="M86" i="70"/>
  <c r="N87" i="70" s="1"/>
  <c r="M80" i="70"/>
  <c r="N81" i="70" s="1"/>
  <c r="M72" i="70"/>
  <c r="N73" i="70" s="1"/>
  <c r="M63" i="70"/>
  <c r="N64" i="70" s="1"/>
  <c r="M46" i="70"/>
  <c r="N47" i="70" s="1"/>
  <c r="M38" i="70"/>
  <c r="N39" i="70" s="1"/>
  <c r="M32" i="70"/>
  <c r="N33" i="70" s="1"/>
  <c r="M21" i="70"/>
  <c r="Q22" i="70" s="1"/>
  <c r="N23" i="70" s="1"/>
  <c r="Q12" i="70"/>
  <c r="N88" i="70" l="1"/>
  <c r="N89" i="70" s="1"/>
  <c r="M99" i="70" s="1"/>
  <c r="D98" i="70"/>
  <c r="D86" i="70"/>
  <c r="E87" i="70" s="1"/>
  <c r="D80" i="70"/>
  <c r="E81" i="70" s="1"/>
  <c r="D72" i="70"/>
  <c r="E73" i="70" s="1"/>
  <c r="D63" i="70"/>
  <c r="E64" i="70" s="1"/>
  <c r="D46" i="70"/>
  <c r="E47" i="70" s="1"/>
  <c r="D38" i="70"/>
  <c r="E39" i="70" s="1"/>
  <c r="D32" i="70"/>
  <c r="E33" i="70" s="1"/>
  <c r="D21" i="70"/>
  <c r="H22" i="70" s="1"/>
  <c r="E23" i="70" s="1"/>
  <c r="H12" i="70"/>
  <c r="E88" i="70" l="1"/>
  <c r="E89" i="70" s="1"/>
  <c r="Q145" i="68"/>
  <c r="V129" i="68" l="1"/>
  <c r="V89" i="68"/>
  <c r="V77" i="68"/>
  <c r="V73" i="68"/>
  <c r="H84" i="69"/>
  <c r="B82" i="69"/>
  <c r="F43" i="69" l="1"/>
  <c r="F44" i="69" s="1"/>
  <c r="H43" i="69"/>
  <c r="V149" i="68" l="1"/>
  <c r="V137" i="68"/>
  <c r="W138" i="68" s="1"/>
  <c r="V125" i="68"/>
  <c r="W126" i="68" s="1"/>
  <c r="V111" i="68"/>
  <c r="W112" i="68" s="1"/>
  <c r="V102" i="68"/>
  <c r="W103" i="68" s="1"/>
  <c r="V68" i="68"/>
  <c r="W69" i="68" s="1"/>
  <c r="V60" i="68"/>
  <c r="W61" i="68" s="1"/>
  <c r="V54" i="68"/>
  <c r="W55" i="68" s="1"/>
  <c r="V33" i="68"/>
  <c r="Z34" i="68" s="1"/>
  <c r="W35" i="68" s="1"/>
  <c r="J74" i="69"/>
  <c r="I74" i="69"/>
  <c r="H74" i="69"/>
  <c r="G74" i="69"/>
  <c r="F74" i="69"/>
  <c r="E74" i="69"/>
  <c r="D74" i="69"/>
  <c r="C74" i="69"/>
  <c r="B74" i="69"/>
  <c r="B83" i="69" s="1"/>
  <c r="J40" i="69"/>
  <c r="I40" i="69"/>
  <c r="H40" i="69"/>
  <c r="G40" i="69"/>
  <c r="F40" i="69"/>
  <c r="E40" i="69"/>
  <c r="D40" i="69"/>
  <c r="D46" i="69" s="1"/>
  <c r="C40" i="69"/>
  <c r="B40" i="69"/>
  <c r="M137" i="68"/>
  <c r="M125" i="68"/>
  <c r="N126" i="68" s="1"/>
  <c r="M111" i="68"/>
  <c r="N112" i="68" s="1"/>
  <c r="M102" i="68"/>
  <c r="N103" i="68" s="1"/>
  <c r="M68" i="68"/>
  <c r="N69" i="68" s="1"/>
  <c r="M60" i="68"/>
  <c r="N61" i="68" s="1"/>
  <c r="M54" i="68"/>
  <c r="N55" i="68" s="1"/>
  <c r="M33" i="68"/>
  <c r="Q34" i="68" s="1"/>
  <c r="N35" i="68" s="1"/>
  <c r="Q12" i="68"/>
  <c r="N138" i="68" l="1"/>
  <c r="M145" i="68"/>
  <c r="M149" i="68" s="1"/>
  <c r="J43" i="69"/>
  <c r="J45" i="69" s="1"/>
  <c r="W139" i="68"/>
  <c r="W140" i="68" s="1"/>
  <c r="V150" i="68" s="1"/>
  <c r="N139" i="68"/>
  <c r="N140" i="68" s="1"/>
  <c r="AB148" i="66"/>
  <c r="M150" i="68" l="1"/>
  <c r="Z12" i="68" s="1"/>
  <c r="D149" i="68"/>
  <c r="D137" i="68"/>
  <c r="E138" i="68" s="1"/>
  <c r="D125" i="68"/>
  <c r="E126" i="68" s="1"/>
  <c r="D111" i="68"/>
  <c r="E112" i="68" s="1"/>
  <c r="D102" i="68"/>
  <c r="E103" i="68" s="1"/>
  <c r="D68" i="68"/>
  <c r="E69" i="68" s="1"/>
  <c r="D60" i="68"/>
  <c r="E61" i="68" s="1"/>
  <c r="D54" i="68"/>
  <c r="E55" i="68" s="1"/>
  <c r="D33" i="68"/>
  <c r="H34" i="68" s="1"/>
  <c r="E35" i="68" s="1"/>
  <c r="H12" i="68"/>
  <c r="E139" i="68" l="1"/>
  <c r="E140" i="68" s="1"/>
  <c r="AH141" i="66" l="1"/>
  <c r="AH129" i="66"/>
  <c r="AI130" i="66" s="1"/>
  <c r="AH117" i="66"/>
  <c r="AI118" i="66" s="1"/>
  <c r="AH100" i="66"/>
  <c r="AI101" i="66" s="1"/>
  <c r="AH94" i="66"/>
  <c r="AI95" i="66" s="1"/>
  <c r="AH64" i="66"/>
  <c r="AI65" i="66" s="1"/>
  <c r="AH56" i="66"/>
  <c r="AI57" i="66" s="1"/>
  <c r="AH50" i="66"/>
  <c r="AI51" i="66" s="1"/>
  <c r="AH27" i="66"/>
  <c r="AL28" i="66" s="1"/>
  <c r="AI29" i="66" s="1"/>
  <c r="AL12" i="66"/>
  <c r="X141" i="66"/>
  <c r="X129" i="66"/>
  <c r="Y130" i="66" s="1"/>
  <c r="X117" i="66"/>
  <c r="Y118" i="66" s="1"/>
  <c r="X100" i="66"/>
  <c r="Y101" i="66" s="1"/>
  <c r="X94" i="66"/>
  <c r="Y95" i="66" s="1"/>
  <c r="X64" i="66"/>
  <c r="Y65" i="66" s="1"/>
  <c r="X56" i="66"/>
  <c r="Y57" i="66" s="1"/>
  <c r="X50" i="66"/>
  <c r="Y51" i="66" s="1"/>
  <c r="X27" i="66"/>
  <c r="AB28" i="66" s="1"/>
  <c r="Y29" i="66" s="1"/>
  <c r="AB12" i="66"/>
  <c r="AI131" i="66" l="1"/>
  <c r="AI132" i="66" s="1"/>
  <c r="Y131" i="66"/>
  <c r="Y132" i="66" s="1"/>
  <c r="AB146" i="66" l="1"/>
  <c r="AB149" i="66" s="1"/>
  <c r="AO131" i="66"/>
  <c r="N27" i="66"/>
  <c r="R28" i="66" s="1"/>
  <c r="O29" i="66" s="1"/>
  <c r="N141" i="66"/>
  <c r="N129" i="66"/>
  <c r="O130" i="66" s="1"/>
  <c r="N117" i="66"/>
  <c r="O118" i="66" s="1"/>
  <c r="N100" i="66"/>
  <c r="O101" i="66" s="1"/>
  <c r="N94" i="66"/>
  <c r="O95" i="66" s="1"/>
  <c r="N64" i="66"/>
  <c r="O65" i="66" s="1"/>
  <c r="N56" i="66"/>
  <c r="O57" i="66" s="1"/>
  <c r="N50" i="66"/>
  <c r="O51" i="66" s="1"/>
  <c r="R12" i="66"/>
  <c r="J18" i="67"/>
  <c r="I18" i="67"/>
  <c r="H18" i="67"/>
  <c r="G18" i="67"/>
  <c r="F18" i="67"/>
  <c r="E18" i="67"/>
  <c r="D18" i="67"/>
  <c r="D21" i="67" s="1"/>
  <c r="C18" i="67"/>
  <c r="B18" i="67"/>
  <c r="K18" i="67" l="1"/>
  <c r="M19" i="67" s="1"/>
  <c r="O131" i="66"/>
  <c r="O132" i="66" s="1"/>
  <c r="D94" i="66" l="1"/>
  <c r="D141" i="66" l="1"/>
  <c r="D129" i="66"/>
  <c r="E130" i="66" s="1"/>
  <c r="D117" i="66"/>
  <c r="E118" i="66" s="1"/>
  <c r="D100" i="66"/>
  <c r="E101" i="66" s="1"/>
  <c r="E95" i="66"/>
  <c r="D64" i="66"/>
  <c r="E65" i="66" s="1"/>
  <c r="D56" i="66"/>
  <c r="E57" i="66" s="1"/>
  <c r="D50" i="66"/>
  <c r="E51" i="66" s="1"/>
  <c r="D27" i="66"/>
  <c r="H28" i="66" s="1"/>
  <c r="E29" i="66" s="1"/>
  <c r="H12" i="66"/>
  <c r="E131" i="66" l="1"/>
  <c r="E132" i="66" s="1"/>
  <c r="L6" i="59"/>
  <c r="AO129" i="64" l="1"/>
  <c r="AO112" i="64"/>
  <c r="AP113" i="64" s="1"/>
  <c r="AO100" i="64"/>
  <c r="AP101" i="64" s="1"/>
  <c r="AO83" i="64"/>
  <c r="AP84" i="64" s="1"/>
  <c r="AO77" i="64"/>
  <c r="AP78" i="64" s="1"/>
  <c r="AO59" i="64"/>
  <c r="AP60" i="64" s="1"/>
  <c r="AO51" i="64"/>
  <c r="AP52" i="64" s="1"/>
  <c r="AO45" i="64"/>
  <c r="AP46" i="64" s="1"/>
  <c r="AO25" i="64"/>
  <c r="AS26" i="64" s="1"/>
  <c r="AP27" i="64" s="1"/>
  <c r="AS12" i="64"/>
  <c r="AE129" i="64"/>
  <c r="AE112" i="64"/>
  <c r="AF113" i="64" s="1"/>
  <c r="AE100" i="64"/>
  <c r="AF101" i="64" s="1"/>
  <c r="AE83" i="64"/>
  <c r="AF84" i="64" s="1"/>
  <c r="AE77" i="64"/>
  <c r="AF78" i="64" s="1"/>
  <c r="AE59" i="64"/>
  <c r="AF60" i="64" s="1"/>
  <c r="AE51" i="64"/>
  <c r="AF52" i="64" s="1"/>
  <c r="AE45" i="64"/>
  <c r="AF46" i="64" s="1"/>
  <c r="AE25" i="64"/>
  <c r="AI26" i="64" s="1"/>
  <c r="AF27" i="64" s="1"/>
  <c r="AI12" i="64"/>
  <c r="AP114" i="64" l="1"/>
  <c r="AP115" i="64" s="1"/>
  <c r="AF114" i="64"/>
  <c r="AF115" i="64" s="1"/>
  <c r="J45" i="65" l="1"/>
  <c r="I45" i="65"/>
  <c r="H45" i="65"/>
  <c r="G45" i="65"/>
  <c r="F45" i="65"/>
  <c r="E45" i="65"/>
  <c r="D45" i="65"/>
  <c r="C45" i="65"/>
  <c r="B45" i="65"/>
  <c r="K45" i="65" l="1"/>
  <c r="M77" i="64"/>
  <c r="N78" i="64" s="1"/>
  <c r="J30" i="65"/>
  <c r="I30" i="65"/>
  <c r="H30" i="65"/>
  <c r="G30" i="65"/>
  <c r="F30" i="65"/>
  <c r="E30" i="65"/>
  <c r="D30" i="65"/>
  <c r="C30" i="65"/>
  <c r="B30" i="65"/>
  <c r="M129" i="64"/>
  <c r="M112" i="64"/>
  <c r="N113" i="64" s="1"/>
  <c r="M100" i="64"/>
  <c r="N101" i="64" s="1"/>
  <c r="M83" i="64"/>
  <c r="N84" i="64" s="1"/>
  <c r="M59" i="64"/>
  <c r="N60" i="64" s="1"/>
  <c r="M51" i="64"/>
  <c r="N52" i="64" s="1"/>
  <c r="M45" i="64"/>
  <c r="N46" i="64" s="1"/>
  <c r="M25" i="64"/>
  <c r="Q26" i="64" s="1"/>
  <c r="N27" i="64" s="1"/>
  <c r="Q12" i="64"/>
  <c r="K30" i="65" l="1"/>
  <c r="N114" i="64"/>
  <c r="N115" i="64" s="1"/>
  <c r="V77" i="64" l="1"/>
  <c r="W78" i="64" s="1"/>
  <c r="J12" i="65"/>
  <c r="I12" i="65"/>
  <c r="H12" i="65"/>
  <c r="G12" i="65"/>
  <c r="F12" i="65"/>
  <c r="E12" i="65"/>
  <c r="D12" i="65"/>
  <c r="D14" i="65" s="1"/>
  <c r="C12" i="65"/>
  <c r="B12" i="65"/>
  <c r="V129" i="64"/>
  <c r="V112" i="64"/>
  <c r="W113" i="64" s="1"/>
  <c r="V100" i="64"/>
  <c r="W101" i="64" s="1"/>
  <c r="V83" i="64"/>
  <c r="W84" i="64" s="1"/>
  <c r="V59" i="64"/>
  <c r="W60" i="64" s="1"/>
  <c r="V51" i="64"/>
  <c r="W52" i="64" s="1"/>
  <c r="V45" i="64"/>
  <c r="W46" i="64" s="1"/>
  <c r="V25" i="64"/>
  <c r="Z26" i="64" s="1"/>
  <c r="W27" i="64" s="1"/>
  <c r="Z12" i="64"/>
  <c r="K12" i="65" l="1"/>
  <c r="W114" i="64"/>
  <c r="W115" i="64" s="1"/>
  <c r="AK120" i="64" s="1"/>
  <c r="D129" i="64"/>
  <c r="D112" i="64"/>
  <c r="E113" i="64" s="1"/>
  <c r="D100" i="64"/>
  <c r="E101" i="64" s="1"/>
  <c r="D83" i="64"/>
  <c r="E84" i="64" s="1"/>
  <c r="D77" i="64"/>
  <c r="E78" i="64" s="1"/>
  <c r="D59" i="64"/>
  <c r="E60" i="64" s="1"/>
  <c r="D51" i="64"/>
  <c r="E52" i="64" s="1"/>
  <c r="D45" i="64"/>
  <c r="E46" i="64" s="1"/>
  <c r="D25" i="64"/>
  <c r="H26" i="64" s="1"/>
  <c r="E27" i="64" s="1"/>
  <c r="H12" i="64"/>
  <c r="AA118" i="64" l="1"/>
  <c r="AK114" i="64"/>
  <c r="V130" i="64"/>
  <c r="E114" i="64"/>
  <c r="E115" i="64" s="1"/>
  <c r="X127" i="62" l="1"/>
  <c r="B25" i="63" l="1"/>
  <c r="B43" i="63" s="1"/>
  <c r="X65" i="62" l="1"/>
  <c r="X105" i="62" l="1"/>
  <c r="Y106" i="62" s="1"/>
  <c r="X152" i="62"/>
  <c r="X137" i="62"/>
  <c r="Y128" i="62"/>
  <c r="X91" i="62"/>
  <c r="Y92" i="62" s="1"/>
  <c r="X85" i="62"/>
  <c r="Y86" i="62" s="1"/>
  <c r="X62" i="62"/>
  <c r="Y63" i="62" s="1"/>
  <c r="X54" i="62"/>
  <c r="Y55" i="62" s="1"/>
  <c r="X49" i="62"/>
  <c r="Y50" i="62" s="1"/>
  <c r="X29" i="62"/>
  <c r="AB30" i="62" s="1"/>
  <c r="Y31" i="62" s="1"/>
  <c r="X4" i="62"/>
  <c r="AB12" i="62" s="1"/>
  <c r="J20" i="63"/>
  <c r="I20" i="63"/>
  <c r="H20" i="63"/>
  <c r="G20" i="63"/>
  <c r="F20" i="63"/>
  <c r="E20" i="63"/>
  <c r="D20" i="63"/>
  <c r="C20" i="63"/>
  <c r="B20" i="63"/>
  <c r="K20" i="63" s="1"/>
  <c r="Y129" i="62" l="1"/>
  <c r="Y130" i="62" s="1"/>
  <c r="X153" i="62" l="1"/>
  <c r="N4" i="62" l="1"/>
  <c r="N152" i="62"/>
  <c r="N137" i="62"/>
  <c r="N127" i="62"/>
  <c r="O128" i="62" s="1"/>
  <c r="O106" i="62"/>
  <c r="N91" i="62"/>
  <c r="O92" i="62" s="1"/>
  <c r="N85" i="62"/>
  <c r="O86" i="62" s="1"/>
  <c r="N62" i="62"/>
  <c r="O63" i="62" s="1"/>
  <c r="N54" i="62"/>
  <c r="O55" i="62" s="1"/>
  <c r="N49" i="62"/>
  <c r="O50" i="62" s="1"/>
  <c r="N29" i="62"/>
  <c r="R30" i="62" s="1"/>
  <c r="O31" i="62" s="1"/>
  <c r="R12" i="62"/>
  <c r="O129" i="62" l="1"/>
  <c r="O130" i="62" s="1"/>
  <c r="D4" i="62"/>
  <c r="N153" i="62" l="1"/>
  <c r="R143" i="62"/>
  <c r="D65" i="62"/>
  <c r="D85" i="62" s="1"/>
  <c r="E86" i="62" s="1"/>
  <c r="D152" i="62"/>
  <c r="D137" i="62"/>
  <c r="D127" i="62"/>
  <c r="E128" i="62" s="1"/>
  <c r="D105" i="62"/>
  <c r="E106" i="62" s="1"/>
  <c r="D91" i="62"/>
  <c r="E92" i="62" s="1"/>
  <c r="D62" i="62"/>
  <c r="E63" i="62" s="1"/>
  <c r="D54" i="62"/>
  <c r="E55" i="62" s="1"/>
  <c r="D49" i="62"/>
  <c r="E50" i="62" s="1"/>
  <c r="D29" i="62"/>
  <c r="H30" i="62" s="1"/>
  <c r="E31" i="62" s="1"/>
  <c r="H12" i="62"/>
  <c r="R146" i="62" l="1"/>
  <c r="E129" i="62"/>
  <c r="E130" i="62" s="1"/>
  <c r="J20" i="61"/>
  <c r="J24" i="61" s="1"/>
  <c r="I20" i="61"/>
  <c r="H20" i="61"/>
  <c r="G20" i="61"/>
  <c r="F20" i="61"/>
  <c r="E20" i="61"/>
  <c r="D20" i="61"/>
  <c r="C20" i="61"/>
  <c r="B20" i="61"/>
  <c r="X155" i="62" l="1"/>
  <c r="D153" i="62"/>
  <c r="L20" i="61"/>
  <c r="M142" i="60" l="1"/>
  <c r="M127" i="60"/>
  <c r="M117" i="60"/>
  <c r="N118" i="60" s="1"/>
  <c r="M105" i="60"/>
  <c r="N106" i="60" s="1"/>
  <c r="M91" i="60"/>
  <c r="N92" i="60" s="1"/>
  <c r="M71" i="60"/>
  <c r="M85" i="60" s="1"/>
  <c r="N86" i="60" s="1"/>
  <c r="M62" i="60"/>
  <c r="N63" i="60" s="1"/>
  <c r="M54" i="60"/>
  <c r="N55" i="60" s="1"/>
  <c r="M49" i="60"/>
  <c r="N50" i="60" s="1"/>
  <c r="M29" i="60"/>
  <c r="Q30" i="60" s="1"/>
  <c r="N31" i="60" s="1"/>
  <c r="Q12" i="60"/>
  <c r="N119" i="60" l="1"/>
  <c r="N120" i="60" s="1"/>
  <c r="M20" i="61" s="1"/>
  <c r="D71" i="60"/>
  <c r="D142" i="60" l="1"/>
  <c r="D127" i="60"/>
  <c r="D117" i="60"/>
  <c r="E118" i="60" s="1"/>
  <c r="D105" i="60"/>
  <c r="E106" i="60" s="1"/>
  <c r="D91" i="60"/>
  <c r="E92" i="60" s="1"/>
  <c r="D85" i="60"/>
  <c r="E86" i="60" s="1"/>
  <c r="D62" i="60"/>
  <c r="E63" i="60" s="1"/>
  <c r="D54" i="60"/>
  <c r="E55" i="60" s="1"/>
  <c r="D49" i="60"/>
  <c r="E50" i="60" s="1"/>
  <c r="D29" i="60"/>
  <c r="H30" i="60" s="1"/>
  <c r="E31" i="60" s="1"/>
  <c r="H12" i="60"/>
  <c r="E119" i="60" l="1"/>
  <c r="E120" i="60" s="1"/>
  <c r="L11" i="59"/>
  <c r="B25" i="59"/>
  <c r="B23" i="59" l="1"/>
  <c r="B26" i="59" s="1"/>
  <c r="M60" i="58"/>
  <c r="M62" i="58" s="1"/>
  <c r="N63" i="58" s="1"/>
  <c r="D60" i="58"/>
  <c r="J23" i="59"/>
  <c r="I23" i="59"/>
  <c r="H23" i="59"/>
  <c r="G23" i="59"/>
  <c r="F23" i="59"/>
  <c r="E23" i="59"/>
  <c r="D23" i="59"/>
  <c r="C23" i="59"/>
  <c r="M141" i="58"/>
  <c r="M126" i="58"/>
  <c r="M116" i="58"/>
  <c r="N117" i="58" s="1"/>
  <c r="M104" i="58"/>
  <c r="N105" i="58" s="1"/>
  <c r="M90" i="58"/>
  <c r="N91" i="58" s="1"/>
  <c r="M79" i="58"/>
  <c r="M70" i="58"/>
  <c r="M66" i="58"/>
  <c r="M65" i="58"/>
  <c r="M54" i="58"/>
  <c r="N55" i="58" s="1"/>
  <c r="M49" i="58"/>
  <c r="N50" i="58" s="1"/>
  <c r="M29" i="58"/>
  <c r="Q30" i="58" s="1"/>
  <c r="N31" i="58" s="1"/>
  <c r="Q12" i="58"/>
  <c r="J29" i="59" l="1"/>
  <c r="M84" i="58"/>
  <c r="N85" i="58" s="1"/>
  <c r="N118" i="58" s="1"/>
  <c r="N119" i="58" s="1"/>
  <c r="L23" i="59"/>
  <c r="D104" i="58"/>
  <c r="D62" i="58"/>
  <c r="D49" i="58"/>
  <c r="D29" i="58"/>
  <c r="S71" i="56"/>
  <c r="M71" i="56"/>
  <c r="M23" i="59" l="1"/>
  <c r="D66" i="58"/>
  <c r="D65" i="58"/>
  <c r="D79" i="58"/>
  <c r="D141" i="58"/>
  <c r="D126" i="58"/>
  <c r="D116" i="58"/>
  <c r="E117" i="58" s="1"/>
  <c r="E105" i="58"/>
  <c r="D90" i="58"/>
  <c r="E91" i="58" s="1"/>
  <c r="D70" i="58"/>
  <c r="E63" i="58"/>
  <c r="D54" i="58"/>
  <c r="E55" i="58" s="1"/>
  <c r="E50" i="58"/>
  <c r="H30" i="58"/>
  <c r="E31" i="58" s="1"/>
  <c r="H12" i="58"/>
  <c r="D84" i="58" l="1"/>
  <c r="E85" i="58" s="1"/>
  <c r="E118" i="58" s="1"/>
  <c r="E119" i="58" s="1"/>
  <c r="H21" i="57"/>
  <c r="J18" i="57" l="1"/>
  <c r="I18" i="57"/>
  <c r="H18" i="57"/>
  <c r="G18" i="57"/>
  <c r="F18" i="57"/>
  <c r="E18" i="57"/>
  <c r="D18" i="57"/>
  <c r="C18" i="57"/>
  <c r="B18" i="57"/>
  <c r="M138" i="56"/>
  <c r="M123" i="56"/>
  <c r="N114" i="56"/>
  <c r="M113" i="56"/>
  <c r="M101" i="56"/>
  <c r="N102" i="56" s="1"/>
  <c r="M87" i="56"/>
  <c r="N88" i="56" s="1"/>
  <c r="M69" i="56"/>
  <c r="M68" i="56"/>
  <c r="M61" i="56"/>
  <c r="N62" i="56" s="1"/>
  <c r="M54" i="56"/>
  <c r="N55" i="56" s="1"/>
  <c r="M49" i="56"/>
  <c r="N50" i="56" s="1"/>
  <c r="M19" i="56"/>
  <c r="M29" i="56" s="1"/>
  <c r="Q30" i="56" s="1"/>
  <c r="N31" i="56" s="1"/>
  <c r="Q12" i="56"/>
  <c r="M81" i="56" l="1"/>
  <c r="N82" i="56" s="1"/>
  <c r="L18" i="57"/>
  <c r="N115" i="56"/>
  <c r="N116" i="56" s="1"/>
  <c r="D71" i="56"/>
  <c r="D69" i="56"/>
  <c r="D68" i="56"/>
  <c r="XFD64" i="56"/>
  <c r="D19" i="56"/>
  <c r="D138" i="56" l="1"/>
  <c r="D123" i="56"/>
  <c r="D113" i="56"/>
  <c r="E114" i="56" s="1"/>
  <c r="D101" i="56"/>
  <c r="E102" i="56" s="1"/>
  <c r="D87" i="56"/>
  <c r="E88" i="56" s="1"/>
  <c r="D81" i="56"/>
  <c r="E82" i="56" s="1"/>
  <c r="D61" i="56"/>
  <c r="E62" i="56" s="1"/>
  <c r="D54" i="56"/>
  <c r="E55" i="56" s="1"/>
  <c r="D49" i="56"/>
  <c r="E50" i="56" s="1"/>
  <c r="D29" i="56"/>
  <c r="H30" i="56" s="1"/>
  <c r="E31" i="56" s="1"/>
  <c r="H12" i="56"/>
  <c r="E115" i="56" l="1"/>
  <c r="E116" i="56" s="1"/>
  <c r="M32" i="55" l="1"/>
  <c r="B18" i="55" l="1"/>
  <c r="H18" i="55"/>
  <c r="C18" i="55"/>
  <c r="D18" i="55"/>
  <c r="E18" i="55"/>
  <c r="F18" i="55"/>
  <c r="G18" i="55"/>
  <c r="I18" i="55"/>
  <c r="J18" i="55"/>
  <c r="M136" i="54"/>
  <c r="M121" i="54"/>
  <c r="M111" i="54"/>
  <c r="N112" i="54" s="1"/>
  <c r="M99" i="54"/>
  <c r="N100" i="54" s="1"/>
  <c r="M85" i="54"/>
  <c r="N86" i="54" s="1"/>
  <c r="M70" i="54"/>
  <c r="M79" i="54" s="1"/>
  <c r="N80" i="54" s="1"/>
  <c r="M61" i="54"/>
  <c r="N62" i="54" s="1"/>
  <c r="M54" i="54"/>
  <c r="N55" i="54" s="1"/>
  <c r="M49" i="54"/>
  <c r="N50" i="54" s="1"/>
  <c r="M29" i="54"/>
  <c r="Q30" i="54" s="1"/>
  <c r="N31" i="54" s="1"/>
  <c r="Q12" i="54"/>
  <c r="L18" i="55" l="1"/>
  <c r="N113" i="54"/>
  <c r="N114" i="54" s="1"/>
  <c r="M137" i="54" s="1"/>
  <c r="D70" i="54"/>
  <c r="D29" i="54"/>
  <c r="M18" i="55" l="1"/>
  <c r="D136" i="54"/>
  <c r="D121" i="54"/>
  <c r="D111" i="54"/>
  <c r="E112" i="54" s="1"/>
  <c r="D99" i="54"/>
  <c r="E100" i="54" s="1"/>
  <c r="D85" i="54"/>
  <c r="E86" i="54" s="1"/>
  <c r="D79" i="54"/>
  <c r="E80" i="54" s="1"/>
  <c r="D61" i="54"/>
  <c r="E62" i="54" s="1"/>
  <c r="D54" i="54"/>
  <c r="E55" i="54" s="1"/>
  <c r="D49" i="54"/>
  <c r="E50" i="54" s="1"/>
  <c r="H30" i="54"/>
  <c r="E31" i="54" s="1"/>
  <c r="H12" i="54"/>
  <c r="E113" i="54" l="1"/>
  <c r="E114" i="54" s="1"/>
  <c r="H20" i="53"/>
  <c r="X136" i="52" l="1"/>
  <c r="X121" i="52"/>
  <c r="X111" i="52"/>
  <c r="Y112" i="52" s="1"/>
  <c r="Y100" i="52"/>
  <c r="X99" i="52"/>
  <c r="X85" i="52"/>
  <c r="Y86" i="52" s="1"/>
  <c r="X69" i="52"/>
  <c r="X68" i="52"/>
  <c r="X79" i="52" s="1"/>
  <c r="Y80" i="52" s="1"/>
  <c r="X61" i="52"/>
  <c r="Y62" i="52" s="1"/>
  <c r="X54" i="52"/>
  <c r="Y55" i="52" s="1"/>
  <c r="X49" i="52"/>
  <c r="Y50" i="52" s="1"/>
  <c r="X29" i="52"/>
  <c r="AB30" i="52" s="1"/>
  <c r="Y31" i="52" s="1"/>
  <c r="AB12" i="52"/>
  <c r="Y113" i="52" l="1"/>
  <c r="Y114" i="52" s="1"/>
  <c r="X137" i="52" s="1"/>
  <c r="AD76" i="52"/>
  <c r="AF76" i="52" s="1"/>
  <c r="J11" i="53"/>
  <c r="I11" i="53"/>
  <c r="H11" i="53"/>
  <c r="G11" i="53"/>
  <c r="F11" i="53"/>
  <c r="E11" i="53"/>
  <c r="D11" i="53"/>
  <c r="C11" i="53"/>
  <c r="B11" i="53"/>
  <c r="AD64" i="52"/>
  <c r="N136" i="52"/>
  <c r="N121" i="52"/>
  <c r="N111" i="52"/>
  <c r="O112" i="52" s="1"/>
  <c r="N99" i="52"/>
  <c r="O100" i="52" s="1"/>
  <c r="N85" i="52"/>
  <c r="O86" i="52" s="1"/>
  <c r="N79" i="52"/>
  <c r="O80" i="52" s="1"/>
  <c r="N61" i="52"/>
  <c r="O62" i="52" s="1"/>
  <c r="N54" i="52"/>
  <c r="O55" i="52" s="1"/>
  <c r="N49" i="52"/>
  <c r="O50" i="52" s="1"/>
  <c r="N29" i="52"/>
  <c r="R30" i="52" s="1"/>
  <c r="O31" i="52" s="1"/>
  <c r="R12" i="52"/>
  <c r="L12" i="53" l="1"/>
  <c r="AD90" i="52"/>
  <c r="AD99" i="52" s="1"/>
  <c r="AF64" i="52"/>
  <c r="O113" i="52"/>
  <c r="O114" i="52" s="1"/>
  <c r="N137" i="52" s="1"/>
  <c r="D64" i="52"/>
  <c r="D61" i="52"/>
  <c r="D68" i="52" l="1"/>
  <c r="D69" i="52"/>
  <c r="D79" i="52" l="1"/>
  <c r="D136" i="52"/>
  <c r="D121" i="52"/>
  <c r="D111" i="52"/>
  <c r="E112" i="52" s="1"/>
  <c r="D99" i="52"/>
  <c r="E100" i="52" s="1"/>
  <c r="D85" i="52"/>
  <c r="E86" i="52" s="1"/>
  <c r="E80" i="52"/>
  <c r="E62" i="52"/>
  <c r="D54" i="52"/>
  <c r="E55" i="52" s="1"/>
  <c r="D49" i="52"/>
  <c r="E50" i="52" s="1"/>
  <c r="D29" i="52"/>
  <c r="H30" i="52" s="1"/>
  <c r="E31" i="52" s="1"/>
  <c r="H12" i="52"/>
  <c r="E113" i="52" l="1"/>
  <c r="E114" i="52" s="1"/>
  <c r="J28" i="51"/>
  <c r="I28" i="51"/>
  <c r="H28" i="51"/>
  <c r="G28" i="51"/>
  <c r="F28" i="51"/>
  <c r="E28" i="51"/>
  <c r="D28" i="51"/>
  <c r="C28" i="51"/>
  <c r="B28" i="51"/>
  <c r="M29" i="50"/>
  <c r="Q30" i="50" s="1"/>
  <c r="N31" i="50" s="1"/>
  <c r="M131" i="50"/>
  <c r="M121" i="50"/>
  <c r="M111" i="50"/>
  <c r="N112" i="50" s="1"/>
  <c r="M99" i="50"/>
  <c r="N100" i="50" s="1"/>
  <c r="N86" i="50"/>
  <c r="M85" i="50"/>
  <c r="M79" i="50"/>
  <c r="N80" i="50" s="1"/>
  <c r="M61" i="50"/>
  <c r="N62" i="50" s="1"/>
  <c r="M54" i="50"/>
  <c r="N55" i="50" s="1"/>
  <c r="M49" i="50"/>
  <c r="N50" i="50" s="1"/>
  <c r="Q12" i="50"/>
  <c r="D99" i="50"/>
  <c r="E100" i="50" s="1"/>
  <c r="D79" i="50"/>
  <c r="D61" i="50"/>
  <c r="D54" i="50"/>
  <c r="D49" i="50"/>
  <c r="L28" i="51" l="1"/>
  <c r="N113" i="50"/>
  <c r="N114" i="50" s="1"/>
  <c r="D131" i="50"/>
  <c r="D121" i="50"/>
  <c r="D111" i="50"/>
  <c r="E112" i="50" s="1"/>
  <c r="D85" i="50"/>
  <c r="E86" i="50" s="1"/>
  <c r="E80" i="50"/>
  <c r="E62" i="50"/>
  <c r="E55" i="50"/>
  <c r="E50" i="50"/>
  <c r="D29" i="50"/>
  <c r="H30" i="50" s="1"/>
  <c r="E31" i="50" s="1"/>
  <c r="H12" i="50"/>
  <c r="E113" i="50" l="1"/>
  <c r="E114" i="50" s="1"/>
  <c r="M132" i="50"/>
  <c r="L29" i="51"/>
  <c r="T64" i="48"/>
  <c r="B2" i="49" l="1"/>
  <c r="B28" i="49" s="1"/>
  <c r="J28" i="49"/>
  <c r="I28" i="49"/>
  <c r="H28" i="49"/>
  <c r="G28" i="49"/>
  <c r="F28" i="49"/>
  <c r="E28" i="49"/>
  <c r="D28" i="49"/>
  <c r="D32" i="49" s="1"/>
  <c r="C28" i="49"/>
  <c r="L28" i="49" l="1"/>
  <c r="M131" i="48"/>
  <c r="M121" i="48"/>
  <c r="M111" i="48"/>
  <c r="N112" i="48" s="1"/>
  <c r="M99" i="48"/>
  <c r="N100" i="48" s="1"/>
  <c r="M85" i="48"/>
  <c r="N86" i="48" s="1"/>
  <c r="M79" i="48"/>
  <c r="N80" i="48" s="1"/>
  <c r="M61" i="48"/>
  <c r="N62" i="48" s="1"/>
  <c r="M52" i="48"/>
  <c r="M54" i="48" s="1"/>
  <c r="N55" i="48" s="1"/>
  <c r="M49" i="48"/>
  <c r="N50" i="48" s="1"/>
  <c r="M29" i="48"/>
  <c r="Q30" i="48" s="1"/>
  <c r="N31" i="48" s="1"/>
  <c r="M4" i="48"/>
  <c r="Q12" i="48" s="1"/>
  <c r="N113" i="48" l="1"/>
  <c r="N114" i="48" s="1"/>
  <c r="M132" i="48" s="1"/>
  <c r="L29" i="49" l="1"/>
  <c r="D4" i="48"/>
  <c r="D79" i="48"/>
  <c r="D61" i="48"/>
  <c r="D49" i="48"/>
  <c r="E50" i="48" l="1"/>
  <c r="E62" i="48"/>
  <c r="E80" i="48"/>
  <c r="D52" i="48"/>
  <c r="D54" i="48" s="1"/>
  <c r="E55" i="48" s="1"/>
  <c r="D131" i="48"/>
  <c r="D121" i="48"/>
  <c r="D111" i="48"/>
  <c r="E112" i="48" s="1"/>
  <c r="D99" i="48"/>
  <c r="E100" i="48" s="1"/>
  <c r="D85" i="48"/>
  <c r="E86" i="48" s="1"/>
  <c r="D29" i="48"/>
  <c r="H30" i="48" s="1"/>
  <c r="E31" i="48" s="1"/>
  <c r="H12" i="48"/>
  <c r="E113" i="48" l="1"/>
  <c r="E114" i="48" s="1"/>
  <c r="S38" i="46"/>
  <c r="M48" i="46" l="1"/>
  <c r="J28" i="47"/>
  <c r="I28" i="47"/>
  <c r="H28" i="47"/>
  <c r="G28" i="47"/>
  <c r="F28" i="47"/>
  <c r="E28" i="47"/>
  <c r="D28" i="47"/>
  <c r="D30" i="47" s="1"/>
  <c r="D33" i="47" s="1"/>
  <c r="C28" i="47"/>
  <c r="B28" i="47"/>
  <c r="M134" i="46"/>
  <c r="M124" i="46"/>
  <c r="M114" i="46"/>
  <c r="N115" i="46" s="1"/>
  <c r="M102" i="46"/>
  <c r="N103" i="46" s="1"/>
  <c r="M88" i="46"/>
  <c r="N89" i="46" s="1"/>
  <c r="M82" i="46"/>
  <c r="N83" i="46" s="1"/>
  <c r="M67" i="46"/>
  <c r="M64" i="46"/>
  <c r="N65" i="46" s="1"/>
  <c r="M57" i="46"/>
  <c r="N58" i="46" s="1"/>
  <c r="N49" i="46"/>
  <c r="M29" i="46"/>
  <c r="Q30" i="46" s="1"/>
  <c r="N31" i="46" s="1"/>
  <c r="Q12" i="46"/>
  <c r="L28" i="47" l="1"/>
  <c r="N116" i="46"/>
  <c r="N117" i="46" s="1"/>
  <c r="D102" i="46"/>
  <c r="D64" i="46"/>
  <c r="D48" i="46"/>
  <c r="L29" i="47" l="1"/>
  <c r="D67" i="46"/>
  <c r="D82" i="46" s="1"/>
  <c r="B28" i="45" l="1"/>
  <c r="D134" i="46" l="1"/>
  <c r="D124" i="46"/>
  <c r="D114" i="46"/>
  <c r="E115" i="46" s="1"/>
  <c r="E103" i="46"/>
  <c r="D88" i="46"/>
  <c r="E89" i="46" s="1"/>
  <c r="E83" i="46"/>
  <c r="E65" i="46"/>
  <c r="D57" i="46"/>
  <c r="E58" i="46" s="1"/>
  <c r="E49" i="46"/>
  <c r="D29" i="46"/>
  <c r="H30" i="46" s="1"/>
  <c r="E31" i="46" s="1"/>
  <c r="H12" i="46"/>
  <c r="E116" i="46" l="1"/>
  <c r="E117" i="46" s="1"/>
  <c r="B36" i="45" l="1"/>
  <c r="B39" i="45" s="1"/>
  <c r="H28" i="45" l="1"/>
  <c r="G28" i="45"/>
  <c r="M29" i="44"/>
  <c r="Q30" i="44" s="1"/>
  <c r="N31" i="44" s="1"/>
  <c r="U90" i="44"/>
  <c r="M133" i="44"/>
  <c r="M123" i="44"/>
  <c r="M113" i="44"/>
  <c r="N114" i="44" s="1"/>
  <c r="M101" i="44"/>
  <c r="N102" i="44" s="1"/>
  <c r="M87" i="44"/>
  <c r="N88" i="44" s="1"/>
  <c r="M81" i="44"/>
  <c r="N82" i="44" s="1"/>
  <c r="M63" i="44"/>
  <c r="N64" i="44" s="1"/>
  <c r="M57" i="44"/>
  <c r="N58" i="44" s="1"/>
  <c r="M48" i="44"/>
  <c r="N49" i="44" s="1"/>
  <c r="Q12" i="44"/>
  <c r="J28" i="45"/>
  <c r="I28" i="45"/>
  <c r="F28" i="45"/>
  <c r="E28" i="45"/>
  <c r="D28" i="45"/>
  <c r="D32" i="45" s="1"/>
  <c r="C28" i="45"/>
  <c r="B31" i="45"/>
  <c r="F30" i="45" l="1"/>
  <c r="N115" i="44"/>
  <c r="N116" i="44" s="1"/>
  <c r="N133" i="44" s="1"/>
  <c r="L28" i="45"/>
  <c r="D101" i="44"/>
  <c r="E102" i="44" s="1"/>
  <c r="D81" i="44"/>
  <c r="E82" i="44" s="1"/>
  <c r="D48" i="44"/>
  <c r="E49" i="44" s="1"/>
  <c r="D29" i="44"/>
  <c r="H30" i="44" s="1"/>
  <c r="L29" i="45" l="1"/>
  <c r="D133" i="44"/>
  <c r="D123" i="44"/>
  <c r="D113" i="44"/>
  <c r="E114" i="44" s="1"/>
  <c r="D87" i="44"/>
  <c r="E88" i="44" s="1"/>
  <c r="D63" i="44"/>
  <c r="E64" i="44" s="1"/>
  <c r="D57" i="44"/>
  <c r="E58" i="44" s="1"/>
  <c r="E31" i="44"/>
  <c r="H12" i="44"/>
  <c r="E115" i="44" l="1"/>
  <c r="E116" i="44" s="1"/>
  <c r="P126" i="40"/>
  <c r="P128" i="40" s="1"/>
  <c r="B31" i="41"/>
  <c r="J28" i="43" l="1"/>
  <c r="I28" i="43"/>
  <c r="G28" i="43"/>
  <c r="F28" i="43"/>
  <c r="E28" i="43"/>
  <c r="D28" i="43"/>
  <c r="D30" i="43" s="1"/>
  <c r="C28" i="43"/>
  <c r="B28" i="43"/>
  <c r="H28" i="43"/>
  <c r="M132" i="42"/>
  <c r="M122" i="42"/>
  <c r="M112" i="42"/>
  <c r="N113" i="42" s="1"/>
  <c r="M100" i="42"/>
  <c r="N101" i="42" s="1"/>
  <c r="M86" i="42"/>
  <c r="N87" i="42" s="1"/>
  <c r="M74" i="42"/>
  <c r="M80" i="42" s="1"/>
  <c r="N81" i="42" s="1"/>
  <c r="M63" i="42"/>
  <c r="N64" i="42" s="1"/>
  <c r="M57" i="42"/>
  <c r="N58" i="42" s="1"/>
  <c r="M48" i="42"/>
  <c r="N49" i="42" s="1"/>
  <c r="M29" i="42"/>
  <c r="Q30" i="42" s="1"/>
  <c r="N31" i="42" s="1"/>
  <c r="M4" i="42"/>
  <c r="Q12" i="42" s="1"/>
  <c r="L28" i="43" l="1"/>
  <c r="N114" i="42"/>
  <c r="N115" i="42" s="1"/>
  <c r="L29" i="43" l="1"/>
  <c r="D48" i="42" l="1"/>
  <c r="D4" i="42"/>
  <c r="H12" i="42" s="1"/>
  <c r="D74" i="42"/>
  <c r="D132" i="42" l="1"/>
  <c r="D122" i="42"/>
  <c r="D112" i="42"/>
  <c r="E113" i="42" s="1"/>
  <c r="D100" i="42"/>
  <c r="E101" i="42" s="1"/>
  <c r="D86" i="42"/>
  <c r="E87" i="42" s="1"/>
  <c r="D80" i="42"/>
  <c r="E81" i="42" s="1"/>
  <c r="D63" i="42"/>
  <c r="E64" i="42" s="1"/>
  <c r="D57" i="42"/>
  <c r="E58" i="42" s="1"/>
  <c r="E49" i="42"/>
  <c r="D29" i="42"/>
  <c r="H30" i="42" s="1"/>
  <c r="E31" i="42" s="1"/>
  <c r="E114" i="42" l="1"/>
  <c r="E115" i="42" s="1"/>
  <c r="R103" i="40" l="1"/>
  <c r="S21" i="40" l="1"/>
  <c r="H14" i="41" l="1"/>
  <c r="B30" i="41"/>
  <c r="M111" i="40"/>
  <c r="M131" i="40" l="1"/>
  <c r="M121" i="40"/>
  <c r="N112" i="40"/>
  <c r="M99" i="40"/>
  <c r="N100" i="40" s="1"/>
  <c r="M85" i="40"/>
  <c r="N86" i="40" s="1"/>
  <c r="M66" i="40"/>
  <c r="M79" i="40" s="1"/>
  <c r="N80" i="40" s="1"/>
  <c r="M62" i="40"/>
  <c r="N63" i="40" s="1"/>
  <c r="M56" i="40"/>
  <c r="N57" i="40" s="1"/>
  <c r="M47" i="40"/>
  <c r="N48" i="40" s="1"/>
  <c r="M28" i="40"/>
  <c r="Q29" i="40" s="1"/>
  <c r="N30" i="40" s="1"/>
  <c r="Q11" i="40"/>
  <c r="N113" i="40" l="1"/>
  <c r="N114" i="40" s="1"/>
  <c r="J28" i="41"/>
  <c r="I28" i="41"/>
  <c r="G28" i="41"/>
  <c r="F28" i="41"/>
  <c r="E28" i="41"/>
  <c r="D28" i="41"/>
  <c r="C28" i="41"/>
  <c r="H28" i="41"/>
  <c r="B28" i="41" l="1"/>
  <c r="L28" i="41" s="1"/>
  <c r="D28" i="40"/>
  <c r="H29" i="40" s="1"/>
  <c r="D47" i="40"/>
  <c r="E48" i="40" s="1"/>
  <c r="L29" i="41" l="1"/>
  <c r="D66" i="40"/>
  <c r="D79" i="40" s="1"/>
  <c r="I38" i="38" l="1"/>
  <c r="B4" i="39" l="1"/>
  <c r="B31" i="39" l="1"/>
  <c r="D131" i="40"/>
  <c r="D121" i="40"/>
  <c r="D111" i="40"/>
  <c r="E112" i="40" s="1"/>
  <c r="D99" i="40"/>
  <c r="E100" i="40" s="1"/>
  <c r="D85" i="40"/>
  <c r="E86" i="40" s="1"/>
  <c r="E80" i="40"/>
  <c r="D62" i="40"/>
  <c r="E63" i="40" s="1"/>
  <c r="D56" i="40"/>
  <c r="E57" i="40" s="1"/>
  <c r="E30" i="40"/>
  <c r="H11" i="40"/>
  <c r="E113" i="40" l="1"/>
  <c r="E114" i="40" s="1"/>
  <c r="H32" i="39"/>
  <c r="H3" i="39" l="1"/>
  <c r="H29" i="39" s="1"/>
  <c r="J29" i="39"/>
  <c r="I29" i="39"/>
  <c r="G29" i="39"/>
  <c r="F29" i="39"/>
  <c r="E29" i="39"/>
  <c r="D29" i="39"/>
  <c r="D31" i="39" s="1"/>
  <c r="C29" i="39"/>
  <c r="B29" i="39"/>
  <c r="B33" i="39" s="1"/>
  <c r="M120" i="38"/>
  <c r="M110" i="38"/>
  <c r="M100" i="38"/>
  <c r="N101" i="38" s="1"/>
  <c r="M93" i="38"/>
  <c r="N94" i="38" s="1"/>
  <c r="M79" i="38"/>
  <c r="N80" i="38" s="1"/>
  <c r="M73" i="38"/>
  <c r="N74" i="38" s="1"/>
  <c r="N58" i="38"/>
  <c r="M55" i="38"/>
  <c r="N56" i="38" s="1"/>
  <c r="M49" i="38"/>
  <c r="N50" i="38" s="1"/>
  <c r="M25" i="38"/>
  <c r="M40" i="38" s="1"/>
  <c r="N41" i="38" s="1"/>
  <c r="M18" i="38"/>
  <c r="Q11" i="38"/>
  <c r="M21" i="38" l="1"/>
  <c r="Q22" i="38" s="1"/>
  <c r="N23" i="38" s="1"/>
  <c r="L29" i="39"/>
  <c r="N102" i="38"/>
  <c r="D93" i="38"/>
  <c r="E58" i="38"/>
  <c r="D73" i="38"/>
  <c r="D49" i="38"/>
  <c r="N103" i="38" l="1"/>
  <c r="L30" i="39" s="1"/>
  <c r="D18" i="38"/>
  <c r="D21" i="38" s="1"/>
  <c r="D25" i="38" l="1"/>
  <c r="D40" i="38" s="1"/>
  <c r="D120" i="38"/>
  <c r="D110" i="38"/>
  <c r="D100" i="38"/>
  <c r="E101" i="38" s="1"/>
  <c r="E94" i="38"/>
  <c r="D79" i="38"/>
  <c r="E80" i="38" s="1"/>
  <c r="E74" i="38"/>
  <c r="D55" i="38"/>
  <c r="E56" i="38" s="1"/>
  <c r="E50" i="38"/>
  <c r="E41" i="38"/>
  <c r="H22" i="38"/>
  <c r="E23" i="38" s="1"/>
  <c r="H11" i="38"/>
  <c r="E102" i="38" l="1"/>
  <c r="E103" i="38" s="1"/>
  <c r="V18" i="36" l="1"/>
  <c r="V118" i="36"/>
  <c r="V108" i="36"/>
  <c r="V98" i="36"/>
  <c r="W99" i="36" s="1"/>
  <c r="V91" i="36"/>
  <c r="W92" i="36" s="1"/>
  <c r="V77" i="36"/>
  <c r="W78" i="36" s="1"/>
  <c r="V53" i="36"/>
  <c r="W54" i="36" s="1"/>
  <c r="V47" i="36"/>
  <c r="W48" i="36" s="1"/>
  <c r="V38" i="36"/>
  <c r="W39" i="36" s="1"/>
  <c r="Z19" i="36"/>
  <c r="W20" i="36" s="1"/>
  <c r="V4" i="36"/>
  <c r="Z11" i="36" s="1"/>
  <c r="B10" i="37" l="1"/>
  <c r="D66" i="36"/>
  <c r="J29" i="37" l="1"/>
  <c r="I29" i="37"/>
  <c r="H29" i="37"/>
  <c r="G29" i="37"/>
  <c r="F29" i="37"/>
  <c r="E29" i="37"/>
  <c r="D29" i="37"/>
  <c r="D32" i="37" s="1"/>
  <c r="C29" i="37"/>
  <c r="B29" i="37"/>
  <c r="B33" i="37" s="1"/>
  <c r="M66" i="36"/>
  <c r="V66" i="36" s="1"/>
  <c r="V71" i="36" s="1"/>
  <c r="W72" i="36" s="1"/>
  <c r="W100" i="36" s="1"/>
  <c r="W101" i="36" s="1"/>
  <c r="V119" i="36" s="1"/>
  <c r="M118" i="36"/>
  <c r="M108" i="36"/>
  <c r="M98" i="36"/>
  <c r="N99" i="36" s="1"/>
  <c r="M91" i="36"/>
  <c r="N92" i="36" s="1"/>
  <c r="M77" i="36"/>
  <c r="N78" i="36" s="1"/>
  <c r="M53" i="36"/>
  <c r="N54" i="36" s="1"/>
  <c r="M47" i="36"/>
  <c r="N48" i="36" s="1"/>
  <c r="M38" i="36"/>
  <c r="N39" i="36" s="1"/>
  <c r="M18" i="36"/>
  <c r="Q19" i="36" s="1"/>
  <c r="N20" i="36" s="1"/>
  <c r="M4" i="36"/>
  <c r="Q11" i="36" s="1"/>
  <c r="M71" i="36" l="1"/>
  <c r="N72" i="36" s="1"/>
  <c r="L29" i="37"/>
  <c r="L30" i="37" s="1"/>
  <c r="N100" i="36"/>
  <c r="N101" i="36" s="1"/>
  <c r="M119" i="36" s="1"/>
  <c r="D4" i="36" l="1"/>
  <c r="D77" i="36"/>
  <c r="D71" i="36"/>
  <c r="E72" i="36" s="1"/>
  <c r="D47" i="36"/>
  <c r="D38" i="36"/>
  <c r="E39" i="36" s="1"/>
  <c r="D118" i="36"/>
  <c r="D108" i="36"/>
  <c r="D98" i="36"/>
  <c r="E99" i="36" s="1"/>
  <c r="D91" i="36"/>
  <c r="E92" i="36" s="1"/>
  <c r="E78" i="36"/>
  <c r="D53" i="36"/>
  <c r="E54" i="36" s="1"/>
  <c r="E48" i="36"/>
  <c r="D18" i="36"/>
  <c r="H19" i="36" s="1"/>
  <c r="E20" i="36" s="1"/>
  <c r="H11" i="36"/>
  <c r="E100" i="36" l="1"/>
  <c r="E101" i="36" s="1"/>
  <c r="H33" i="35" l="1"/>
  <c r="J29" i="35" l="1"/>
  <c r="I29" i="35"/>
  <c r="H29" i="35"/>
  <c r="G29" i="35"/>
  <c r="F29" i="35"/>
  <c r="E29" i="35"/>
  <c r="D29" i="35"/>
  <c r="D32" i="35" s="1"/>
  <c r="C29" i="35"/>
  <c r="B29" i="35"/>
  <c r="B32" i="35" s="1"/>
  <c r="M109" i="33"/>
  <c r="M99" i="33"/>
  <c r="M89" i="33"/>
  <c r="N90" i="33" s="1"/>
  <c r="M72" i="33"/>
  <c r="M82" i="33" s="1"/>
  <c r="N83" i="33" s="1"/>
  <c r="M68" i="33"/>
  <c r="N69" i="33" s="1"/>
  <c r="M62" i="33"/>
  <c r="N63" i="33" s="1"/>
  <c r="M51" i="33"/>
  <c r="N52" i="33" s="1"/>
  <c r="M45" i="33"/>
  <c r="N46" i="33" s="1"/>
  <c r="M36" i="33"/>
  <c r="N37" i="33" s="1"/>
  <c r="M19" i="33"/>
  <c r="M28" i="33" s="1"/>
  <c r="Q29" i="33" s="1"/>
  <c r="N30" i="33" s="1"/>
  <c r="Q11" i="33"/>
  <c r="L29" i="35" l="1"/>
  <c r="N91" i="33"/>
  <c r="N92" i="33" s="1"/>
  <c r="L30" i="35" l="1"/>
  <c r="D72" i="33"/>
  <c r="D82" i="33" s="1"/>
  <c r="D62" i="33" l="1"/>
  <c r="E63" i="33" s="1"/>
  <c r="D36" i="33"/>
  <c r="D19" i="33" l="1"/>
  <c r="D28" i="33" s="1"/>
  <c r="H29" i="33" s="1"/>
  <c r="D45" i="34" l="1"/>
  <c r="D35" i="34"/>
  <c r="D26" i="34"/>
  <c r="E27" i="34" s="1"/>
  <c r="E18" i="34"/>
  <c r="D18" i="34"/>
  <c r="E19" i="34" s="1"/>
  <c r="H11" i="34"/>
  <c r="D109" i="33"/>
  <c r="D99" i="33"/>
  <c r="D89" i="33"/>
  <c r="E90" i="33" s="1"/>
  <c r="E83" i="33"/>
  <c r="D68" i="33"/>
  <c r="E69" i="33" s="1"/>
  <c r="D51" i="33"/>
  <c r="E52" i="33" s="1"/>
  <c r="D45" i="33"/>
  <c r="E46" i="33" s="1"/>
  <c r="E37" i="33"/>
  <c r="E30" i="33"/>
  <c r="H11" i="33"/>
  <c r="E28" i="34" l="1"/>
  <c r="F18" i="34"/>
  <c r="E91" i="33"/>
  <c r="E92" i="33" s="1"/>
  <c r="I13" i="31" l="1"/>
  <c r="H29" i="32" l="1"/>
  <c r="J29" i="32"/>
  <c r="I29" i="32"/>
  <c r="G29" i="32"/>
  <c r="F29" i="32"/>
  <c r="E29" i="32"/>
  <c r="D29" i="32"/>
  <c r="D32" i="32" s="1"/>
  <c r="C29" i="32"/>
  <c r="B29" i="32"/>
  <c r="E18" i="31"/>
  <c r="F14" i="31"/>
  <c r="F13" i="31"/>
  <c r="D45" i="31"/>
  <c r="D35" i="31"/>
  <c r="D26" i="31"/>
  <c r="E27" i="31" s="1"/>
  <c r="D18" i="31"/>
  <c r="E19" i="31" s="1"/>
  <c r="H11" i="31"/>
  <c r="M102" i="30"/>
  <c r="M92" i="30"/>
  <c r="M82" i="30"/>
  <c r="N83" i="30" s="1"/>
  <c r="M75" i="30"/>
  <c r="N76" i="30" s="1"/>
  <c r="M61" i="30"/>
  <c r="N62" i="30" s="1"/>
  <c r="M55" i="30"/>
  <c r="N56" i="30" s="1"/>
  <c r="M45" i="30"/>
  <c r="N46" i="30" s="1"/>
  <c r="M39" i="30"/>
  <c r="N40" i="30" s="1"/>
  <c r="M30" i="30"/>
  <c r="N31" i="30" s="1"/>
  <c r="M22" i="30"/>
  <c r="Q23" i="30" s="1"/>
  <c r="N24" i="30" s="1"/>
  <c r="Q11" i="30"/>
  <c r="F18" i="31" l="1"/>
  <c r="E28" i="31"/>
  <c r="L29" i="32"/>
  <c r="N84" i="30"/>
  <c r="N85" i="30" s="1"/>
  <c r="L30" i="32" s="1"/>
  <c r="D61" i="30" l="1"/>
  <c r="D55" i="30"/>
  <c r="E56" i="30" s="1"/>
  <c r="D45" i="30"/>
  <c r="D39" i="30"/>
  <c r="D30" i="30"/>
  <c r="D22" i="30"/>
  <c r="D102" i="30" l="1"/>
  <c r="D92" i="30"/>
  <c r="D82" i="30"/>
  <c r="E83" i="30" s="1"/>
  <c r="D75" i="30"/>
  <c r="E76" i="30" s="1"/>
  <c r="E62" i="30"/>
  <c r="E46" i="30"/>
  <c r="E40" i="30"/>
  <c r="E31" i="30"/>
  <c r="H23" i="30"/>
  <c r="E24" i="30" s="1"/>
  <c r="H11" i="30"/>
  <c r="E84" i="30" l="1"/>
  <c r="E85" i="30" s="1"/>
  <c r="F40" i="29"/>
  <c r="F41" i="29"/>
  <c r="B39" i="29"/>
  <c r="F44" i="29" l="1"/>
  <c r="L29" i="29"/>
  <c r="K29" i="29"/>
  <c r="J29" i="29"/>
  <c r="I29" i="29"/>
  <c r="H29" i="29"/>
  <c r="G29" i="29"/>
  <c r="F29" i="29"/>
  <c r="E29" i="29"/>
  <c r="D29" i="29"/>
  <c r="D32" i="29" s="1"/>
  <c r="C29" i="29"/>
  <c r="B29" i="29"/>
  <c r="D45" i="28"/>
  <c r="D35" i="28"/>
  <c r="D26" i="28"/>
  <c r="E27" i="28" s="1"/>
  <c r="D18" i="28"/>
  <c r="E19" i="28" s="1"/>
  <c r="H11" i="28"/>
  <c r="M102" i="27"/>
  <c r="M92" i="27"/>
  <c r="M82" i="27"/>
  <c r="N83" i="27" s="1"/>
  <c r="M77" i="27"/>
  <c r="N78" i="27" s="1"/>
  <c r="M63" i="27"/>
  <c r="N64" i="27" s="1"/>
  <c r="M52" i="27"/>
  <c r="M51" i="27"/>
  <c r="M44" i="27"/>
  <c r="M47" i="27" s="1"/>
  <c r="N48" i="27" s="1"/>
  <c r="M41" i="27"/>
  <c r="N42" i="27" s="1"/>
  <c r="M32" i="27"/>
  <c r="N33" i="27" s="1"/>
  <c r="M19" i="27"/>
  <c r="Q20" i="27" s="1"/>
  <c r="N21" i="27" s="1"/>
  <c r="Q11" i="27"/>
  <c r="E28" i="28" l="1"/>
  <c r="M57" i="27"/>
  <c r="N58" i="27" s="1"/>
  <c r="N84" i="27" s="1"/>
  <c r="N85" i="27" s="1"/>
  <c r="N29" i="29"/>
  <c r="N30" i="29" s="1"/>
  <c r="D32" i="27"/>
  <c r="D51" i="27" l="1"/>
  <c r="D44" i="27" l="1"/>
  <c r="D52" i="27"/>
  <c r="D57" i="27" s="1"/>
  <c r="E58" i="27" s="1"/>
  <c r="D102" i="27"/>
  <c r="D92" i="27"/>
  <c r="D82" i="27"/>
  <c r="E83" i="27" s="1"/>
  <c r="D77" i="27"/>
  <c r="E78" i="27" s="1"/>
  <c r="D63" i="27"/>
  <c r="E64" i="27" s="1"/>
  <c r="D41" i="27"/>
  <c r="E42" i="27" s="1"/>
  <c r="E33" i="27"/>
  <c r="D19" i="27"/>
  <c r="H20" i="27" s="1"/>
  <c r="E21" i="27" s="1"/>
  <c r="H11" i="27"/>
  <c r="D47" i="27" l="1"/>
  <c r="E48" i="27" s="1"/>
  <c r="E84" i="27" s="1"/>
  <c r="E85" i="27" s="1"/>
  <c r="Y67" i="23"/>
  <c r="B6" i="26" l="1"/>
  <c r="K38" i="22"/>
  <c r="Y66" i="23"/>
  <c r="Y65" i="23"/>
  <c r="Y69" i="23" s="1"/>
  <c r="L29" i="26" l="1"/>
  <c r="K29" i="26"/>
  <c r="J29" i="26"/>
  <c r="I29" i="26"/>
  <c r="H29" i="26"/>
  <c r="G29" i="26"/>
  <c r="F29" i="26"/>
  <c r="F31" i="26" s="1"/>
  <c r="E29" i="26"/>
  <c r="D29" i="26"/>
  <c r="D33" i="26" s="1"/>
  <c r="C29" i="26"/>
  <c r="B29" i="26"/>
  <c r="B32" i="26" s="1"/>
  <c r="D45" i="24"/>
  <c r="D35" i="24"/>
  <c r="D26" i="24"/>
  <c r="E27" i="24" s="1"/>
  <c r="D18" i="24"/>
  <c r="E19" i="24" s="1"/>
  <c r="H11" i="24"/>
  <c r="M114" i="23"/>
  <c r="M104" i="23"/>
  <c r="M94" i="23"/>
  <c r="N95" i="23" s="1"/>
  <c r="M89" i="23"/>
  <c r="N90" i="23" s="1"/>
  <c r="M75" i="23"/>
  <c r="N76" i="23" s="1"/>
  <c r="M66" i="23"/>
  <c r="M69" i="23" s="1"/>
  <c r="N70" i="23" s="1"/>
  <c r="M58" i="23"/>
  <c r="M60" i="23" s="1"/>
  <c r="N61" i="23" s="1"/>
  <c r="M54" i="23"/>
  <c r="N55" i="23" s="1"/>
  <c r="M45" i="23"/>
  <c r="N46" i="23" s="1"/>
  <c r="M29" i="23"/>
  <c r="Q30" i="23" s="1"/>
  <c r="N31" i="23" s="1"/>
  <c r="Q11" i="23"/>
  <c r="E28" i="24" l="1"/>
  <c r="N29" i="26"/>
  <c r="N96" i="23"/>
  <c r="N97" i="23" s="1"/>
  <c r="D89" i="23"/>
  <c r="D75" i="23"/>
  <c r="D45" i="23"/>
  <c r="Q107" i="23" l="1"/>
  <c r="M115" i="23"/>
  <c r="D58" i="23"/>
  <c r="D60" i="23" s="1"/>
  <c r="D66" i="23" l="1"/>
  <c r="D69" i="23" s="1"/>
  <c r="K39" i="22" l="1"/>
  <c r="K40" i="22"/>
  <c r="K42" i="22" l="1"/>
  <c r="D114" i="23"/>
  <c r="D104" i="23"/>
  <c r="D94" i="23"/>
  <c r="E95" i="23" s="1"/>
  <c r="E90" i="23"/>
  <c r="E76" i="23"/>
  <c r="E70" i="23"/>
  <c r="E61" i="23"/>
  <c r="D54" i="23"/>
  <c r="E55" i="23" s="1"/>
  <c r="E46" i="23"/>
  <c r="D29" i="23"/>
  <c r="H30" i="23" s="1"/>
  <c r="E31" i="23" s="1"/>
  <c r="H11" i="23"/>
  <c r="E96" i="23" l="1"/>
  <c r="E97" i="23" s="1"/>
  <c r="C29" i="22"/>
  <c r="D29" i="22"/>
  <c r="D33" i="22" s="1"/>
  <c r="E29" i="22"/>
  <c r="F29" i="22"/>
  <c r="F31" i="22" s="1"/>
  <c r="G29" i="22"/>
  <c r="H29" i="22"/>
  <c r="I29" i="22"/>
  <c r="J29" i="22"/>
  <c r="K29" i="22"/>
  <c r="L29" i="22"/>
  <c r="B29" i="22"/>
  <c r="D45" i="20"/>
  <c r="D35" i="20"/>
  <c r="D26" i="20"/>
  <c r="E27" i="20" s="1"/>
  <c r="D18" i="20"/>
  <c r="E19" i="20" s="1"/>
  <c r="H11" i="20"/>
  <c r="M87" i="21"/>
  <c r="N88" i="21" s="1"/>
  <c r="M112" i="21"/>
  <c r="M102" i="21"/>
  <c r="M92" i="21"/>
  <c r="N93" i="21" s="1"/>
  <c r="M68" i="21"/>
  <c r="M71" i="21" s="1"/>
  <c r="N72" i="21" s="1"/>
  <c r="M65" i="21"/>
  <c r="N66" i="21" s="1"/>
  <c r="M59" i="21"/>
  <c r="N60" i="21" s="1"/>
  <c r="M54" i="21"/>
  <c r="N55" i="21" s="1"/>
  <c r="M45" i="21"/>
  <c r="N46" i="21" s="1"/>
  <c r="M25" i="21"/>
  <c r="M29" i="21" s="1"/>
  <c r="Q30" i="21" s="1"/>
  <c r="N31" i="21" s="1"/>
  <c r="Q11" i="21"/>
  <c r="E28" i="20" l="1"/>
  <c r="L32" i="22"/>
  <c r="N94" i="21"/>
  <c r="N95" i="21" s="1"/>
  <c r="M113" i="21" s="1"/>
  <c r="D87" i="21"/>
  <c r="D59" i="21"/>
  <c r="E60" i="21" s="1"/>
  <c r="D54" i="21"/>
  <c r="D45" i="21"/>
  <c r="D68" i="21"/>
  <c r="D71" i="21" s="1"/>
  <c r="D25" i="21" l="1"/>
  <c r="D29" i="21" s="1"/>
  <c r="H30" i="21" s="1"/>
  <c r="E31" i="21" s="1"/>
  <c r="D112" i="21"/>
  <c r="D102" i="21"/>
  <c r="D92" i="21"/>
  <c r="E93" i="21" s="1"/>
  <c r="E88" i="21"/>
  <c r="E72" i="21"/>
  <c r="D65" i="21"/>
  <c r="E66" i="21" s="1"/>
  <c r="E55" i="21"/>
  <c r="E46" i="21"/>
  <c r="H11" i="21"/>
  <c r="L15" i="14"/>
  <c r="K15" i="14"/>
  <c r="J15" i="14"/>
  <c r="H15" i="14"/>
  <c r="F15" i="14"/>
  <c r="D15" i="14"/>
  <c r="D17" i="14" s="1"/>
  <c r="B8" i="14"/>
  <c r="B15" i="14" s="1"/>
  <c r="M104" i="12"/>
  <c r="M94" i="12"/>
  <c r="M84" i="12"/>
  <c r="N85" i="12" s="1"/>
  <c r="M79" i="12"/>
  <c r="N80" i="12" s="1"/>
  <c r="M69" i="12"/>
  <c r="N70" i="12" s="1"/>
  <c r="M62" i="12"/>
  <c r="N63" i="12" s="1"/>
  <c r="M55" i="12"/>
  <c r="N56" i="12" s="1"/>
  <c r="M48" i="12"/>
  <c r="N49" i="12" s="1"/>
  <c r="M28" i="12"/>
  <c r="Q29" i="12" s="1"/>
  <c r="N30" i="12" s="1"/>
  <c r="Q11" i="12"/>
  <c r="L15" i="7"/>
  <c r="K15" i="7"/>
  <c r="J15" i="7"/>
  <c r="H15" i="7"/>
  <c r="F15" i="7"/>
  <c r="F17" i="7" s="1"/>
  <c r="D15" i="7"/>
  <c r="D18" i="7" s="1"/>
  <c r="B15" i="7"/>
  <c r="E94" i="21" l="1"/>
  <c r="E95" i="21" s="1"/>
  <c r="L18" i="14"/>
  <c r="N86" i="12"/>
  <c r="N87" i="12" s="1"/>
  <c r="M105" i="12" s="1"/>
  <c r="D79" i="12" l="1"/>
  <c r="D69" i="12"/>
  <c r="D48" i="12"/>
  <c r="D14" i="13" l="1"/>
  <c r="D28" i="12" l="1"/>
  <c r="D45" i="13"/>
  <c r="D35" i="13"/>
  <c r="D26" i="13"/>
  <c r="E27" i="13" s="1"/>
  <c r="D18" i="13"/>
  <c r="E19" i="13" s="1"/>
  <c r="H11" i="13"/>
  <c r="E28" i="13" l="1"/>
  <c r="D104" i="12"/>
  <c r="D94" i="12"/>
  <c r="D84" i="12"/>
  <c r="E85" i="12" s="1"/>
  <c r="E80" i="12"/>
  <c r="E70" i="12"/>
  <c r="D62" i="12"/>
  <c r="E63" i="12" s="1"/>
  <c r="D55" i="12"/>
  <c r="E56" i="12" s="1"/>
  <c r="E49" i="12"/>
  <c r="H29" i="12"/>
  <c r="E30" i="12" s="1"/>
  <c r="H11" i="12"/>
  <c r="E86" i="12" l="1"/>
  <c r="E87" i="12" s="1"/>
  <c r="M95" i="9" l="1"/>
  <c r="M85" i="9"/>
  <c r="M75" i="9"/>
  <c r="N76" i="9" s="1"/>
  <c r="M70" i="9"/>
  <c r="N71" i="9" s="1"/>
  <c r="M60" i="9"/>
  <c r="N61" i="9" s="1"/>
  <c r="M53" i="9"/>
  <c r="N54" i="9" s="1"/>
  <c r="M46" i="9"/>
  <c r="N47" i="9" s="1"/>
  <c r="M39" i="9"/>
  <c r="N40" i="9" s="1"/>
  <c r="M35" i="9"/>
  <c r="M20" i="9"/>
  <c r="Q21" i="9" s="1"/>
  <c r="N22" i="9" s="1"/>
  <c r="Q11" i="9"/>
  <c r="N77" i="9" l="1"/>
  <c r="N78" i="9" s="1"/>
  <c r="D15" i="6" l="1"/>
  <c r="D20" i="9"/>
  <c r="D25" i="9"/>
  <c r="D46" i="9"/>
  <c r="D14" i="6"/>
  <c r="D35" i="9"/>
  <c r="D39" i="9" l="1"/>
  <c r="D60" i="9"/>
  <c r="E61" i="9" s="1"/>
  <c r="D45" i="6"/>
  <c r="D35" i="6"/>
  <c r="D26" i="6"/>
  <c r="E27" i="6" s="1"/>
  <c r="D18" i="6"/>
  <c r="E19" i="6" s="1"/>
  <c r="H11" i="6"/>
  <c r="D95" i="9"/>
  <c r="D85" i="9"/>
  <c r="D75" i="9"/>
  <c r="E76" i="9" s="1"/>
  <c r="D70" i="9"/>
  <c r="E71" i="9" s="1"/>
  <c r="D53" i="9"/>
  <c r="E54" i="9" s="1"/>
  <c r="E47" i="9"/>
  <c r="E40" i="9"/>
  <c r="H21" i="9"/>
  <c r="E22" i="9" s="1"/>
  <c r="H11" i="9"/>
  <c r="E77" i="9" l="1"/>
  <c r="E78" i="9" s="1"/>
  <c r="E28" i="6"/>
  <c r="M96" i="3" l="1"/>
  <c r="M100" i="3" l="1"/>
  <c r="M90" i="3"/>
  <c r="M80" i="3"/>
  <c r="N81" i="3" s="1"/>
  <c r="M75" i="3"/>
  <c r="N76" i="3" s="1"/>
  <c r="M47" i="3"/>
  <c r="M51" i="3" s="1"/>
  <c r="N52" i="3" s="1"/>
  <c r="M44" i="3"/>
  <c r="N45" i="3" s="1"/>
  <c r="M37" i="3"/>
  <c r="M39" i="3" s="1"/>
  <c r="N40" i="3" s="1"/>
  <c r="M17" i="3"/>
  <c r="M28" i="3" s="1"/>
  <c r="Q29" i="3" s="1"/>
  <c r="N30" i="3" s="1"/>
  <c r="Q11" i="3"/>
  <c r="N82" i="3" l="1"/>
  <c r="N83" i="3" s="1"/>
  <c r="P95" i="3" s="1"/>
  <c r="D80" i="3"/>
  <c r="E81" i="3"/>
  <c r="D75" i="3"/>
  <c r="E76" i="3" s="1"/>
  <c r="H11" i="3"/>
  <c r="D4" i="4" l="1"/>
  <c r="L15" i="5"/>
  <c r="K15" i="5"/>
  <c r="J15" i="5"/>
  <c r="H15" i="5"/>
  <c r="F15" i="5"/>
  <c r="F17" i="5" s="1"/>
  <c r="D15" i="5"/>
  <c r="D18" i="5" s="1"/>
  <c r="B15" i="5"/>
  <c r="D35" i="4"/>
  <c r="D26" i="4"/>
  <c r="E27" i="4" s="1"/>
  <c r="D15" i="4"/>
  <c r="D14" i="4"/>
  <c r="D45" i="4" l="1"/>
  <c r="D18" i="4"/>
  <c r="E19" i="4" s="1"/>
  <c r="E28" i="4" s="1"/>
  <c r="H11" i="4"/>
  <c r="D17" i="3"/>
  <c r="D37" i="3" l="1"/>
  <c r="D39" i="3" s="1"/>
  <c r="E40" i="3" s="1"/>
  <c r="D47" i="3"/>
  <c r="D51" i="3" s="1"/>
  <c r="E52" i="3" s="1"/>
  <c r="D100" i="3" l="1"/>
  <c r="D90" i="3"/>
  <c r="D44" i="3"/>
  <c r="E45" i="3" s="1"/>
  <c r="E82" i="3" s="1"/>
  <c r="D28" i="3"/>
  <c r="H29" i="3" l="1"/>
  <c r="E30" i="3" s="1"/>
  <c r="E83" i="3" s="1"/>
  <c r="C17" i="2"/>
  <c r="B21" i="2" l="1"/>
  <c r="M107" i="1"/>
  <c r="M97" i="1"/>
  <c r="M87" i="1"/>
  <c r="N88" i="1" s="1"/>
  <c r="M82" i="1"/>
  <c r="N83" i="1" s="1"/>
  <c r="M58" i="1"/>
  <c r="N59" i="1" s="1"/>
  <c r="M51" i="1"/>
  <c r="N52" i="1" s="1"/>
  <c r="M39" i="1"/>
  <c r="M46" i="1" s="1"/>
  <c r="N47" i="1" s="1"/>
  <c r="M28" i="1"/>
  <c r="Q29" i="1" s="1"/>
  <c r="N30" i="1" s="1"/>
  <c r="M8" i="1"/>
  <c r="Q11" i="1" s="1"/>
  <c r="N89" i="1" l="1"/>
  <c r="N90" i="1" s="1"/>
  <c r="N97" i="1" s="1"/>
  <c r="P108" i="1" s="1"/>
  <c r="D15" i="2" l="1"/>
  <c r="D17" i="2" s="1"/>
  <c r="F15" i="2"/>
  <c r="H15" i="2"/>
  <c r="J15" i="2"/>
  <c r="K15" i="2"/>
  <c r="L15" i="2"/>
  <c r="B15" i="2"/>
  <c r="B20" i="2" l="1"/>
  <c r="B23" i="2" s="1"/>
  <c r="D87" i="1" l="1"/>
  <c r="E88" i="1" s="1"/>
  <c r="D82" i="1"/>
  <c r="D58" i="1"/>
  <c r="D51" i="1"/>
  <c r="D28" i="1"/>
  <c r="D39" i="1" l="1"/>
  <c r="D46" i="1" s="1"/>
  <c r="E59" i="1"/>
  <c r="D107" i="1" l="1"/>
  <c r="D97" i="1"/>
  <c r="E83" i="1"/>
  <c r="E52" i="1"/>
  <c r="E47" i="1"/>
  <c r="H29" i="1"/>
  <c r="E30" i="1" s="1"/>
  <c r="D8" i="1"/>
  <c r="H11" i="1" s="1"/>
  <c r="E89" i="1" l="1"/>
  <c r="E90" i="1" s="1"/>
</calcChain>
</file>

<file path=xl/sharedStrings.xml><?xml version="1.0" encoding="utf-8"?>
<sst xmlns="http://schemas.openxmlformats.org/spreadsheetml/2006/main" count="13065" uniqueCount="1687">
  <si>
    <t>REKAPAN PENGAJUAN</t>
  </si>
  <si>
    <t xml:space="preserve">POSISI KAS SAAT INI </t>
  </si>
  <si>
    <t xml:space="preserve">Kas Besar (Nisa) </t>
  </si>
  <si>
    <t xml:space="preserve">Mandiri Akhmad Jaelani </t>
  </si>
  <si>
    <t xml:space="preserve">Mandiri CBS </t>
  </si>
  <si>
    <t>BJB CBS</t>
  </si>
  <si>
    <t>BJB CRS</t>
  </si>
  <si>
    <t>BRI CRS</t>
  </si>
  <si>
    <t>UMUM</t>
  </si>
  <si>
    <t>TGL</t>
  </si>
  <si>
    <t>NO KAS</t>
  </si>
  <si>
    <t>KETERANGAN PENGAJUAN</t>
  </si>
  <si>
    <t>PENGAJUAN</t>
  </si>
  <si>
    <t>PENCAIRAN</t>
  </si>
  <si>
    <t>SUDAH</t>
  </si>
  <si>
    <t>CASH</t>
  </si>
  <si>
    <t>GIRO</t>
  </si>
  <si>
    <t>TRANSFER</t>
  </si>
  <si>
    <t>Ku.25.261</t>
  </si>
  <si>
    <t xml:space="preserve">Listrik </t>
  </si>
  <si>
    <t>JUMLAH PENGAJUAN UMUM</t>
  </si>
  <si>
    <t>Jumlah Yang Belum Dibayar</t>
  </si>
  <si>
    <t>TOTAL PENGAJUAN UMUM</t>
  </si>
  <si>
    <t>ALCENT</t>
  </si>
  <si>
    <t>JUMLAH PENGAJUAN  SD,SMP,SMA</t>
  </si>
  <si>
    <t xml:space="preserve">JUMLAH PENGAJUAN Jl. Gitar </t>
  </si>
  <si>
    <t>KONTRABON</t>
  </si>
  <si>
    <t>Kt.25.1234</t>
  </si>
  <si>
    <t>KONTRABON RESTULOGAM 27/12 SMA</t>
  </si>
  <si>
    <t>Kt.25.1235</t>
  </si>
  <si>
    <t xml:space="preserve">KONTRABON RESTULOGAM 29/12 TK </t>
  </si>
  <si>
    <t>JUMLAH PENGAJUAN Kontrabon</t>
  </si>
  <si>
    <t xml:space="preserve">TAMBAHAN PENGAJUAN </t>
  </si>
  <si>
    <t>Kt.25.</t>
  </si>
  <si>
    <t xml:space="preserve">JUMLAH PENGAJUAN </t>
  </si>
  <si>
    <t>TOTAL PENGAJUAN KONTRAKTOR</t>
  </si>
  <si>
    <t>JUMLAH KESELURUHAN PENGAJUAN</t>
  </si>
  <si>
    <t xml:space="preserve">JUMLAH </t>
  </si>
  <si>
    <t>TOTAL</t>
  </si>
  <si>
    <t>NO</t>
  </si>
  <si>
    <t>TANGGAL</t>
  </si>
  <si>
    <t>KETERANGAN</t>
  </si>
  <si>
    <t>JUMLAH</t>
  </si>
  <si>
    <t>PARAF</t>
  </si>
  <si>
    <t xml:space="preserve">Jumlah Penerimaan </t>
  </si>
  <si>
    <t>Ku.25.001</t>
  </si>
  <si>
    <t>Air Minum (1 Gln)</t>
  </si>
  <si>
    <t>PA HERI</t>
  </si>
  <si>
    <t>Pa Dedi</t>
  </si>
  <si>
    <t>PA MAMAT</t>
  </si>
  <si>
    <t>NISA</t>
  </si>
  <si>
    <t xml:space="preserve">Pa Uden </t>
  </si>
  <si>
    <t>Pa Engkus</t>
  </si>
  <si>
    <t>Upah Pa Heri (Pembuatan RAB) RT Bu Ani</t>
  </si>
  <si>
    <t xml:space="preserve">Sumedang </t>
  </si>
  <si>
    <t xml:space="preserve">JUMLAH PENGAJUAN Sumedang </t>
  </si>
  <si>
    <t>Kt.26.015</t>
  </si>
  <si>
    <t>Upah Pa Dedi (Sumedang)</t>
  </si>
  <si>
    <t>Upah Pa Heri (Sumedang)</t>
  </si>
  <si>
    <t>Kt.26.018</t>
  </si>
  <si>
    <t>Upah Tukang Pekerjaan Pengecetan Ruang Kls (Pa Mamat) Pro TK</t>
  </si>
  <si>
    <t>Upah Tukang Listrik Pek Pengecekan R.TU (Pa Soni) Pro TK</t>
  </si>
  <si>
    <t>Kt.26.017</t>
  </si>
  <si>
    <t>Upah Pa Dedi (1 Hari) Pro SMP</t>
  </si>
  <si>
    <t xml:space="preserve">Upah Pa Heri Pro SMP </t>
  </si>
  <si>
    <t>Kt.26.016</t>
  </si>
  <si>
    <t>Upah Tukang Pek Dren Ac Ruang Kls 201,Cet Plapon Bekas,dll(Pa Mamat) Pro SMA</t>
  </si>
  <si>
    <t>Upah Tukang Listrik Pek perbaikan Konslet STK R.209,210 (Pa Soni) Pro SMA</t>
  </si>
  <si>
    <t>Upah Pa Dedi (5 Hari) Pro SMA</t>
  </si>
  <si>
    <t>Upah Heri Pro SMA</t>
  </si>
  <si>
    <t>Bon Talangan Pa Mamat (Pemb Semen &amp; Lem Fiber) Pro SMA</t>
  </si>
  <si>
    <t>Kt.26.019</t>
  </si>
  <si>
    <t xml:space="preserve">Upah Pa Yoda Perbaikan Pintu Pro Jl Gitar </t>
  </si>
  <si>
    <t xml:space="preserve">Telphone &amp; Internet </t>
  </si>
  <si>
    <t>PER TANGGAL 9 Januari 2026</t>
  </si>
  <si>
    <t>TOTAL POSISI KAS DAN BANK TGL 9 Januari 2026</t>
  </si>
  <si>
    <t>Upah Tukang Pek Talang Air Area Aula,Pemasangan Rambang,dll (Pa Mamat) Pro SMP</t>
  </si>
  <si>
    <t>KONTRABON RESTULOGAM 8/1 SMP</t>
  </si>
  <si>
    <t>Kt.26.020</t>
  </si>
  <si>
    <t>Kt.26.021</t>
  </si>
  <si>
    <t>KONTRABON RESTULOGAM 1/3 TK</t>
  </si>
  <si>
    <t>KONTRABON RESTULOGAM 1/3 SMP</t>
  </si>
  <si>
    <t>Pek Perbaikan Pintu HPL (Pa Yoda) Pro SMA</t>
  </si>
  <si>
    <t>Pelunasan Pek Plang No Smoking (Pa Yoda) Pro SMA</t>
  </si>
  <si>
    <t>Kt.26.023</t>
  </si>
  <si>
    <t>Pemb Matrial Alcent (Pa Mamat)</t>
  </si>
  <si>
    <t>Kt.26.024</t>
  </si>
  <si>
    <t>Jl. Gitar &amp; Antapani</t>
  </si>
  <si>
    <t>Pemb Pompa Dorong Antapani</t>
  </si>
  <si>
    <t>Kt.26.025</t>
  </si>
  <si>
    <t xml:space="preserve">KONTRABON RESTULOGAM 27/12 Bd Indah </t>
  </si>
  <si>
    <t>Kt.25.1247</t>
  </si>
  <si>
    <t>Kt.26.002</t>
  </si>
  <si>
    <t>Pek Neon Sign (Pa Karsana) Antapani</t>
  </si>
  <si>
    <t xml:space="preserve">Cash Mandiri </t>
  </si>
  <si>
    <t xml:space="preserve">Pencairan </t>
  </si>
  <si>
    <t xml:space="preserve">Cash </t>
  </si>
  <si>
    <t xml:space="preserve">Kekurangan </t>
  </si>
  <si>
    <t xml:space="preserve">Kasbon </t>
  </si>
  <si>
    <t>Kt.26.013</t>
  </si>
  <si>
    <t>Kt.26.028</t>
  </si>
  <si>
    <t>KONTRABON RESTULOGAM 12/1 Rt Bu Ani</t>
  </si>
  <si>
    <t>Konsumsi Rapat 12/1 Pro SD</t>
  </si>
  <si>
    <t>Ku.26.006</t>
  </si>
  <si>
    <t xml:space="preserve">Kerohiman (Pa Ocid) </t>
  </si>
  <si>
    <t>Pemb Tinta HP Smart 7740  (4 Btl)</t>
  </si>
  <si>
    <t>Pelunasan Pek Gordeng Pro SD</t>
  </si>
  <si>
    <t xml:space="preserve">JUMLAH PENGAJUAN RT Bu Ani </t>
  </si>
  <si>
    <t xml:space="preserve">Upah Pa Dedi Ke Jakarta </t>
  </si>
  <si>
    <t>RT Bu ANI</t>
  </si>
  <si>
    <t>Upah Pa Heri RT Bu Ani</t>
  </si>
  <si>
    <t>Upah Tukang RT Bu Ani</t>
  </si>
  <si>
    <t>Upah Pa Dedi RT Bu Ani</t>
  </si>
  <si>
    <t>TOTAL POSISI KAS DAN BANK TGL 14 Januari 2026</t>
  </si>
  <si>
    <t xml:space="preserve">Kontrabon </t>
  </si>
  <si>
    <t>TOTAL PENGAJUAN</t>
  </si>
  <si>
    <t>Kt.26.037</t>
  </si>
  <si>
    <t>KONTRABON RESTULOGAM 14/1 SMA</t>
  </si>
  <si>
    <t xml:space="preserve">Buku Pengajuan </t>
  </si>
  <si>
    <t>PER TANGGAL 14 Januari 2026</t>
  </si>
  <si>
    <t>Kt.26.005</t>
  </si>
  <si>
    <t>Kt.26.230</t>
  </si>
  <si>
    <t>Upah Tukang (Pa mamat) Pek Pasang Karpet,Aksesoris,dll Pro SMP</t>
  </si>
  <si>
    <t>Kt.26.040</t>
  </si>
  <si>
    <t>Kt.26.041</t>
  </si>
  <si>
    <t>Upah Tukang Pa Mamat (Pek Dren AC 201 LT 2 )Pro SMA</t>
  </si>
  <si>
    <t>Kt.26.042</t>
  </si>
  <si>
    <t xml:space="preserve">Kekurangan Kas Logistik </t>
  </si>
  <si>
    <t>Kt.26</t>
  </si>
  <si>
    <t>Kt.26.039</t>
  </si>
  <si>
    <t>Pemb Matrial RT Bu Ani</t>
  </si>
  <si>
    <t>Penerimaan Cash Dri Pa giri (MAJ)</t>
  </si>
  <si>
    <t xml:space="preserve">TF dri Pa gIri </t>
  </si>
  <si>
    <t>PER TANGGAL 22 Januari 2026</t>
  </si>
  <si>
    <t>Ku.26.007</t>
  </si>
  <si>
    <t>Air Minum (2 Gln)</t>
  </si>
  <si>
    <t>Aqua Gelas untuk rapat Tgl 17/1 (Talangan Pa Dedi)</t>
  </si>
  <si>
    <t>Kt.26.043</t>
  </si>
  <si>
    <t xml:space="preserve">Pemb Pressure Control Pro Jl Gitar </t>
  </si>
  <si>
    <t>Kt.26.047</t>
  </si>
  <si>
    <t>Kt.26.046</t>
  </si>
  <si>
    <t xml:space="preserve">Sewa Scaffolding Tgl 7 Des 25 - 5 Jan 26 Jl Gitar </t>
  </si>
  <si>
    <t>Sewa Scaffolding Tgl 18/12-16/1 Pro SMA</t>
  </si>
  <si>
    <t>Kt.26.049</t>
  </si>
  <si>
    <t xml:space="preserve">Tanggerang </t>
  </si>
  <si>
    <t>Kt.26.050</t>
  </si>
  <si>
    <t xml:space="preserve">SPJ Ke 20 Tgl 23/1 Pro Tanggerang </t>
  </si>
  <si>
    <t xml:space="preserve">Pemb Matrial Pro Tanggerang </t>
  </si>
  <si>
    <t>Kt.26.051</t>
  </si>
  <si>
    <t>Pemb Pek Pemasangan Kawat Duri &amp; Pengecetan (Pa Karsana) Pro SMA</t>
  </si>
  <si>
    <t>Upah Pa Dedi Pro SMA</t>
  </si>
  <si>
    <t xml:space="preserve">Upah Pa Heri Pro Tanggerang </t>
  </si>
  <si>
    <t xml:space="preserve">Upah Pa Dedi Pro Tanggerang </t>
  </si>
  <si>
    <t>Kt.26.055</t>
  </si>
  <si>
    <t>TOTAL POSISI KAS DAN BANK TGL 22 Januari 2026</t>
  </si>
  <si>
    <t>Upah Tukang Listrik Tgl 24 (Pasang Lampu Area perpus) Pa Soni Pro TK</t>
  </si>
  <si>
    <t>Upah Tukang Alumunium Tgl 24 Pro SMA Bongkar Pasang Jendela</t>
  </si>
  <si>
    <t>Kt.26.058</t>
  </si>
  <si>
    <t>Kt.26.057</t>
  </si>
  <si>
    <t>Upah Tukang (Pa Mamat) Pek Dren AC R. Yayasan,Pluran &amp; Bocoran Pro SMA</t>
  </si>
  <si>
    <t xml:space="preserve">Pemb Sapu Ijuk </t>
  </si>
  <si>
    <t xml:space="preserve">Mandiri CBS (Lagi gangguan </t>
  </si>
  <si>
    <t>Upah Pa Heri Pro SMA</t>
  </si>
  <si>
    <t xml:space="preserve">Upah Pa Heri Pro TK </t>
  </si>
  <si>
    <t>Kt.26.059</t>
  </si>
  <si>
    <t xml:space="preserve">Upah Pa Heri Pro SD </t>
  </si>
  <si>
    <t>JUMLAH PENGAJUAN Jl. Gitar &amp; Antapani</t>
  </si>
  <si>
    <t xml:space="preserve">Upah Pa Heri Pro Antapani </t>
  </si>
  <si>
    <t xml:space="preserve">Pemb Acrilik,Wallpaper,dll Pro SMA (Pa Heri) </t>
  </si>
  <si>
    <t>Upah Pemasangan huruf timbul R.Tu  Pro SMP (A Adit)</t>
  </si>
  <si>
    <t>Bon matrial talangan pa Mamat (Pemb V-sock,Plug,dop,dll) Pro SMA</t>
  </si>
  <si>
    <t>Kt.26.060</t>
  </si>
  <si>
    <t xml:space="preserve">Kekurangan Pemb tinta HP Smart 7740 </t>
  </si>
  <si>
    <t xml:space="preserve">Upah Tukang Pasangan Wallppaper Pro SMA </t>
  </si>
  <si>
    <t>Pelunasan perbaikan pintu SMA (Yoda)</t>
  </si>
  <si>
    <t>PER TANGGAL 29 Januari 2026</t>
  </si>
  <si>
    <t>TOTAL POSISI KAS DAN BANK TGL 29 Januari 2026</t>
  </si>
  <si>
    <t>Ku.25.011</t>
  </si>
  <si>
    <t xml:space="preserve">Service Motor Beat </t>
  </si>
  <si>
    <t>Ku.25.012</t>
  </si>
  <si>
    <t xml:space="preserve">BPJS Kesehatan </t>
  </si>
  <si>
    <t>BPJS Tenaga Kerja</t>
  </si>
  <si>
    <t xml:space="preserve">BPJS PA Bey </t>
  </si>
  <si>
    <t>Iuran rt rw</t>
  </si>
  <si>
    <t>Kebutuhan kantor</t>
  </si>
  <si>
    <t>ATK (Pemb Map Plastik)</t>
  </si>
  <si>
    <t>Kt.26.074</t>
  </si>
  <si>
    <t>Pemb Lampu Inlite (Talangan Pa Heri) Pro TK</t>
  </si>
  <si>
    <t>Kt.26.069</t>
  </si>
  <si>
    <t>Buang Sampah Barangkal &amp; BBM Pro SMP 13</t>
  </si>
  <si>
    <t>Kt.26.072</t>
  </si>
  <si>
    <t>KONTRABON RESTULOGAM 24/1 (Pemb Aquaproof,Kuas,Holo,dll) Pro SD</t>
  </si>
  <si>
    <t>Kt.26.073</t>
  </si>
  <si>
    <t>KONTRABON RESTULOGAM 27/1 (Pemb Aquaproof,Serat,Kuas,dll) Pro SMP 13</t>
  </si>
  <si>
    <t>Kt.26.075</t>
  </si>
  <si>
    <t xml:space="preserve">Pek Pembuatan Tiang Bendera Portable (Pa Karsana) Pro SMP </t>
  </si>
  <si>
    <t xml:space="preserve">JUMLAH PENGAJUAN Tanggerang </t>
  </si>
  <si>
    <t>Kt.26.076</t>
  </si>
  <si>
    <t xml:space="preserve">Upah Pa Dedi </t>
  </si>
  <si>
    <t xml:space="preserve">Upah Pa Heri (Buana Sari) </t>
  </si>
  <si>
    <t>Upah Pasang Wallpaper Pro SMA</t>
  </si>
  <si>
    <t>Pemb Matrial (Pemb Cat Dulux) Pro TK  (A Adit)</t>
  </si>
  <si>
    <t>Upah Tukang Pa Mamat (Pekerjaan Pegecetan Ruang Kls Pro TK/EN</t>
  </si>
  <si>
    <t>Kt.26.079</t>
  </si>
  <si>
    <t>Upah Tukang Pa Mamat (Pek Perapihan R. UKS &amp; Perapihan Bolongan Plafond) SD</t>
  </si>
  <si>
    <t>Upah Tukang Listrik Pro SD</t>
  </si>
  <si>
    <t>Kt.26.080</t>
  </si>
  <si>
    <t>Upah Tukang Pa Mamat (Pekerjaan Bocoran Lt. 3 ) Pro SMA</t>
  </si>
  <si>
    <t>Kt.26.082</t>
  </si>
  <si>
    <t xml:space="preserve">Upah Tukang Pa Mamat (Pek Pelapisan cat Plafond &amp; Tambal solam genteng) SMP 13 </t>
  </si>
  <si>
    <t xml:space="preserve">Upah Pa Dedi Pro SMP 13 </t>
  </si>
  <si>
    <t>Kt.26.083</t>
  </si>
  <si>
    <t xml:space="preserve">Upah Tukang Pro Tanggerang </t>
  </si>
  <si>
    <t>Kt.26.081</t>
  </si>
  <si>
    <t>KONTRABON RESTULOGAM 29/1 (Pemb Skrup Gipsum) Pro SMP 13</t>
  </si>
  <si>
    <t>Kt.26.085</t>
  </si>
  <si>
    <t>Kt.26.086</t>
  </si>
  <si>
    <t>KONTRABON RESTULOGAM 29/1 (Pemb Siku Alumunium,Cat,Kuas,dll) Pro SMP</t>
  </si>
  <si>
    <t>KONTRABON RESTULOGAM 29/1 (Pemb Roll cat,Kuas, Hamplas,dll) Pro TK</t>
  </si>
  <si>
    <t xml:space="preserve">Pemb Materai </t>
  </si>
  <si>
    <t>Pek Perbaikan AC SD</t>
  </si>
  <si>
    <t>Cash Pa Giri</t>
  </si>
  <si>
    <t>Sisa uang matrial SMPN 13</t>
  </si>
  <si>
    <t xml:space="preserve">Service Motor Jupiter </t>
  </si>
  <si>
    <t>Ku.26.014</t>
  </si>
  <si>
    <t>Ku.26.011</t>
  </si>
  <si>
    <t>Ku.26.012</t>
  </si>
  <si>
    <t xml:space="preserve">Air Minum 3 Gln </t>
  </si>
  <si>
    <t>Konsumsi Kunjungan SD White Bee Tgl 4/2</t>
  </si>
  <si>
    <t>Kt.26.094</t>
  </si>
  <si>
    <t>Pek Pembuatan Rangka Meja Multimedia (Pa Karsana) Pro SMA</t>
  </si>
  <si>
    <t>KONTRABON SEJAHTERA  24/1 (Pemb Pipa,soket,dll) Pro TK</t>
  </si>
  <si>
    <t>Kt.26.091</t>
  </si>
  <si>
    <t>KONTRABON RESTULOGAM 31/1 (Pemb Aspal Cair) Pro SMA</t>
  </si>
  <si>
    <t>KONTRABON RESTULOGAM 31/1 (Pemb Pisau Kramik) Pro SMA</t>
  </si>
  <si>
    <t>KONTRABON RESTULOGAM 3/2 (Pemb Ataboy,Lem,Amplas) Pro SMP 13</t>
  </si>
  <si>
    <t>KONTRABON TK IHSAN  1/1 (Pemb Pasir Pasang,Semen) Pro SMA</t>
  </si>
  <si>
    <t>Kt.26.095</t>
  </si>
  <si>
    <t>Kt.26.100</t>
  </si>
  <si>
    <t>Kt.26.099</t>
  </si>
  <si>
    <t>Sewa Scaffolding (Perpanjangan) Pro SMA</t>
  </si>
  <si>
    <t>Pelunasan Pek Perbaikan Pintu HPL (Pa Yoda) Pro SMA</t>
  </si>
  <si>
    <t>Pemb Brankas</t>
  </si>
  <si>
    <t>KONTRABON RESTULOGAM 3/2 (Pemb Pipa,Keni,Lem Asahi,dll) Pro SMA</t>
  </si>
  <si>
    <t>Kt.26.101</t>
  </si>
  <si>
    <t xml:space="preserve">Service Ganti Kaca Pro SD/TK EN </t>
  </si>
  <si>
    <t xml:space="preserve">Upah Tukang Pro Tanggerang (Pa  iyan &amp; Pa wiwin) </t>
  </si>
  <si>
    <t xml:space="preserve">Upah Tukang (Pengecetan Ruang Kls EN,Manhole Arba R. Guru,dll) Pro SD/TK EN </t>
  </si>
  <si>
    <t xml:space="preserve">Upah Lemburan Tukang (Pek  Pengecetan R. EN) Pro SD/TK EN </t>
  </si>
  <si>
    <t>Kt.26.102</t>
  </si>
  <si>
    <t>Upah Tukang Pa Mamat (Pek Pengecetan R. Wakasek,Pasang Lis Alumunium,dll) Pro SMP Alcent</t>
  </si>
  <si>
    <t xml:space="preserve">Upah Tukang Listrik Pa Soni (Pek Pemasngan Lampu) Pro SMP </t>
  </si>
  <si>
    <t>Kt.26.103</t>
  </si>
  <si>
    <t>Upah Tukang Pa Mamat (Pek Dren AC Area Sapras Lt 1,2,3,Tutup lubang Plafond,Exhaust R LSU dll) Pro SMA</t>
  </si>
  <si>
    <t>Kt.26.104</t>
  </si>
  <si>
    <t>SMP 13</t>
  </si>
  <si>
    <t>Upah Tukang Pa Mamat (Pek Bongkaran Kusen,dempul tembok,Pengecetan tembok,dll) Pro SMP 13</t>
  </si>
  <si>
    <t>Upah Pa Heri Pro SMP 13</t>
  </si>
  <si>
    <t>Upah Pa Dedi Pro SMP 13</t>
  </si>
  <si>
    <t>Bon Matrial Pa Heri (Pemb Cat) + Admin Pro SMP 13</t>
  </si>
  <si>
    <t>Pekerjaan Alumunium Pro SMP 13</t>
  </si>
  <si>
    <t xml:space="preserve">Sewa Scaffolding (Perpanjangan) Jl Gitar </t>
  </si>
  <si>
    <t xml:space="preserve">Upah Pa Dedi Pro Sumedang </t>
  </si>
  <si>
    <t xml:space="preserve">Upah Pa Heri Pro Sumedang </t>
  </si>
  <si>
    <t>Kt.26.106</t>
  </si>
  <si>
    <t>Kt.26.0105</t>
  </si>
  <si>
    <t>Kt.26.107</t>
  </si>
  <si>
    <t>KONTRABON RESTULOGAM 5/2 (Pemb Triplek,Cat,Kayu,Paku,dll) Pro SMP 13</t>
  </si>
  <si>
    <t>PER TANGGAL 05 Februari 2026</t>
  </si>
  <si>
    <t>TOTAL POSISI KAS DAN BANK TGL 05 Februari 2026</t>
  </si>
  <si>
    <t>JUMLAH PENGAJUAN SMP 13</t>
  </si>
  <si>
    <t>(Kurang)</t>
  </si>
  <si>
    <t>Kasbon dri uang (SPJ)</t>
  </si>
  <si>
    <t xml:space="preserve">harian Sumedang </t>
  </si>
  <si>
    <t xml:space="preserve">iwan </t>
  </si>
  <si>
    <t xml:space="preserve">Aki </t>
  </si>
  <si>
    <t>2 hri</t>
  </si>
  <si>
    <t xml:space="preserve">5 hri </t>
  </si>
  <si>
    <t>Ku.26.017</t>
  </si>
  <si>
    <t xml:space="preserve">Pemb Kertas A3 Sidu </t>
  </si>
  <si>
    <t>Kir Mobil G. Max</t>
  </si>
  <si>
    <t xml:space="preserve">Format Keuangan </t>
  </si>
  <si>
    <t>Kt.26.119</t>
  </si>
  <si>
    <t>Pekerjaan Pemasangan Kanopi atap Solar Plate Pro SMA</t>
  </si>
  <si>
    <t>Kekurangan Upah tukang Alumunium Pro SMA</t>
  </si>
  <si>
    <t>Kekurangan Upah tukang pasang Wallpaper Pro SMA</t>
  </si>
  <si>
    <t xml:space="preserve">KONTRABON RESTULOGAM 11/2 (pemb Paku,Kawat,benang) Pro Sumedang </t>
  </si>
  <si>
    <t>KONTRABON RESTULOGAM 7/2 (Pemb Aquaproof,Paku,Trprntin,dll) Pro SMP Alcent</t>
  </si>
  <si>
    <t xml:space="preserve">KONTRABON SEJAHTERA  7/2 (Pemb Matrial Listrik) Pro SMP Alcent </t>
  </si>
  <si>
    <t>Kt.26.124</t>
  </si>
  <si>
    <t>Kt.26.125</t>
  </si>
  <si>
    <t>Kt.26.122</t>
  </si>
  <si>
    <t xml:space="preserve">Upah Lemburan Minggu Kemarin 2-6/2 Pro Tanggerang </t>
  </si>
  <si>
    <t xml:space="preserve">Service Advance </t>
  </si>
  <si>
    <t>Kt.26.121</t>
  </si>
  <si>
    <t>Upah Lemburan Angkut Sofa Pro Antapani</t>
  </si>
  <si>
    <t>Kt.26.128</t>
  </si>
  <si>
    <t>Kt.26.126</t>
  </si>
  <si>
    <t xml:space="preserve">Upah Tukang Pa Mamat (Pekerjaan Perbaikan Gudang Samping 9E) Pro SMP </t>
  </si>
  <si>
    <t>Kt.26.127</t>
  </si>
  <si>
    <t>Upah Tukang Pa Mamat (Pekrjaan Bocoran Deletasi, Area Sap,dll) Pro SMA</t>
  </si>
  <si>
    <t xml:space="preserve">KONTRABON TEGUH 7/2 (Pemb Spandek,Paku Beton,Skrup) Pro SMP </t>
  </si>
  <si>
    <t>KONTRABON Teguh 7/2 (Pemb Besi BJLS ) Pro SMP</t>
  </si>
  <si>
    <t>Kt.26.130</t>
  </si>
  <si>
    <t>KONTRBAON RESUOGAM 12/2 (Pemb Soket,seal Tape,Ram,dll) Pro SMA</t>
  </si>
  <si>
    <t>Cash Bon Pa Agus Pro Sumedang</t>
  </si>
  <si>
    <t xml:space="preserve">Upah Tukang (Pa Ali,Pa Iwan,Pa Aki,Bah oday) Pro Sumedang </t>
  </si>
  <si>
    <t>Kt.26.129</t>
  </si>
  <si>
    <t xml:space="preserve">Air Minum Pro Sumedang </t>
  </si>
  <si>
    <t>Kt.26.123</t>
  </si>
  <si>
    <t>Upah Lemburan Pa Dedi Angkut Sofa Pro Antapani</t>
  </si>
  <si>
    <t>PER TANGGAL 13 Februari 2026</t>
  </si>
  <si>
    <t>TOTAL POSISI KAS DAN BANK TGL 13 Februari 2026</t>
  </si>
  <si>
    <t>Kas Nisa</t>
  </si>
  <si>
    <t xml:space="preserve">Pekerjaan Pemasangan Kanopi atap Solar Plate Pro SMA (Pa Karsana) </t>
  </si>
  <si>
    <t xml:space="preserve">Upah Tukang (Pa Iwan,Pa Aki,Bah oday) Pro Sumedang </t>
  </si>
  <si>
    <t xml:space="preserve">Upah Pro Sumedang (Pa Ali) </t>
  </si>
  <si>
    <t xml:space="preserve">Kasbon Kantor </t>
  </si>
  <si>
    <t xml:space="preserve">Kasbon Pa Iyan </t>
  </si>
  <si>
    <t xml:space="preserve">Kurang </t>
  </si>
  <si>
    <t xml:space="preserve">Upah Tukang Pro Tanggerang (Pa iyan &amp; Pa wiwin) </t>
  </si>
  <si>
    <t xml:space="preserve">Upah Pa Iwan </t>
  </si>
  <si>
    <t xml:space="preserve">Pa Aki </t>
  </si>
  <si>
    <t xml:space="preserve">Bah Oday </t>
  </si>
  <si>
    <t xml:space="preserve">2 Hari </t>
  </si>
  <si>
    <t xml:space="preserve">5 Hari </t>
  </si>
  <si>
    <t xml:space="preserve">abah adoy </t>
  </si>
  <si>
    <t>Upah Tukang Pa Mamat (Pekrjaan Perbaikan Tutup Plafond) Pro SMA</t>
  </si>
  <si>
    <t>Pekerjaaan Pembuatan Tiang Plafond (Pa Karsana) Pro SMA</t>
  </si>
  <si>
    <t>Upah Tukang Pa Mamat (Pekerjaan Pembersihan sarang burung) Pro SMP</t>
  </si>
  <si>
    <t xml:space="preserve">Upah Tukang (7 Orang ) Pro Sumedang </t>
  </si>
  <si>
    <t xml:space="preserve">Keamanan Satpam Pro Sumedang </t>
  </si>
  <si>
    <t xml:space="preserve">Upah Pa dedi Pro Tanggerang </t>
  </si>
  <si>
    <t xml:space="preserve">Budi Indah </t>
  </si>
  <si>
    <t xml:space="preserve">JUMLAH PENGAJUAN Budi Indah </t>
  </si>
  <si>
    <t xml:space="preserve">Upah pa Igo Pek Bocoran Budi Indah </t>
  </si>
  <si>
    <t xml:space="preserve">Kekuranan Kas Logistik </t>
  </si>
  <si>
    <t>Kt.26.141</t>
  </si>
  <si>
    <t xml:space="preserve">KONTRABON SEJAHTERA  18/2 (Pemb Matrial Listrik) Pro Sumedang </t>
  </si>
  <si>
    <t xml:space="preserve">Parkir </t>
  </si>
  <si>
    <t>Kt.26.149</t>
  </si>
  <si>
    <t>Kt.26.150</t>
  </si>
  <si>
    <t>Kt.26.134</t>
  </si>
  <si>
    <t xml:space="preserve">Pelunasan Matrial Besi 16 Pro Sumedang </t>
  </si>
  <si>
    <t>Kt.26.145</t>
  </si>
  <si>
    <t xml:space="preserve">Upah Pa iyan&amp; Pa Igo Pro Antapani (Pek Buat saluaran &amp; Ngeplur Bekas Bocoran)  </t>
  </si>
  <si>
    <t>PER TANGGAL 20 Februari 2026</t>
  </si>
  <si>
    <t>TOTAL POSISI KAS DAN BANK TGL 20 Februari 2026</t>
  </si>
  <si>
    <t>Cash Nisa</t>
  </si>
  <si>
    <t xml:space="preserve">RT Bu Ani </t>
  </si>
  <si>
    <t xml:space="preserve">Plat </t>
  </si>
  <si>
    <t>2 lnr</t>
  </si>
  <si>
    <t xml:space="preserve">8 btg </t>
  </si>
  <si>
    <t xml:space="preserve">H-beam </t>
  </si>
  <si>
    <t xml:space="preserve">Tambahan </t>
  </si>
  <si>
    <t>Ku.26.028</t>
  </si>
  <si>
    <t xml:space="preserve">BPJS TK </t>
  </si>
  <si>
    <t xml:space="preserve">BPJS Pa Bey </t>
  </si>
  <si>
    <t>Upah Tukang Pa Mamat (Pekerjaan Retakan Dinding R. kls, Stopkontak Lampu) Pro SD</t>
  </si>
  <si>
    <t>Kt.26.176</t>
  </si>
  <si>
    <t>Kt.26.177</t>
  </si>
  <si>
    <t>Upah Tukang Pa Mamat (Pek. Silent Bocoran Kusen Jendela) Pro SMA</t>
  </si>
  <si>
    <t xml:space="preserve">Upah Pa Dedi Budi Indah </t>
  </si>
  <si>
    <t>Kt.26.175</t>
  </si>
  <si>
    <t xml:space="preserve">Upah Borongan (Pa Agus) Pro Sumedang </t>
  </si>
  <si>
    <t xml:space="preserve">Upah Tukang (5 Org) Pro Sumedang </t>
  </si>
  <si>
    <t>Upah Heri Pro Sumedang</t>
  </si>
  <si>
    <t>Kt.26.169</t>
  </si>
  <si>
    <t>Pekerjaan Pengaman Lampu Sorot (Pa Karsana) Pro SMA</t>
  </si>
  <si>
    <t>Budi Indah &amp; Darul Ulum</t>
  </si>
  <si>
    <t>Kt.26.178</t>
  </si>
  <si>
    <t>Pemb Matrial (Samflex,Cornice,dll) Pro Darul Ulum</t>
  </si>
  <si>
    <t xml:space="preserve">UPI </t>
  </si>
  <si>
    <t xml:space="preserve">JUMLAH PENGAJUAN UPI </t>
  </si>
  <si>
    <t>Kn.26.006</t>
  </si>
  <si>
    <t>BBM Antar Berkas Tgl 20/2 &amp; Tgl 23/2</t>
  </si>
  <si>
    <t>PER TANGGAL 27 Februari 2026</t>
  </si>
  <si>
    <t>TOTAL POSISI KAS DAN BANK TGL 27 Februari 2026</t>
  </si>
  <si>
    <t>Dp Pekerjaan Lemari Bawah Tangga (Pa Kiki) SD</t>
  </si>
  <si>
    <t>KT.26.183</t>
  </si>
  <si>
    <t>Kt.26.174</t>
  </si>
  <si>
    <t>Kt.26.180</t>
  </si>
  <si>
    <t xml:space="preserve">Upah Tukang RT Bu Ani Minggu Lalu </t>
  </si>
  <si>
    <t>Upah Tukang RT Bu Ani Minggu ini</t>
  </si>
  <si>
    <t>Kasbon Bu Nisa</t>
  </si>
  <si>
    <t>Kt.26.179</t>
  </si>
  <si>
    <t xml:space="preserve">Pemb Kawat Beton </t>
  </si>
  <si>
    <t>Cash Dri Rek BCA Pa Giri</t>
  </si>
  <si>
    <t>Air Minum 1 Gln (Talangan Pa Uden)</t>
  </si>
  <si>
    <t>Kt.26.191</t>
  </si>
  <si>
    <t>Kontrabon Restulogam 27/2 (Pemb Cat,Tiner,Kuas,dll) Pro SMA</t>
  </si>
  <si>
    <t>Kt.26.192</t>
  </si>
  <si>
    <t xml:space="preserve">Kotrabon Restulogam 28/2 (Pemb No Drop,Kuas,dll) RT BU Ani </t>
  </si>
  <si>
    <t xml:space="preserve">BBM Buang Barangkal Pro SD (Talangan Pa Uden) </t>
  </si>
  <si>
    <t>PER TANGGAL 6 Maret 2026</t>
  </si>
  <si>
    <t>TOTAL POSISI KAS DAN BANK TGL 6 Maret 2026</t>
  </si>
  <si>
    <t xml:space="preserve">Iuran RT (Per 10 Bulan) </t>
  </si>
  <si>
    <t xml:space="preserve">Sumbangan Thr Rt </t>
  </si>
  <si>
    <t xml:space="preserve">Iuran Rw </t>
  </si>
  <si>
    <t>Sumbangan Thr Rw</t>
  </si>
  <si>
    <t>Upah Pa Dedi (Kantor)</t>
  </si>
  <si>
    <t>Kekurangan Pajak P'Akhmad</t>
  </si>
  <si>
    <t>Kt.26.195</t>
  </si>
  <si>
    <t>Kt.26.198</t>
  </si>
  <si>
    <t>Upah Tukang Pa Mamat (Pek. Pasang Lampu,Kanopi Pasad,dll) Pro SMA</t>
  </si>
  <si>
    <t xml:space="preserve">Upah Tukang (7 Org) Pro Sumedang </t>
  </si>
  <si>
    <t xml:space="preserve">Upah Pa Agus (Borongan) Pro Sumedang </t>
  </si>
  <si>
    <t xml:space="preserve">Kekurangan Upah Tukang Minggu Lalu Pro Sumedang </t>
  </si>
  <si>
    <t xml:space="preserve">Pemb ke 2 Pek Baja (Pa Hendra) Pro Sumedang </t>
  </si>
  <si>
    <t xml:space="preserve">Keamanan SatpamMinggu Ke 4 Pro Sumedang </t>
  </si>
  <si>
    <t xml:space="preserve">Upah Pa dedi Pro Sumedang </t>
  </si>
  <si>
    <t>Kt.26.200</t>
  </si>
  <si>
    <t>Kt.26.199</t>
  </si>
  <si>
    <t xml:space="preserve">Upah Tukang RT Bu Ani </t>
  </si>
  <si>
    <t>Air Minum</t>
  </si>
  <si>
    <t>Ku.25.247</t>
  </si>
  <si>
    <t xml:space="preserve">Biaya Perbaikan CCTV Kantor </t>
  </si>
  <si>
    <t>Ku.26.033</t>
  </si>
  <si>
    <t>Paket Lebar 2026</t>
  </si>
  <si>
    <t>Kontrabon Restulogam6/3 (Pemb No Drop,Kuas) RT PA Iman</t>
  </si>
  <si>
    <t>Kontrabon Restulogam 6/3 (Pemb Terpal) Kantor</t>
  </si>
  <si>
    <t>Kt.26.203</t>
  </si>
  <si>
    <t>Ku.26.034</t>
  </si>
  <si>
    <t xml:space="preserve">Dri Uang Sumedang </t>
  </si>
  <si>
    <t>Cash Besar Rek BCA Nisa</t>
  </si>
  <si>
    <t>Bayar Kontrabon Restulogam 27/2 (Pemb Cat,Tiner,Kuas,dll) Pro SMA</t>
  </si>
  <si>
    <t>Bayar Kontrabon Restulogam6/3 (Pemb No Drop,Kuas) RT PA Iman</t>
  </si>
  <si>
    <t>Bayar Kontrabon Restulogam 6/3 (Pemb Terpal) Kantor</t>
  </si>
  <si>
    <t xml:space="preserve">Cash Bon PA Heri </t>
  </si>
  <si>
    <t xml:space="preserve">Keamanan Satpam Minggu Ke 4 Pro Sumedang </t>
  </si>
  <si>
    <t>Kt.26.219</t>
  </si>
  <si>
    <t xml:space="preserve">Pemb Matrial (hebel.Prekat,Semen,dll) Pro TK </t>
  </si>
  <si>
    <t>Upah Tuakang Pa Mamat (Pek Dudukan Torn Instalasi Air) Pro TK</t>
  </si>
  <si>
    <t>Kt.26.220</t>
  </si>
  <si>
    <t>Pemb Matrial (hebel.Prekat,Semen,dll) Pro SD</t>
  </si>
  <si>
    <t>Kt.26.222</t>
  </si>
  <si>
    <t>Upah Tukang Pa Mamat (Pek Nat Tepat duduk Area Kantin,dll Pro SMA</t>
  </si>
  <si>
    <t>Perbaikan Pintu Pagar (Pa Karsana) Pro SMA</t>
  </si>
  <si>
    <t xml:space="preserve">Upah Tukang Listrik Tgl 4-8/3 (Pek Pengecekan &amp; Ganti Lampu) </t>
  </si>
  <si>
    <t>Upah Perbaikan Pintu (Pa Yoda) Pro SMA</t>
  </si>
  <si>
    <t>Upah Pek Lemari (Pa Kiki) Pro SMA</t>
  </si>
  <si>
    <t>Kt.26.223</t>
  </si>
  <si>
    <t>Upah Tukang Pa Mamat (Pek Pengecetan) Pro SMP</t>
  </si>
  <si>
    <t>Upah Tukang Listrik Tgl 7/3 (Perbaikan STK) Pro SMP</t>
  </si>
  <si>
    <t>Upah Tukang Perbaikan Pintu (Pa Yoda) Pro SMP</t>
  </si>
  <si>
    <t xml:space="preserve">Upah Tukang RT BU Ani </t>
  </si>
  <si>
    <t xml:space="preserve">Air Minum RT Bu Ani </t>
  </si>
  <si>
    <t>Kt.26.224</t>
  </si>
  <si>
    <t xml:space="preserve">JUMLAH PENGAJUAN RT BU Ani </t>
  </si>
  <si>
    <t xml:space="preserve">Keamanan Babinsa Pro Sumedang </t>
  </si>
  <si>
    <t xml:space="preserve">Kontrakan Pa Agus Pro Sumedang </t>
  </si>
  <si>
    <t xml:space="preserve">Kontrakan Kantor Pro Sumedang </t>
  </si>
  <si>
    <t>Kt.26.225</t>
  </si>
  <si>
    <t xml:space="preserve">PA Iman </t>
  </si>
  <si>
    <t xml:space="preserve">Upah Tukang Pek Bocoran </t>
  </si>
  <si>
    <t>Kt.26.217</t>
  </si>
  <si>
    <t>Kt.26.214</t>
  </si>
  <si>
    <t xml:space="preserve">Pemb Matrial Cat,Tiner,Kyu,Semen,dll) Pro Sumedang </t>
  </si>
  <si>
    <t>Kontrabon Restulogam 12/3 (Pemb Elastex Abu) Pro SMA</t>
  </si>
  <si>
    <t>Kt.26.226</t>
  </si>
  <si>
    <t>Mandiri CBS (Lagi Ganguan)</t>
  </si>
  <si>
    <t>PER TANGGAL 12 Maret 2026</t>
  </si>
  <si>
    <t>TOTAL POSISI KAS DAN BANK TGL 12 Maret 2026</t>
  </si>
  <si>
    <t xml:space="preserve">Cash Bon Pa Agus Pek Sipil Pro Sumedang </t>
  </si>
  <si>
    <t xml:space="preserve">Pelunasan Pek Strauss (Pa Acep) Pro Sumedang </t>
  </si>
  <si>
    <t xml:space="preserve">Hari Senin </t>
  </si>
  <si>
    <t xml:space="preserve">Kas Dri BRI </t>
  </si>
  <si>
    <t>Kas Dri BCA Siti R.(Pa Giri)</t>
  </si>
  <si>
    <t xml:space="preserve">Pinjaman Pa Uden </t>
  </si>
  <si>
    <t xml:space="preserve">Pelunasan Hari Senin </t>
  </si>
  <si>
    <t>Upah Tukang Pa Mamat (Pek pasng Kramik) Pro TK</t>
  </si>
  <si>
    <t>Upah Tukang Pa Mamat (Pek Dudukan Torn Instalasi Air) Pro TK</t>
  </si>
  <si>
    <t xml:space="preserve">Upah Tukang Listrik Tgl 7/3 (Perbaikan STK) Pro SMP </t>
  </si>
  <si>
    <t xml:space="preserve">Pemb Pek Strauss (Pa Acep) Pro Sumedang </t>
  </si>
  <si>
    <t xml:space="preserve">Baut Angkur  </t>
  </si>
  <si>
    <t>KOntrabon Restulogam 12/3 (Pemb Ataboy) Pro SMP</t>
  </si>
  <si>
    <t xml:space="preserve">Kontrabon Restulogam Tgl 14/3 (Pemb Cat) Pro Sumedang </t>
  </si>
  <si>
    <t>Kontrabon Restulogam Tgl 14/3 (Pemb Sdl,Pipa,Lem,T,dll) Pro TK</t>
  </si>
  <si>
    <t>Kontrabon Restulogam Tgl 14/3 (Pemb Sdl,Pipa,Lem,T,dll) Pro SD</t>
  </si>
  <si>
    <t>Kontrabon Sejahtera Tgl 14/3 (Pemb Lmapu,Stop Kontak,Tee Dus,dll) SMA</t>
  </si>
  <si>
    <t>Kontrabon Restulogam Tgl 14/3 (Pemb Pipa,Knie,Sekrup,dll) SMA</t>
  </si>
  <si>
    <t>Kt.26.228</t>
  </si>
  <si>
    <t>Kt.26.229</t>
  </si>
  <si>
    <t>Kt.26.231</t>
  </si>
  <si>
    <t>Kt.26.232</t>
  </si>
  <si>
    <t>Kt.26.233</t>
  </si>
  <si>
    <t>Pemb Pek Service Outdoor AC (Pa Karsana) Pro SMA</t>
  </si>
  <si>
    <t>Kt.26.234</t>
  </si>
  <si>
    <t xml:space="preserve">Pemb Cat Pro SMP </t>
  </si>
  <si>
    <t>Ku.26</t>
  </si>
  <si>
    <t>Tambahan Parcel</t>
  </si>
  <si>
    <t>Pemb Kabel Sprial Telephone</t>
  </si>
  <si>
    <t xml:space="preserve">Tambahan Cash Bon Pa Agus </t>
  </si>
  <si>
    <t>Ku.26.038</t>
  </si>
  <si>
    <t xml:space="preserve">Air Minum </t>
  </si>
  <si>
    <t xml:space="preserve">Upah Pa Iwan Antar Paket Lebaran </t>
  </si>
  <si>
    <t xml:space="preserve">Upah Pa Dedi Antar Paket Lebaran </t>
  </si>
  <si>
    <t xml:space="preserve">Matrial TK (Pemb Stop Kran,Sok Drat,dll) TK </t>
  </si>
  <si>
    <t>Kt.26.240</t>
  </si>
  <si>
    <t xml:space="preserve">Upah Pa iwan </t>
  </si>
  <si>
    <t xml:space="preserve">Keamanan Satpam Minggu Ke 6 Pro Sumedang </t>
  </si>
  <si>
    <t xml:space="preserve">Sisa Pemb Matrial Cat,Tiner,Kyu,Semen,dll) Pro Sumedang </t>
  </si>
  <si>
    <t>Kt.26.239</t>
  </si>
  <si>
    <t xml:space="preserve">Printer Untuk Lapangan Pro Sumedang </t>
  </si>
  <si>
    <t xml:space="preserve">Pelunasan Pasang CCTV Pro TK </t>
  </si>
  <si>
    <t>Upah Tuakang Pa Mamat (Pek pasng Kramik) Pro SD</t>
  </si>
  <si>
    <t xml:space="preserve">Pemb ATK Pro Sumedang </t>
  </si>
  <si>
    <t xml:space="preserve">Pemb Termin Ke 3 Pek Baja (Pa Ade) Pro Sumedang </t>
  </si>
  <si>
    <t xml:space="preserve">ATK </t>
  </si>
  <si>
    <t>Kt.26.238</t>
  </si>
  <si>
    <t xml:space="preserve">Upah Tukang Pa Mamat (Pek Dudukan Toren,Instalasi Air,dll) Pro TK </t>
  </si>
  <si>
    <t>Kt.26.241</t>
  </si>
  <si>
    <t xml:space="preserve">Upah Tukang Pa Mamat (Pek Dudukan Toren,dll) Pro TK </t>
  </si>
  <si>
    <t xml:space="preserve">Bon Talangan Pa Mamat Pro TK </t>
  </si>
  <si>
    <t>Bon Talangan Pa Mamat Pro SD</t>
  </si>
  <si>
    <t xml:space="preserve">Upah Pa Mamat Pek Pengecetan Pro SMP </t>
  </si>
  <si>
    <t xml:space="preserve">Bon Talangan Pa Mamat Pro SMP </t>
  </si>
  <si>
    <t>Kt.26.242</t>
  </si>
  <si>
    <t>Pemb Pek Pelepasan sanblas Railing Kaca (Pa Fadli) SMA</t>
  </si>
  <si>
    <t xml:space="preserve">Biaya ADM </t>
  </si>
  <si>
    <t>Upah Tukang Pa Mamat Pro SMA</t>
  </si>
  <si>
    <t>Bon Talangan Pa Mamat Pro SMA</t>
  </si>
  <si>
    <t>PER TANGGAL 16 Maret 2026</t>
  </si>
  <si>
    <t>TOTAL POSISI KAS DAN BANK TGL 16 Maret 2026</t>
  </si>
  <si>
    <t>Upah Tukang Pa Mamat (Pek Dudukan Toren,dll) Pro SD</t>
  </si>
  <si>
    <t xml:space="preserve">Isi Kas Logsitik Kmrn </t>
  </si>
  <si>
    <t xml:space="preserve">Air Minum Talangan Pa Uden </t>
  </si>
  <si>
    <t>Ku.26.041</t>
  </si>
  <si>
    <t>Kt.26.254</t>
  </si>
  <si>
    <t>Upah Tukang Pa Mamat (Pek Italasi Air dan Pasang Handle) Pro SD</t>
  </si>
  <si>
    <t>Kt.26.255</t>
  </si>
  <si>
    <t xml:space="preserve">Upah Tukang Pa Mamat (Pek Perbaikan Plafond R. Kls) Pro SMP </t>
  </si>
  <si>
    <t>Kt.26.253</t>
  </si>
  <si>
    <t>Pemb Wastafel Portable (A'Adit) Pro SMA</t>
  </si>
  <si>
    <t>Kt.26.256</t>
  </si>
  <si>
    <t>Upah Tukang Pa Mamat (Pek Ngeplur Jalan Depan Bekas Galian Kabel &amp; Bocoran Kanopi) SMA</t>
  </si>
  <si>
    <t>Kt.26.257</t>
  </si>
  <si>
    <t>Kt.26.245</t>
  </si>
  <si>
    <t xml:space="preserve">Pemb Wf 300 &amp; Plat 10 mm Pro Sumedang </t>
  </si>
  <si>
    <t>Kt.26.251</t>
  </si>
  <si>
    <t xml:space="preserve">Pemb Split,Multi, Baut Wf &amp; Ring Pro Sumedang </t>
  </si>
  <si>
    <t xml:space="preserve">Upah Tukang (6 Org) Pro Sumedang </t>
  </si>
  <si>
    <t xml:space="preserve">Pemb Upah (Pa Agus) </t>
  </si>
  <si>
    <t xml:space="preserve">Keamanan Satpam Minggu Ke 7&amp;8 Pro Sumedang </t>
  </si>
  <si>
    <t xml:space="preserve">Air Galon Pro Sumedang </t>
  </si>
  <si>
    <t xml:space="preserve">Pek Perbaikan Strouss Pro Sumedang </t>
  </si>
  <si>
    <t>Kt.26.259</t>
  </si>
  <si>
    <t xml:space="preserve">Pemb Matrial (Balok 6x12,Besi,Kawat Beton,dll) Pro Sumedang </t>
  </si>
  <si>
    <t>Ku.26.043</t>
  </si>
  <si>
    <t xml:space="preserve">Kebutuhan Kantor </t>
  </si>
  <si>
    <t>TOTAL POSISI KAS DAN BANK TGL 2 April 2026</t>
  </si>
  <si>
    <t>PER TANGGAL 2 April 2026</t>
  </si>
  <si>
    <t>Service Vibrator</t>
  </si>
  <si>
    <t>Pek Perbakan Lis Plafond (Pa Mamat ) Pro SMP 13</t>
  </si>
  <si>
    <t xml:space="preserve">Upah Tukang Listrik Pa Soni Tgl 21-26 (Pek Perbaikan Kabel Konslet) TK </t>
  </si>
  <si>
    <t>Kt.26.260</t>
  </si>
  <si>
    <t>Kt.26.266</t>
  </si>
  <si>
    <t xml:space="preserve">Pelunasan Pek Lemari Pro SMA (Pa Kiki) </t>
  </si>
  <si>
    <t>Kt.26.267</t>
  </si>
  <si>
    <t xml:space="preserve">Kasbon Ke 4 Pek Baja (Pa Ade) Pro Sumedang </t>
  </si>
  <si>
    <t xml:space="preserve">Pelunasan Pek Perbaikan Strouss Pro Sumedang </t>
  </si>
  <si>
    <t xml:space="preserve">Galian Pro Sumedang </t>
  </si>
  <si>
    <t xml:space="preserve">Keamanan Pengawalan Pro Sumedang </t>
  </si>
  <si>
    <t>Tf Pertama Tgl 6/4</t>
  </si>
  <si>
    <t xml:space="preserve">Upah Tukang (8 Org) Pro Sumedang </t>
  </si>
  <si>
    <t xml:space="preserve">Pek Perbaikan Strouss Pro Sumedang (R.Dek Kolam) </t>
  </si>
  <si>
    <t>SSD (512 GB) A Adit</t>
  </si>
  <si>
    <t>Service Priner Epson L300</t>
  </si>
  <si>
    <t>Ku.26.047</t>
  </si>
  <si>
    <t>Kt.26.274</t>
  </si>
  <si>
    <t xml:space="preserve">Pemb Pasir,Split,Semen Pro Sumedang </t>
  </si>
  <si>
    <t>Kt.26.277</t>
  </si>
  <si>
    <t xml:space="preserve">BBM &amp; Parkir Pro SMA </t>
  </si>
  <si>
    <t>Pemb Floordrain Pro SMA</t>
  </si>
  <si>
    <t>Parkir</t>
  </si>
  <si>
    <t>Upah Tukang Listrik Pa Soni Tgl 6/4 (Pek Perbaikan lampu Rm dan Pengecekan Rm) Pro SD</t>
  </si>
  <si>
    <t xml:space="preserve">Upah Tukang Listrik Pa Soni Tgl 6/4 (Pek Ganti Lamu dan Pasang Dakting) Pro Tk </t>
  </si>
  <si>
    <t>Kt.26.281</t>
  </si>
  <si>
    <t xml:space="preserve">Upah Tukang Pa Mamat (Pek Italasi air &amp; Pembersihan tempat wudhu) Pro TK </t>
  </si>
  <si>
    <t>Kt.26.282</t>
  </si>
  <si>
    <t>Kt.26.283</t>
  </si>
  <si>
    <t>Upah Tukang  Pa Mamat (Pek Italasi Air Area Daycare &amp; Pentry) Pro SMA</t>
  </si>
  <si>
    <t>Bon Matrial (pemb Sdd,Keni) Talangan Pa Mamat Pro SMA</t>
  </si>
  <si>
    <t>Kt.26.284</t>
  </si>
  <si>
    <t>Kt.26.285</t>
  </si>
  <si>
    <t xml:space="preserve">Pemb Plat 10 &amp; Wf 250 Pro Sumedang </t>
  </si>
  <si>
    <t>Kt.26.286</t>
  </si>
  <si>
    <t xml:space="preserve">Kontrabon Restulogam Tgl 7/4 (Pemb Cat) Pro Sumedang </t>
  </si>
  <si>
    <t>TOTAL POSISI KAS DAN BANK TGL 10 April 2026</t>
  </si>
  <si>
    <t>PER TANGGAL 10 April 2026</t>
  </si>
  <si>
    <t>Kas Besar (Brankas)</t>
  </si>
  <si>
    <t>Kt.26.287</t>
  </si>
  <si>
    <t>Pek Rangka Meja Pantry &amp; Perbaikan Relling Stainles (Pa Karsana) Pro SMA</t>
  </si>
  <si>
    <t>Pek Perbaikan Roda Tiang Badminton (Pa Karsana) Pro SMA</t>
  </si>
  <si>
    <t xml:space="preserve">Upah Tukang Listrik Pa Soni Tgl 9/4 (Pek Ganti Lampu dan Pasang Dakting) Pro Tk </t>
  </si>
  <si>
    <t>Upah Tukang  Pa Mamat (Pek Italasi Air Area Daycare &amp; Pantry) Pro SMA</t>
  </si>
  <si>
    <t xml:space="preserve">Keamanan Satpam Minggu Ke 9 Pro Sumedang </t>
  </si>
  <si>
    <t>Ku.26.051</t>
  </si>
  <si>
    <t>Pajak Tahunan CRS</t>
  </si>
  <si>
    <t xml:space="preserve">BBM Beli Snack </t>
  </si>
  <si>
    <t>Kt.26.302</t>
  </si>
  <si>
    <t>Upah Pa Dedi Pro TK</t>
  </si>
  <si>
    <t>Kt.26.303</t>
  </si>
  <si>
    <t>Pek Ranga Kanopi (Pa Karsana) Pro SD</t>
  </si>
  <si>
    <t>Kt.26.307</t>
  </si>
  <si>
    <t xml:space="preserve">Upah Tukang Pa Mamat (Pek Tempat Wudhu) Pro TK </t>
  </si>
  <si>
    <t>Upah Tukang Pa Mamat (Pek Bocoran talang depan R. It,Area Dapur &amp; Musola) Pro SD</t>
  </si>
  <si>
    <t>Kt.26.308</t>
  </si>
  <si>
    <t xml:space="preserve">Upah Tukang Pa Mamat (Pek bocoran Talang Area Aula,Pasang Krmik R Kls,dll) Pro SMP </t>
  </si>
  <si>
    <t>Upah Tukang Pa Mamat (Pek Pasang Pipa Area Samping &amp; Pasang Wastafel Are Day Care) Pro SMA</t>
  </si>
  <si>
    <t>Kt.26.309</t>
  </si>
  <si>
    <t>Kt.26.298</t>
  </si>
  <si>
    <t xml:space="preserve">BBM &amp; E-Tol (Bawa Barang 2x Pulang Pergi) Pro Sumedang </t>
  </si>
  <si>
    <t>Kt.26.205</t>
  </si>
  <si>
    <t xml:space="preserve">Pemb Matrial (Pemb Pasir,Split,Cat dll) Pro Sumedang </t>
  </si>
  <si>
    <t xml:space="preserve">Upah Tukang (8 Orng) Pro Sumedang </t>
  </si>
  <si>
    <t>Kt.26.306</t>
  </si>
  <si>
    <t xml:space="preserve">Cash Bon Ke-5 PA Ade Baja Pro Sumedang </t>
  </si>
  <si>
    <t xml:space="preserve">Cash Bon Ke-10 PA Agus Pro Sumedang </t>
  </si>
  <si>
    <t xml:space="preserve">Keamanan Satpam Minggu Ke 10 pro Sumedang </t>
  </si>
  <si>
    <t xml:space="preserve">Keamanan Babinsa pro Sumedang </t>
  </si>
  <si>
    <t xml:space="preserve">Kontrakan Pa Agus Bln Ke 3 Pro Sumedang </t>
  </si>
  <si>
    <t xml:space="preserve">Kontrakan kantor Bln Ke 3 Pro Sumedang </t>
  </si>
  <si>
    <t xml:space="preserve">Kontrakan 1 Pemb Ke 2 (Untuk 2 Bln) Pro Sumedang </t>
  </si>
  <si>
    <t xml:space="preserve">Uang Makan Cor 3x Pro Sumedang </t>
  </si>
  <si>
    <t xml:space="preserve">Listrik Pro Sumedang </t>
  </si>
  <si>
    <t>Kt.26.310</t>
  </si>
  <si>
    <t xml:space="preserve">Pemb Matrial (Seng Talang,Karpet Talang,Gipsum,dll) Pro SMP </t>
  </si>
  <si>
    <t>Kt.26.288</t>
  </si>
  <si>
    <t>Kt.26.289</t>
  </si>
  <si>
    <t xml:space="preserve">Kontrabon Restulogam Tgl 11/4 (pemb Aquapoof,Serat,Dempul,dll) Pro SMP </t>
  </si>
  <si>
    <t xml:space="preserve">Kontrabon Restulogam Tgl 11/4 (Pemb Semen,Floordrain,Pipa,Knie,dll) Pro TK </t>
  </si>
  <si>
    <t>Kt.26.290</t>
  </si>
  <si>
    <t>Kontrabon Restulogam Tgl 11/4 (Pemb Cleam Pipa,Serat) Pro SMA</t>
  </si>
  <si>
    <t>Kt.26.299</t>
  </si>
  <si>
    <t xml:space="preserve">Kontrabon Restulogam Tgl 10/4 (Pemb Tee drat,CO) Pro TK </t>
  </si>
  <si>
    <t>Kt.26.301</t>
  </si>
  <si>
    <t>Kontrabon Restulogam Tgl 11/4 (Pemb Co Stanles) Pro SD</t>
  </si>
  <si>
    <t>PER TANGGAL 16 April 2026</t>
  </si>
  <si>
    <t>TOTAL POSISI KAS DAN BANK TGL 16 April 2026</t>
  </si>
  <si>
    <t xml:space="preserve">Kas Besar (Brankas) </t>
  </si>
  <si>
    <t>Kt.26.304</t>
  </si>
  <si>
    <t xml:space="preserve">Pek Perbaikan Roda Gerbang (Pa Karsana) Pro SMP </t>
  </si>
  <si>
    <t>Kasbon Ke Th Nisa</t>
  </si>
  <si>
    <t xml:space="preserve">Tf pertama untuk listrik </t>
  </si>
  <si>
    <t xml:space="preserve">Sisa </t>
  </si>
  <si>
    <t xml:space="preserve">Upah Tukang Pek Perbaikan Pro Tanggerang </t>
  </si>
  <si>
    <t xml:space="preserve">Upah Lemburan Pek Perbaikan Pro Tanggeang </t>
  </si>
  <si>
    <t xml:space="preserve">Kontrabon Restulogam Tgl 21/4 (Pemb Benang,Kikir,dll) Pro Sumedang </t>
  </si>
  <si>
    <t xml:space="preserve">DP Pek Perbaikan Pintu Toilet Pro SMP (Pa Fadli) </t>
  </si>
  <si>
    <t>Kt.26.318</t>
  </si>
  <si>
    <t xml:space="preserve">Upah pa Mamat (Pek Perbaikan Toilet) Pro SMP </t>
  </si>
  <si>
    <t>Ku.26.054</t>
  </si>
  <si>
    <t xml:space="preserve">ATK (Pemb Bantek) </t>
  </si>
  <si>
    <t xml:space="preserve">Kresek Sampah </t>
  </si>
  <si>
    <t xml:space="preserve">Kebutuhan Pa Dedi </t>
  </si>
  <si>
    <t>Upah Tukang Pa Mamat (Pek Bocoran Kanopi &amp; Perbaikan Pipa) Pro SMA</t>
  </si>
  <si>
    <t>Kt.26.320</t>
  </si>
  <si>
    <t>Kt.26.321</t>
  </si>
  <si>
    <t>Sewa Scaffolding Pro SMA</t>
  </si>
  <si>
    <t>Kt.26.322</t>
  </si>
  <si>
    <t xml:space="preserve">SPJ Ke Tanggerang Tgl 25/4 </t>
  </si>
  <si>
    <t xml:space="preserve">Tanggerang &amp; Jl Gitar </t>
  </si>
  <si>
    <t xml:space="preserve">JUMLAH PENGAJUAN Tanggerang &amp; Jl Gitar  </t>
  </si>
  <si>
    <t>Kt.26.323</t>
  </si>
  <si>
    <t xml:space="preserve">Sewa Scaffolding Pro Jl Gitar </t>
  </si>
  <si>
    <t xml:space="preserve">Pemb Matrial (Pemb Plat 10 &amp; 8,Pasir,Bambu,dll) Pro Sumedang </t>
  </si>
  <si>
    <t>Kt.26.324</t>
  </si>
  <si>
    <t>Kt.26.325</t>
  </si>
  <si>
    <t xml:space="preserve">Pemb Baja WF &amp; H-Beam Pro Sumedang </t>
  </si>
  <si>
    <t>Kt.26.326</t>
  </si>
  <si>
    <t xml:space="preserve">Upah Tukang (9 Orng) Pro Sumedang </t>
  </si>
  <si>
    <t xml:space="preserve">Sewa Scaffolding Pro Sumedang </t>
  </si>
  <si>
    <t>Kt.26.327</t>
  </si>
  <si>
    <t>Kt.26.328</t>
  </si>
  <si>
    <t xml:space="preserve">Kontrabon Sejahtera Tgl 17/4 (Pemb NYM 3x6) Pro Sumedang </t>
  </si>
  <si>
    <t xml:space="preserve">Kontrabon Sejahtera Tgl 21/4 (Pemb Tee Dus,Dus Inbow,dll) RT Bu Ani </t>
  </si>
  <si>
    <t xml:space="preserve">Kontrabon Restulogam Tgl 21/4 (Pemb Cleam Pipa,Serat) Pro RT Bu Ani </t>
  </si>
  <si>
    <t>Kt.26.329</t>
  </si>
  <si>
    <t>PER TANGGAL 23 April 2026</t>
  </si>
  <si>
    <t>TOTAL POSISI KAS DAN BANK TGL 23 April 2026</t>
  </si>
  <si>
    <t xml:space="preserve">Kas Besar Brankas </t>
  </si>
  <si>
    <t>Kas Besar Th Nisa</t>
  </si>
  <si>
    <t xml:space="preserve">Upah Pa Dedi + Lemburan Pro Tanggeang </t>
  </si>
  <si>
    <t>TF</t>
  </si>
  <si>
    <t>Ku.26.056</t>
  </si>
  <si>
    <t>Kebutuhan Kantor</t>
  </si>
  <si>
    <t>Iuran Rw</t>
  </si>
  <si>
    <t>Telphone &amp; Internet</t>
  </si>
  <si>
    <t>Ganti Ban Motor Beat (A Adit)</t>
  </si>
  <si>
    <t>Upah Tukang (Pa Iwan &amp; Pa Ono) RT Bu Ani</t>
  </si>
  <si>
    <t>Kt.26.338</t>
  </si>
  <si>
    <t>Upah Tukang Pa Mamat (Pek Perubahan Tampat Wudhu &amp; Bocoran Canopy) Pro TK</t>
  </si>
  <si>
    <t>Upah Tukang Pa mamat (Pek Perbaikan Closet &amp; Bocoran R. Guru) Pro SMA</t>
  </si>
  <si>
    <t xml:space="preserve">Darul Ulum </t>
  </si>
  <si>
    <t>Upah Tukang Pa Mamat (Pek Tutup Lubang Tikus Area Dak &amp; Toren pake ram nyamuk) Darul ulum</t>
  </si>
  <si>
    <t>Kt.26.335</t>
  </si>
  <si>
    <t>Kt.26.340</t>
  </si>
  <si>
    <t>Kt.26.337</t>
  </si>
  <si>
    <t>Kt.26.339</t>
  </si>
  <si>
    <t xml:space="preserve">Pemb Matrial (Pemb Split,H- Beam, Plat) Pro Sumedang </t>
  </si>
  <si>
    <t>Kt.26.336</t>
  </si>
  <si>
    <t xml:space="preserve">BBM &amp; E-Tol (Bawa Roster dan rangka molen) Pro Sumedang </t>
  </si>
  <si>
    <t>JUMLAH PENGAJUAN Darul Ulum</t>
  </si>
  <si>
    <t xml:space="preserve">Keamanan Danrawil Pro Sumedang </t>
  </si>
  <si>
    <t>Tinta Printer Hp K209</t>
  </si>
  <si>
    <t xml:space="preserve">Keamanan Satpam Minggu Ke 12 pro Sumedang </t>
  </si>
  <si>
    <t xml:space="preserve">Keamanan Satpam Minggu Ke 11 pro Sumedang </t>
  </si>
  <si>
    <t>PER TANGGAL 29 April 2026</t>
  </si>
  <si>
    <t>TOTAL POSISI KAS DAN BANK TGL 29 April 2026</t>
  </si>
  <si>
    <t>Pemb Matrial Darul Ulum</t>
  </si>
  <si>
    <t xml:space="preserve">Pemb Matrial Pro TK </t>
  </si>
  <si>
    <t>Pemb Matrial Pro SMA</t>
  </si>
  <si>
    <t xml:space="preserve">Pek Perbaikan lantai kayu Multimedia Pro SMA (Pa Kiki) </t>
  </si>
  <si>
    <t>Kas Besar Nisa</t>
  </si>
  <si>
    <t>Kt.26.342</t>
  </si>
  <si>
    <t xml:space="preserve">Kasbon Uang SPJ </t>
  </si>
  <si>
    <t>Kt.26.356</t>
  </si>
  <si>
    <t>Upah Tukang Pa Mamat (Pek Pasang Kramik &amp; cat Dinding) Pro TK</t>
  </si>
  <si>
    <t xml:space="preserve">Upah Pa Dedi Pro TK </t>
  </si>
  <si>
    <t xml:space="preserve">Upah Pa Iwan Pro Tk </t>
  </si>
  <si>
    <t xml:space="preserve">Upah Tukang Pa Mamat (Pek Bocoran ) Pro SMP </t>
  </si>
  <si>
    <t>Kt.26.357</t>
  </si>
  <si>
    <t>Kt.26.358</t>
  </si>
  <si>
    <t>Kt.26.359</t>
  </si>
  <si>
    <t>Upah Tukang Pa Mamat (Pek Bocoran R. konsul) Pro SMA</t>
  </si>
  <si>
    <t xml:space="preserve">Bon Matrial Talangan Pa Mamat (Pemb Knie) Pro TK </t>
  </si>
  <si>
    <t>Pemb Matrial (Tombol Flush) Pro SMA</t>
  </si>
  <si>
    <t>Kt.26.360</t>
  </si>
  <si>
    <t>Upah Tukang Pa Mamat (Pek Pembersihan Hama Tikus area dalam &amp; Pengecetan Pelapon) Darul ulum</t>
  </si>
  <si>
    <t>Kt.26.361</t>
  </si>
  <si>
    <t xml:space="preserve">Upah Tukang (7 Orng) Pro Sumedang </t>
  </si>
  <si>
    <t xml:space="preserve">Cash Bon Ke-13 PA Agus Pro Sumedang </t>
  </si>
  <si>
    <t xml:space="preserve">Upah Mang Iwan </t>
  </si>
  <si>
    <t xml:space="preserve">Keamanan Satpam Minggu Ke 13 pro Sumedang </t>
  </si>
  <si>
    <t xml:space="preserve">Pek Bongkar Pasang Outdor dan Perbaikan Instalasi Pipa Pa kosim (apartemen Pa Edy) </t>
  </si>
  <si>
    <t>Ku.26.</t>
  </si>
  <si>
    <t>Kt.26.344</t>
  </si>
  <si>
    <t xml:space="preserve">Kontrabon Restulogam Tgl 30/4 (Pemb Sika Grounting,Batu Amril) Pro Sumedang </t>
  </si>
  <si>
    <t>Kt.26.345</t>
  </si>
  <si>
    <t xml:space="preserve">Kontrabon Restulogam Tgl 30/4 (Pemb Amplas &amp; Keni ) RT BU Ani </t>
  </si>
  <si>
    <t>Kt.26.354</t>
  </si>
  <si>
    <t xml:space="preserve">Kontrabon Sejahtera Tgl 30/4 (Pemb Flood Light,Stop kontak,dll) Pro Sumedang </t>
  </si>
  <si>
    <t xml:space="preserve">Kontrabon Restulogam Tgl 30/4 (Pemb Calbon) Pro Sumedang </t>
  </si>
  <si>
    <t xml:space="preserve">Kt.26.355 </t>
  </si>
  <si>
    <t xml:space="preserve">Kontrabon Restulogam Tgl 5/5 (Pemb Kuas,Roll Cat,Hamplas,dll) Pro Darum Ulum </t>
  </si>
  <si>
    <t>-</t>
  </si>
  <si>
    <t>PER TANGGAL 8 Mei 2026</t>
  </si>
  <si>
    <t>TOTAL POSISI KAS DAN BANK TGL 8 Mei  2026</t>
  </si>
  <si>
    <t>Upah Tukang Mang Iwan (Minggu Lalu)  RT Bu Ani</t>
  </si>
  <si>
    <t>Cash Besar Brankas</t>
  </si>
  <si>
    <t>Lebih</t>
  </si>
  <si>
    <t>PER TANGGAL 13 Mei 2026</t>
  </si>
  <si>
    <t>TOTAL POSISI KAS DAN BANK TGL 13 Mei  2026</t>
  </si>
  <si>
    <t xml:space="preserve">Cash Bon Ke-14 PA Agus Pro Sumedang </t>
  </si>
  <si>
    <t xml:space="preserve">Cash Bon Ke-6 PA Ade Baja Pro Sumedang </t>
  </si>
  <si>
    <t xml:space="preserve">Keamanan Satpam Minggu Ke 14 pro Sumedang </t>
  </si>
  <si>
    <t xml:space="preserve">Keamanan Babinsa Ke 3 pro Sumedang </t>
  </si>
  <si>
    <t xml:space="preserve">Kontrakan kantor Bln Ke 4 Pro Sumedang </t>
  </si>
  <si>
    <t xml:space="preserve">Kontrakan Pa Agus Bln Ke 4 Pro Sumedang </t>
  </si>
  <si>
    <t xml:space="preserve">Uang makan Cor </t>
  </si>
  <si>
    <t>Kekurangan Service Motor</t>
  </si>
  <si>
    <t xml:space="preserve">Kontrakan Pa Yadi  Pro Sumedang </t>
  </si>
  <si>
    <t xml:space="preserve">Pemb Matrial (Semen,Pasir,Wirmesh,kramik,dll) Pro Sumedang </t>
  </si>
  <si>
    <t xml:space="preserve">Pemb Matrial (Split,Damdex,Hebel,dll) Pro Sumedang </t>
  </si>
  <si>
    <t>Kt.26.348</t>
  </si>
  <si>
    <t>Ku.26.063</t>
  </si>
  <si>
    <t>Ku.26.064</t>
  </si>
  <si>
    <t>Biaya Sponsor Shift parenting day Pro SMP</t>
  </si>
  <si>
    <t>Upah Pa Mamat (Pek Partisi R. Uks &amp; R. Sanggar Baru) Pro SMP</t>
  </si>
  <si>
    <t>Pemb Matrial (Baja ringan,Gipsum,Kaso,dll) Pro SMP</t>
  </si>
  <si>
    <t>Kt.26.374</t>
  </si>
  <si>
    <t>Kt.26.375</t>
  </si>
  <si>
    <t>Upah Pa mamat (Pek Bocoran R. Kls &amp; Pengecetan) Pro SMA</t>
  </si>
  <si>
    <t>Upah Tukang Pa Mamat (Pek Pengecetan Area Dalam) Darul ulum</t>
  </si>
  <si>
    <t>Kt.26.377</t>
  </si>
  <si>
    <t>Kt.26.378</t>
  </si>
  <si>
    <t>Cash Besar (Brankas)</t>
  </si>
  <si>
    <t>Kekurangan Service Motor (A Adit)</t>
  </si>
  <si>
    <t xml:space="preserve">Lebih / Kurang </t>
  </si>
  <si>
    <t>ü</t>
  </si>
  <si>
    <t>MAJ ke MCBS</t>
  </si>
  <si>
    <t>MAJ Ke BCA Nisa</t>
  </si>
  <si>
    <t xml:space="preserve">MaJ Tunai </t>
  </si>
  <si>
    <t>Kas Brangkas</t>
  </si>
  <si>
    <t>Kas BRI Ke BCA Nisa</t>
  </si>
  <si>
    <t>BRI Tunai</t>
  </si>
  <si>
    <t>Matrial kayu, kaso bomdex</t>
  </si>
  <si>
    <t>Matrial talangan pa heri</t>
  </si>
  <si>
    <t>Kas Logistik</t>
  </si>
  <si>
    <t>BNI Pa Akhamd</t>
  </si>
  <si>
    <t>Upah Pa Dedi Darul ulum</t>
  </si>
  <si>
    <t>Upah Pa Mamat (Pek Pengecetan, Pasang pintu,Perbaikan Pipa,dll) SMP</t>
  </si>
  <si>
    <t>Upah Pa Mamat (Pek Bocoran) Pro SMA</t>
  </si>
  <si>
    <t>Upah Tukang Pa Mamat (Pek Pengecetan &amp; Pembersihan) Darul ulum</t>
  </si>
  <si>
    <t>Perpanjangan Sewa Scaffolding Pro SMA</t>
  </si>
  <si>
    <t xml:space="preserve">Perpanjangan Sewa Scaffolding Pro Jl. Gitar </t>
  </si>
  <si>
    <t xml:space="preserve">Kekurangan Cash Bon Ke-6 PA Ade Baja Pro Sumedang </t>
  </si>
  <si>
    <t xml:space="preserve">Perpanjangan Sewa Scaffolding Pro Sumedang </t>
  </si>
  <si>
    <t>Pajak Mobil G.Max</t>
  </si>
  <si>
    <t xml:space="preserve">Atk (Pemb Ketas) </t>
  </si>
  <si>
    <t>Ku.26.068</t>
  </si>
  <si>
    <t>Iuran RW</t>
  </si>
  <si>
    <t xml:space="preserve">Bpjs Kesehatan </t>
  </si>
  <si>
    <t xml:space="preserve">Bpjs Tk </t>
  </si>
  <si>
    <t xml:space="preserve">Bpjs P'Bey </t>
  </si>
  <si>
    <t>Telphone</t>
  </si>
  <si>
    <t xml:space="preserve">Service Printer HP </t>
  </si>
  <si>
    <t xml:space="preserve">Konsumsi untuk Qurban Hari Jumat </t>
  </si>
  <si>
    <t xml:space="preserve">Dongkrak Mobil </t>
  </si>
  <si>
    <t>Kunci Roda</t>
  </si>
  <si>
    <t>Kt.26.408</t>
  </si>
  <si>
    <t>Upah Pa Mamat (Pek pengecetan) Pro SMP</t>
  </si>
  <si>
    <t>Upah Pa Dedi Pro SMP</t>
  </si>
  <si>
    <t>Perbaikan Pintu Lipat (Pa Fadli) Pro SMp</t>
  </si>
  <si>
    <t>Kt.26.409</t>
  </si>
  <si>
    <t>Upah Pa mamat (Pek Pengecetan &amp;Bocoran ) Pro SMA</t>
  </si>
  <si>
    <t>Upah Pa dedi Pro SMA</t>
  </si>
  <si>
    <t>Darul Ulum &amp; SMK SSC</t>
  </si>
  <si>
    <t>Kt.26.410</t>
  </si>
  <si>
    <t xml:space="preserve">Perbaikan Pintu Lipat </t>
  </si>
  <si>
    <t>Kt.26.411</t>
  </si>
  <si>
    <t>Upah Tukang Pa Asep (Bersih-bersih Sisa Matrial) Darul Ulum</t>
  </si>
  <si>
    <t xml:space="preserve">Token Listrik Minggu Lalu </t>
  </si>
  <si>
    <t>Kt.26.412</t>
  </si>
  <si>
    <t xml:space="preserve">Cash Bon Ke-15 PA Agus Pro Sumedang </t>
  </si>
  <si>
    <t xml:space="preserve">Keamanan Satpam Minggu Ke 15 pro Sumedang </t>
  </si>
  <si>
    <t xml:space="preserve">PDAM </t>
  </si>
  <si>
    <t>Kt.26.413</t>
  </si>
  <si>
    <t>Pemb Sarung Tangan,Tong  &amp; Tiner</t>
  </si>
  <si>
    <t>Kontrabon Restulogam Tgl 26/5 Pro SMP</t>
  </si>
  <si>
    <t>Kontrabon Restulogam Tgl 26/5 Pro SMA</t>
  </si>
  <si>
    <t>Kt.26.414</t>
  </si>
  <si>
    <t>Kt.26.415</t>
  </si>
  <si>
    <t>PER TANGGAL 26 Mei 2026</t>
  </si>
  <si>
    <t>TOTAL POSISI KAS DAN BANK TGL 26 Mei  2026</t>
  </si>
  <si>
    <t>Pek Perbaikan Pintu Lemari SMP (Pa Kiki)</t>
  </si>
  <si>
    <t xml:space="preserve">Bon Pemb Matrial Pro Darul Ulum) </t>
  </si>
  <si>
    <t>Perbaikan Pintu Lipat (Pa Fadli) Pro Darul Ulum</t>
  </si>
  <si>
    <t>TOTAL POSISI KAS DAN BANK TGL 5 Juni  2026</t>
  </si>
  <si>
    <t xml:space="preserve">Palu Karet </t>
  </si>
  <si>
    <t xml:space="preserve">Bor Cas </t>
  </si>
  <si>
    <t>Ku.26.073</t>
  </si>
  <si>
    <t xml:space="preserve">Cash Bon Ke-17 PA Agus Pro Sumedang </t>
  </si>
  <si>
    <t xml:space="preserve">Keamanan Satpam Minggu Ke 17 pro Sumedang </t>
  </si>
  <si>
    <t>Lembur Pa Dedi Minggu Kemarin (Malam Idul Adha) 5 Jam</t>
  </si>
  <si>
    <t>Upah Pa Dedi Bebersih</t>
  </si>
  <si>
    <t xml:space="preserve">Apartemen </t>
  </si>
  <si>
    <t xml:space="preserve">JUMLAH PENGAJUAN Apartemen </t>
  </si>
  <si>
    <t xml:space="preserve"> </t>
  </si>
  <si>
    <t xml:space="preserve">BBM Motor </t>
  </si>
  <si>
    <t xml:space="preserve">Pemb Tisu (Talangan Pa Uden) </t>
  </si>
  <si>
    <t>Kt.26.481</t>
  </si>
  <si>
    <t xml:space="preserve">Kekurangan Pemb H-Beam Sumedang </t>
  </si>
  <si>
    <t>Kt.26.419</t>
  </si>
  <si>
    <t xml:space="preserve">Cash Bon Pa Hendra Ke-8 (pek Baja) Sumedang </t>
  </si>
  <si>
    <t>Kt.26.434</t>
  </si>
  <si>
    <t xml:space="preserve">Upah Tukang Listrik (Pa Ono &amp; Pa Bayu) Sumedang </t>
  </si>
  <si>
    <t>Kt.26.433</t>
  </si>
  <si>
    <t xml:space="preserve">BBM Bawa Barang Apartemen </t>
  </si>
  <si>
    <t>Kt.26.435</t>
  </si>
  <si>
    <t>Kontrabon Sejahtera Tgl 2/6</t>
  </si>
  <si>
    <t>Kt.26.436</t>
  </si>
  <si>
    <t>Kontrabon Restulogam 30/5</t>
  </si>
  <si>
    <t>Kontrabon Sejahtera Tgl 30/5</t>
  </si>
  <si>
    <t xml:space="preserve">Pemb Matrial (Pintu Toilet) Sumedang </t>
  </si>
  <si>
    <t>Kt.26.437</t>
  </si>
  <si>
    <t>Kt.26.432</t>
  </si>
  <si>
    <t>PER TANGGAL 5 Juni 2026</t>
  </si>
  <si>
    <t>Upah Pa mamat (Pek Bocoran ) Pro SMA</t>
  </si>
  <si>
    <t xml:space="preserve">Kontrabon Sejahtera Tgl 2/6 Sumedang </t>
  </si>
  <si>
    <t xml:space="preserve">Parkir Sumedang </t>
  </si>
  <si>
    <t xml:space="preserve">Kontrabon Restulogam 30/5 Aprtemen </t>
  </si>
  <si>
    <t xml:space="preserve">Kontrabon Sejahtera Tgl 30/5 Apartemen </t>
  </si>
  <si>
    <t xml:space="preserve">Tinta Hp (2 Pcs) ,Tinta Eppson (1 Pcs) </t>
  </si>
  <si>
    <t>Buku Pengajuan (4 Rangkap)</t>
  </si>
  <si>
    <t xml:space="preserve">Biaya Admn ke A Adit (Dri Bulan Lalu) </t>
  </si>
  <si>
    <t>Pemb BBM Jupiter Pro SMA</t>
  </si>
  <si>
    <t>Pemb Kardus Rapat Pro SMA</t>
  </si>
  <si>
    <t>Kt.26.440</t>
  </si>
  <si>
    <t>Kt.26.439</t>
  </si>
  <si>
    <t>Pemb Matrial (Damdex,Bondex,Wermesh,Besi,dll)</t>
  </si>
  <si>
    <t xml:space="preserve">Kekurangan Pemb Pintu Toilet,Kloset,Wastafel,dll Sumedang </t>
  </si>
  <si>
    <t>Ku.26.076</t>
  </si>
  <si>
    <t xml:space="preserve">Kebutuhan pa Dedi </t>
  </si>
  <si>
    <t>Pa Dedi Kasbon Untuk Pemb Laptop Anaknya</t>
  </si>
  <si>
    <t>Ku.26.081</t>
  </si>
  <si>
    <t>Kt.26.451</t>
  </si>
  <si>
    <t>Upah Tukang Pa mamat (Pek Perbaikan lemari &amp; kloset) SMA</t>
  </si>
  <si>
    <t>Upah Tukang Speaker SMA</t>
  </si>
  <si>
    <t>Kt.26.452</t>
  </si>
  <si>
    <t>Upah Tukang Pa mamat (Pek Pengecekan &amp; Pasang slot pintu) SMP</t>
  </si>
  <si>
    <t>Kt.26.453</t>
  </si>
  <si>
    <t>Kt.26.454</t>
  </si>
  <si>
    <t>Upah Tukang Pa Asep (Pasang Gordeng) Darul Ulum</t>
  </si>
  <si>
    <t>Darul Ulum,Apartemen &amp; Cirebon</t>
  </si>
  <si>
    <t>JUMLAH PENGAJUAN Darul Ulum,Apartemen &amp; Cirebon</t>
  </si>
  <si>
    <t xml:space="preserve">Upah Pa Dedi Cirebon </t>
  </si>
  <si>
    <t>Upah Pa Kiki Apartemen</t>
  </si>
  <si>
    <t>Kt.26.458</t>
  </si>
  <si>
    <t>Kt.26.455</t>
  </si>
  <si>
    <t xml:space="preserve">Cash Bon Ke-18 PA Agus Pro Sumedang </t>
  </si>
  <si>
    <t xml:space="preserve">Keamanan Satpam Minggu Ke 18 pro Sumedang </t>
  </si>
  <si>
    <t xml:space="preserve">Upah Tukang Listrik (Pa Ono, Pa Amin,&amp; Pa Padli) Sumedang </t>
  </si>
  <si>
    <t>Kt.26.456</t>
  </si>
  <si>
    <t xml:space="preserve">Pemb Tiner Sumedang </t>
  </si>
  <si>
    <t>Kt.26.445</t>
  </si>
  <si>
    <t xml:space="preserve">Kontrabon Restulogam 5/6 Sumedang </t>
  </si>
  <si>
    <t>Kt.26.446</t>
  </si>
  <si>
    <t>Kontrabon Restulogam 6/6 SMA</t>
  </si>
  <si>
    <t>Kt.26.447</t>
  </si>
  <si>
    <t xml:space="preserve">Kontrabon Restulogam 6/6 Jl Subang </t>
  </si>
  <si>
    <t>Kontrabon Restulogam 11/6 Umum (pemb Tambang)</t>
  </si>
  <si>
    <t>Ku.26.082</t>
  </si>
  <si>
    <t>Kt.26.157</t>
  </si>
  <si>
    <t>Kontrabon Restulogam 11/6 SMP</t>
  </si>
  <si>
    <t>PER TANGGAL 11 Juni 2026</t>
  </si>
  <si>
    <t>TOTAL POSISI KAS DAN BANK TGL 11 Juni  2026</t>
  </si>
  <si>
    <t>AKI / Akumulator (Accu) Mobil Gran Max</t>
  </si>
  <si>
    <t xml:space="preserve">Babinsa sumedang </t>
  </si>
  <si>
    <t xml:space="preserve">Danramil Sumedang </t>
  </si>
  <si>
    <t xml:space="preserve">Kontrakan pa Agus Sumedang </t>
  </si>
  <si>
    <t xml:space="preserve">Kontrakan Pa Yadi Sumedang </t>
  </si>
  <si>
    <t xml:space="preserve">Kontrakan Kantor Sumedang </t>
  </si>
  <si>
    <t xml:space="preserve">Air Minum Sumedang </t>
  </si>
  <si>
    <t xml:space="preserve">Uang Makan Tukang Cor Sumedang </t>
  </si>
  <si>
    <t xml:space="preserve">Kekurangan Upah Tukang Listrik (Pa Padli) Sumedang </t>
  </si>
  <si>
    <t xml:space="preserve">Upah pa iyay &amp; pa ono Apartement </t>
  </si>
  <si>
    <t xml:space="preserve">Kontrakan Pa Ade Hendra Sumedang </t>
  </si>
  <si>
    <t xml:space="preserve">Kontrakan Kantor (Pa yadi &amp; Pa Heri) Sumedang </t>
  </si>
  <si>
    <t xml:space="preserve">Ganti Kaleng Motor Revo </t>
  </si>
  <si>
    <t>Ganti Oli,Service Dinamo &amp; Kaca belakang Mobil G Max</t>
  </si>
  <si>
    <t>Tambah Daya Listrik dari 2200 Ke 3500</t>
  </si>
  <si>
    <t>Upah Tukang Pa mamat (Pek Perbaikan Tombol Flus &amp; Sekat partisi Musola Lt 4) SMA</t>
  </si>
  <si>
    <t xml:space="preserve">Kekurangan Babinsa Sumedang </t>
  </si>
  <si>
    <t xml:space="preserve">Pemb Kabel Voksel </t>
  </si>
  <si>
    <t xml:space="preserve">Pemb Kabel NYM (A Adit) </t>
  </si>
  <si>
    <t xml:space="preserve">Upah Pa dedi + Lemburan Pro Sumedang </t>
  </si>
  <si>
    <t>Sncak / Konsumsi Rapat Tgl 17/6</t>
  </si>
  <si>
    <t xml:space="preserve">Pemb Baja WF &amp; Plat 20 mm + Ongkir Sumedang </t>
  </si>
  <si>
    <t xml:space="preserve">Kontrabon Restulogam 9/6 Sumedang </t>
  </si>
  <si>
    <t xml:space="preserve">Kontrabon Sejahtera 8/6 Sumedang </t>
  </si>
  <si>
    <t>Ku.26.083</t>
  </si>
  <si>
    <t>Kt.26.460</t>
  </si>
  <si>
    <t xml:space="preserve">Pemb E-Toll (Bawa Barang ) Sumedang </t>
  </si>
  <si>
    <t>Ku.26.084</t>
  </si>
  <si>
    <t>Kt.26.467</t>
  </si>
  <si>
    <t>Kt.26.468</t>
  </si>
  <si>
    <t>Kt.26.469</t>
  </si>
  <si>
    <t>Kt.26.470</t>
  </si>
  <si>
    <t>Kt.26.471</t>
  </si>
  <si>
    <t>PER TANGGAL 18 Juni 2026</t>
  </si>
  <si>
    <t>TOTAL POSISI KAS DAN BANK TGL 18 Juni  2026</t>
  </si>
  <si>
    <t>Ganti Oli</t>
  </si>
  <si>
    <t>Ku.26.085</t>
  </si>
  <si>
    <t>Kt.26.483</t>
  </si>
  <si>
    <t xml:space="preserve">Upah Tukang Pa mamat (Pek Perbaikan Partisi &amp; Pasang Kramik) SMP </t>
  </si>
  <si>
    <t>Kt.26.487</t>
  </si>
  <si>
    <t xml:space="preserve">Pemb Mtrial (Semen &amp; Kramik) SMP </t>
  </si>
  <si>
    <t>Kt.26.484</t>
  </si>
  <si>
    <t>Upah Tukang Pa mamat (Pek Partisi R.Musola,Cat partisi &amp; Bongkaran Tmpt Wudhu) SMA</t>
  </si>
  <si>
    <t>Upah Pa Dedi SMA</t>
  </si>
  <si>
    <t xml:space="preserve">Kekurangan Upah Tukang Listrik (Pa Ono, Pa Amin,&amp; Pa Padli) Minggu Lalu Sumedang </t>
  </si>
  <si>
    <t xml:space="preserve">Pemb Kabel NYM 3 x 2 1/2 Sumedang </t>
  </si>
  <si>
    <t>Kt.26.482</t>
  </si>
  <si>
    <t xml:space="preserve">Pemb Matrial (Paku Beton,Knie,Kuas,dll) Sumedang </t>
  </si>
  <si>
    <t xml:space="preserve">Konsumsi Rapat,Air minum,Parkir Sumedang </t>
  </si>
  <si>
    <t>Kt.26.485</t>
  </si>
  <si>
    <t xml:space="preserve">Cash Bon Ke-20 PA Agus Pro Sumedang </t>
  </si>
  <si>
    <t xml:space="preserve">Keamanan Satpam Minggu Ke 20 pro Sumedang </t>
  </si>
  <si>
    <t xml:space="preserve">Cash Bon Pa hendra Ke 9 Sumedang </t>
  </si>
  <si>
    <t>Kt.26.486</t>
  </si>
  <si>
    <t>Kt.26.488</t>
  </si>
  <si>
    <t xml:space="preserve">BBM &amp; E Toll (Bulak Balik Bawa Kramik) Sumedang </t>
  </si>
  <si>
    <t xml:space="preserve">Kawaluyaan </t>
  </si>
  <si>
    <t xml:space="preserve">BBM (Untuk bawa barang pindahaan) Kawaluyaan </t>
  </si>
  <si>
    <t>Kontrabon Restulogam 23/6 SMP</t>
  </si>
  <si>
    <t>Kontrabon Restulogam 19/6 SMA</t>
  </si>
  <si>
    <t>PER TANGGAL 26 Juni 2026</t>
  </si>
  <si>
    <t>TOTAL POSISI KAS DAN BANK TGL 26 Juni  2026</t>
  </si>
  <si>
    <t>URAIAN</t>
  </si>
  <si>
    <t>TF Ke BCA Ke Nisa dr MAJ</t>
  </si>
  <si>
    <t>Cash MAJ</t>
  </si>
  <si>
    <t>Kas Di Nisa</t>
  </si>
  <si>
    <t>Pinjaman dari Nisa</t>
  </si>
  <si>
    <t>Honor Rian Mesjid Ppolisi Airud (Yudikari)</t>
  </si>
  <si>
    <t>Honor Pa yadi</t>
  </si>
  <si>
    <t>Honor Pa Ovan</t>
  </si>
  <si>
    <t>Gaji Juni</t>
  </si>
  <si>
    <t>Matrial SMP</t>
  </si>
  <si>
    <t>Scafolding (Dp) SMA</t>
  </si>
  <si>
    <t xml:space="preserve">SPJ Ke-20 Sumedang </t>
  </si>
  <si>
    <t>SPJ Ke 1 JKT Utara</t>
  </si>
  <si>
    <t>Air Galon</t>
  </si>
  <si>
    <t>Kas Di Nisa (Termin ke 3 tahap 4)</t>
  </si>
  <si>
    <t>Pa Kiki DP Pintu</t>
  </si>
  <si>
    <t>Pa Karsana DP reling</t>
  </si>
  <si>
    <t>Pa Nandar DP Gypsum</t>
  </si>
  <si>
    <t>Kasbon Pa Dedi</t>
  </si>
  <si>
    <t>Kramik SMA</t>
  </si>
  <si>
    <t>PER TANGGAL 2 JULI 2026</t>
  </si>
  <si>
    <t>Listrik</t>
  </si>
  <si>
    <t>TLP</t>
  </si>
  <si>
    <t>BPJS TK</t>
  </si>
  <si>
    <t>Kekurangan cetak Pengajuan</t>
  </si>
  <si>
    <t>BPJS Pa Bey</t>
  </si>
  <si>
    <t>ATK</t>
  </si>
  <si>
    <t>Pek perbaikan lapangan Futsal (Pa Karsna) SMP</t>
  </si>
  <si>
    <t>Pekerjaan Pengelasan Tutup Main Hole SMP (Pa Karsana)</t>
  </si>
  <si>
    <t>Pekerjaan Perbaikan Ring Basket SMP (Pa Karsana)</t>
  </si>
  <si>
    <t>Kt.26.514</t>
  </si>
  <si>
    <t>Kt.26.504</t>
  </si>
  <si>
    <t>Bon Talangan Pa Mamat Beli corong SMP</t>
  </si>
  <si>
    <t>Pembelian Cat SMP (talangan Pa Heri)</t>
  </si>
  <si>
    <t>Upah Pek SMP (Pa Mamat)</t>
  </si>
  <si>
    <t>Kt.26.508</t>
  </si>
  <si>
    <t>Upah Pa Dedi SMP</t>
  </si>
  <si>
    <t>Kt.26.491</t>
  </si>
  <si>
    <t>Kramik Platinum SMA</t>
  </si>
  <si>
    <t>Kt.26.496</t>
  </si>
  <si>
    <t>Kramik Toilet,Sika, Kuas, dan Karung SMA</t>
  </si>
  <si>
    <t>Kt.26.502</t>
  </si>
  <si>
    <t>Kt.26.509</t>
  </si>
  <si>
    <t>Upah Tukang SMA</t>
  </si>
  <si>
    <t>Sewa Scafolding Gwen Scafolding SMA</t>
  </si>
  <si>
    <t>Perpanjang sewa Safolding PT. Pratama Cilegon SMA</t>
  </si>
  <si>
    <t>Kt.26.510</t>
  </si>
  <si>
    <t>Upah Tukang</t>
  </si>
  <si>
    <t>Upah +  Lembur Pa Dedi</t>
  </si>
  <si>
    <t>TANGGERANG &amp; JL. GITAR</t>
  </si>
  <si>
    <t>Kt.26.511</t>
  </si>
  <si>
    <t>Perpanjangan Sewa Scafolding PT. Pratama Cilegon Jl. Gitar</t>
  </si>
  <si>
    <t>Kt.26.489</t>
  </si>
  <si>
    <t>Pembelian Matrial Sumedang (triplek, semen, tong,Kabel dll)</t>
  </si>
  <si>
    <t>Oprasioanl (Konsumsi rapat)</t>
  </si>
  <si>
    <t>Kt.26.490</t>
  </si>
  <si>
    <t>Pembelian Besi Sumedang</t>
  </si>
  <si>
    <t xml:space="preserve">Pembelian Matrial Plumbing </t>
  </si>
  <si>
    <t>Tambahan Kasbon Baja Pa Hendra (minggu lalu)</t>
  </si>
  <si>
    <t>Kt.26.512</t>
  </si>
  <si>
    <t>Upah Pa Dedi (Minggu ini) Sumedang</t>
  </si>
  <si>
    <t>Upah Pa Heri (minggu ini) Sumedang</t>
  </si>
  <si>
    <t>Cash Bon Pa Agus (Minggu ini) Sumedang</t>
  </si>
  <si>
    <t>Upah Tukang (Minggu ini) Sumedang</t>
  </si>
  <si>
    <t>Keamanan Satpam (Minggu ini ) Sumedang</t>
  </si>
  <si>
    <t>Upah TK Listrik (Minggu ini )</t>
  </si>
  <si>
    <t>Perpanjangan sewa scafolding PT. Pratama Cilegon Sumedang</t>
  </si>
  <si>
    <t>KAWALUYAAN</t>
  </si>
  <si>
    <t>Kt.26.513</t>
  </si>
  <si>
    <t>Upah Tukang Kawaluyaan</t>
  </si>
  <si>
    <t>Lalamuve (pindahan bu jumarti)</t>
  </si>
  <si>
    <t>Kt.26.492</t>
  </si>
  <si>
    <t>KONTRABON RESTU LOGAM SMP (Paku, Cat, Tepentin,Semen kramik dll)</t>
  </si>
  <si>
    <t>KONTRABON RESTU LOGAM SMP (Kunci, kuas, Slot)</t>
  </si>
  <si>
    <t>Kt.26.493</t>
  </si>
  <si>
    <t>KONTRABON RESTU LOGAM Sumedang (Meni, SIkaSlang waterpas)</t>
  </si>
  <si>
    <t>Kt.26.494</t>
  </si>
  <si>
    <t>KONTRABON RESTULOGAM SMA (Triplek, lem)</t>
  </si>
  <si>
    <t>KONTRABON RESTULOGAM SMA (MU,Semen, Benang, Cat,Pipa, Seiv dll)</t>
  </si>
  <si>
    <t>Kebutuhan Bulanan Kantor &amp; Pa Dedi</t>
  </si>
  <si>
    <t>Kekurangan bon Semen SMP (Talangan Pa Dedi)</t>
  </si>
  <si>
    <t>Parkir Restu logam</t>
  </si>
  <si>
    <t>Ku.26.089</t>
  </si>
  <si>
    <t>Upah Tukang Listrik (Pek Pasang DownLight,dll) Pa Soni SMP</t>
  </si>
  <si>
    <t>Kt.26.516</t>
  </si>
  <si>
    <t>Kt.26.515</t>
  </si>
  <si>
    <t>Pembelian Matrial (kabel, Semen, Paku, Triplek)</t>
  </si>
  <si>
    <t>Kekurangan Upah TK Listrik (minggu Lalu)</t>
  </si>
  <si>
    <t>KONTABON SEJAHTERA SUMEDANG (Longdrat,Dynaset, Mur, dll)</t>
  </si>
  <si>
    <t>KONTABON SEJAHTERA SMPMatrial Listrik)</t>
  </si>
  <si>
    <t>Oprasional Tambal Ban Roda Sumedang</t>
  </si>
  <si>
    <t>TOTAL POSISI KAS DAN BANK</t>
  </si>
  <si>
    <t>Upah +  Lembur Pa Dedi Tanggerang</t>
  </si>
  <si>
    <t>Upah Tukang Tanggerang</t>
  </si>
  <si>
    <t>TF dari MAJ ke BCA Nisa</t>
  </si>
  <si>
    <t>TF Dari MCBS Ke BCA Nisa</t>
  </si>
  <si>
    <t>Cash</t>
  </si>
  <si>
    <t>PER TANGGAL 4 JULI 2026</t>
  </si>
  <si>
    <t>Penerimaan Kas (Cash)</t>
  </si>
  <si>
    <t>Penerimaan Kas (Tf BCA Nisa))</t>
  </si>
  <si>
    <t>PER TANGGAL 2 JULI 2026 (YANG ACC PA GIRI)</t>
  </si>
  <si>
    <t>PER TANGGAL 6 JULI 2026</t>
  </si>
  <si>
    <t>PER TANGGAL 10 JULI 2026</t>
  </si>
  <si>
    <t>Kekurangan Pengajuan</t>
  </si>
  <si>
    <t>Ku.26.091</t>
  </si>
  <si>
    <t>Pajak Motor Jupiter</t>
  </si>
  <si>
    <t>Kt.26.535</t>
  </si>
  <si>
    <t>List Plafond SMP</t>
  </si>
  <si>
    <t>Kt.26.536</t>
  </si>
  <si>
    <t>Upah + Lemburan Tukang (Pa mamat)</t>
  </si>
  <si>
    <t>Keamanan Satpam SMP</t>
  </si>
  <si>
    <t>Kt.26.543</t>
  </si>
  <si>
    <t>BBM &amp; Parkir Kirim Kramik SMP</t>
  </si>
  <si>
    <t>Kt.26.532</t>
  </si>
  <si>
    <t>Pembelian Cat dan Kanebo SMP (Pa Heri )</t>
  </si>
  <si>
    <t xml:space="preserve">Parkir (Pembelian Pembersih Kaca) </t>
  </si>
  <si>
    <t>Pembelian Pembersih Kaca SMP Nisa</t>
  </si>
  <si>
    <t>Pembelian Pembersih Kaca SMP Pa Dedi</t>
  </si>
  <si>
    <t>Kt.26.518</t>
  </si>
  <si>
    <t>Knie V tee multi dan kanebo SMA</t>
  </si>
  <si>
    <t>Kt.26.537</t>
  </si>
  <si>
    <t xml:space="preserve">Upah Tukang &amp; Lemburan SMA </t>
  </si>
  <si>
    <t>Keamanan Satpam SMA</t>
  </si>
  <si>
    <t>Kt.26.517</t>
  </si>
  <si>
    <t>Pembelian matrial Tee , Kiee dan V sock</t>
  </si>
  <si>
    <t>Kt.26.519</t>
  </si>
  <si>
    <t>Tips Angkut Kramik Sumedang minggu lalu</t>
  </si>
  <si>
    <t>Tips Angkut Kramik Sumedang Minggu ini</t>
  </si>
  <si>
    <t>Kt.26.520</t>
  </si>
  <si>
    <t>Kt.26.521</t>
  </si>
  <si>
    <t xml:space="preserve">Matrial Sumedang </t>
  </si>
  <si>
    <t>Kt.26.522</t>
  </si>
  <si>
    <t>Matrial alat bantu Mata Koring</t>
  </si>
  <si>
    <t xml:space="preserve">Oprasional Sumedang </t>
  </si>
  <si>
    <t>Kt.26.538</t>
  </si>
  <si>
    <t>Upah harian Sumedang</t>
  </si>
  <si>
    <t>Pembelian bambu sumednag</t>
  </si>
  <si>
    <t>Pembelian Paku Beton</t>
  </si>
  <si>
    <t>Pembelian Damdex &amp; Pasir</t>
  </si>
  <si>
    <t xml:space="preserve">Kasbon Pa Agus  Sumedang </t>
  </si>
  <si>
    <t>Upah Pa Heri Sumedang</t>
  </si>
  <si>
    <t>Upah Pa Dedi Sumedang</t>
  </si>
  <si>
    <t xml:space="preserve">Keamanan Sumedang </t>
  </si>
  <si>
    <t>Upah &amp; Lemburan TK Listrik Sumedang</t>
  </si>
  <si>
    <t>Kt.26.539</t>
  </si>
  <si>
    <t>Pembelian kabel, Pipa NYM cat dasar dll Sumedang</t>
  </si>
  <si>
    <t>Kt.26.540</t>
  </si>
  <si>
    <t>Upah Pa Dedi Kawaluyaan</t>
  </si>
  <si>
    <t>Upah Tukang Pa Mamat Kawaluyaan</t>
  </si>
  <si>
    <t>Kt.26.541</t>
  </si>
  <si>
    <t xml:space="preserve">KONTRABON RESTULOGAM SMP 9/7 </t>
  </si>
  <si>
    <t>Kt.26.542</t>
  </si>
  <si>
    <t xml:space="preserve">KONTRABON RESTULOGAM SMA 9/7 </t>
  </si>
  <si>
    <t>ANTAPANI</t>
  </si>
  <si>
    <t>Kt.26.545</t>
  </si>
  <si>
    <t>Perbaikan AKARA Pa Soni Spa Antapani</t>
  </si>
  <si>
    <t>Pekerjaan AC (Pa Kosim) SMP</t>
  </si>
  <si>
    <t>Kt.26.546</t>
  </si>
  <si>
    <t>Kt.26.547</t>
  </si>
  <si>
    <t>Sewa cat walk SMA</t>
  </si>
  <si>
    <t>Oprasional Cor Sumedang</t>
  </si>
  <si>
    <t>Pembelian Vlek Roda</t>
  </si>
  <si>
    <t>Pembelian Cat dan Kanebo SMA (Pa Heri )</t>
  </si>
  <si>
    <t>PER TANGGAL 11 JULI 2026</t>
  </si>
  <si>
    <t>JUMAT</t>
  </si>
  <si>
    <t>SABTU</t>
  </si>
  <si>
    <t>Pembelian Jaring SMA</t>
  </si>
  <si>
    <t>Kt.26.562</t>
  </si>
  <si>
    <t>Ku.26.093</t>
  </si>
  <si>
    <t>Lampu Motor Revo</t>
  </si>
  <si>
    <t>HP Pa Dedi (kasbon)</t>
  </si>
  <si>
    <t>HP Pa Heri (Kasbon)</t>
  </si>
  <si>
    <t>Materai</t>
  </si>
  <si>
    <t>Partisipasi 17 Agustus Komplek</t>
  </si>
  <si>
    <t>Kt.26.570</t>
  </si>
  <si>
    <t>Upah Tukang SMP Pa Mamat</t>
  </si>
  <si>
    <t>Kt.26.571</t>
  </si>
  <si>
    <t>Upah &amp; Lemburan SMA</t>
  </si>
  <si>
    <t>Kt.26.572</t>
  </si>
  <si>
    <t>Keamanan SMA</t>
  </si>
  <si>
    <t>Bon Matrial talangan pa mamat SMA</t>
  </si>
  <si>
    <t>Pekerjaan Perkuatan layar Infokus (Pa Karsana) SMA</t>
  </si>
  <si>
    <t>Kt.26.565</t>
  </si>
  <si>
    <t>Matrial Sumedang (talangan Pa Heri)</t>
  </si>
  <si>
    <t>Oprasional Sumedang (Talangan Pa Heri)</t>
  </si>
  <si>
    <t>Kt.26.573</t>
  </si>
  <si>
    <t>Pekerjaan reling Dek Kolam &amp; Gedung Utama (Pa Karsana ) Sumedang</t>
  </si>
  <si>
    <t>Kt.26.574</t>
  </si>
  <si>
    <t>Upah Tukang Sumedang</t>
  </si>
  <si>
    <t>Kasbon Pa Agus Sumedang</t>
  </si>
  <si>
    <t>Upah &amp; Lemburan Tukang Listrik</t>
  </si>
  <si>
    <t>Keamanan &amp; Satpam</t>
  </si>
  <si>
    <t>Batu Belah Sumedang</t>
  </si>
  <si>
    <t>Kt.26.575</t>
  </si>
  <si>
    <t>Upah Pa Mamat Kawaluyaan</t>
  </si>
  <si>
    <t>Air Minum Kawaluyaan</t>
  </si>
  <si>
    <t>Barangkal Kawaluyaan</t>
  </si>
  <si>
    <t>Matrial Kawaluyaan</t>
  </si>
  <si>
    <t>Kt.26.566</t>
  </si>
  <si>
    <t>KONTRABON RESTULOGAM KAWALUYAAN 14/7</t>
  </si>
  <si>
    <t>KONTRABON RTEGUH KAWALUYAAN 14/7</t>
  </si>
  <si>
    <t xml:space="preserve">Parkir Matrial </t>
  </si>
  <si>
    <t>Kt.26.567</t>
  </si>
  <si>
    <t>KONTRABON RESTULOGAM SMA 14/7</t>
  </si>
  <si>
    <t>PER TANGGAL 16 JULI 2026</t>
  </si>
  <si>
    <t>Pinjaman dari Pa Akhmad</t>
  </si>
  <si>
    <t>KONTRABON TEGUH KAWALUYAAN 14/7</t>
  </si>
  <si>
    <t>PER TANGGAL 17 JULI 2026</t>
  </si>
  <si>
    <t>PER TANGGAL 18 JULI 2026</t>
  </si>
  <si>
    <t>Pek Lemari SMA (Pa Kiki)</t>
  </si>
  <si>
    <t>Termin Pek Gypsum Sumedang (Pa nandar)</t>
  </si>
  <si>
    <t>sudah</t>
  </si>
  <si>
    <t>BRI</t>
  </si>
  <si>
    <t xml:space="preserve">Kas Logistik Pa Heri </t>
  </si>
  <si>
    <t>Dari BRI</t>
  </si>
  <si>
    <t>ke Nisa</t>
  </si>
  <si>
    <t>Pa Uden</t>
  </si>
  <si>
    <t>TF Teteh</t>
  </si>
  <si>
    <t>cash</t>
  </si>
  <si>
    <t>Kas ke Pa Heri (dr Nisa)</t>
  </si>
  <si>
    <t>Kas ke Pa Heri (Dr Nisa)</t>
  </si>
  <si>
    <t>Dari Pa Akhamd Jaelani</t>
  </si>
  <si>
    <t>Termin Sumedang yang Masuk</t>
  </si>
  <si>
    <t>Uang yang sudah dis serahkan</t>
  </si>
  <si>
    <t>Dari Pa Giri Tgl 14/7</t>
  </si>
  <si>
    <t>Dari Pa Giri Tgl 7/7</t>
  </si>
  <si>
    <t>Dari Pa Giri Tgl 17/7</t>
  </si>
  <si>
    <t>Dari Nisa 18/7</t>
  </si>
  <si>
    <t>Jumlah</t>
  </si>
  <si>
    <t>Jumlah skrg di TF</t>
  </si>
  <si>
    <t>(-)</t>
  </si>
  <si>
    <t>ke pa akhmad</t>
  </si>
  <si>
    <t>Kas Ke Pa Heri (dr Pa Giri)</t>
  </si>
  <si>
    <t>PER TANGGAL 24 JULI 2026</t>
  </si>
  <si>
    <t>Ku.094</t>
  </si>
  <si>
    <t>Modem Untuk Fajri</t>
  </si>
  <si>
    <t>Pajak Motor Beat</t>
  </si>
  <si>
    <t>Kt.26.524</t>
  </si>
  <si>
    <t>Upah Tukang SMP (Pa Mamat)</t>
  </si>
  <si>
    <t>Kt.26.585</t>
  </si>
  <si>
    <t>Upah SMA (Pa Mamat)</t>
  </si>
  <si>
    <t>Bon Talangan Pa Mamat SMA</t>
  </si>
  <si>
    <t>Bon Talangan Pa Heri SMA</t>
  </si>
  <si>
    <t>Kt.26.586</t>
  </si>
  <si>
    <t>Upah Harian Sumedang (Pa Heri)</t>
  </si>
  <si>
    <t xml:space="preserve">Pekerjaan Almunium Sumedang </t>
  </si>
  <si>
    <t>Upah Tukang Listrik (Pa Ono) Sumedang</t>
  </si>
  <si>
    <t>Pekerjaan Kusen Pintu Sumedang (Pa nandar)</t>
  </si>
  <si>
    <t>Pekerjaan Reling Besi Sumedang (Pa Karsana)</t>
  </si>
  <si>
    <t>Pekerjaan Baja Sumedang (Pa Hendra)</t>
  </si>
  <si>
    <t>Keamanan Satpam Sumedang</t>
  </si>
  <si>
    <t>Loss Listrik &amp; Danramil</t>
  </si>
  <si>
    <t>Kt.26.587</t>
  </si>
  <si>
    <t>Matrial Sumedang (Semen, Pasir, Cat Aquaproof, Serat, Samdex, Keramik)</t>
  </si>
  <si>
    <t>Kt.26.588</t>
  </si>
  <si>
    <t>Upah Tukang Kawaluyaan (Pa Mamat)</t>
  </si>
  <si>
    <t>Bon Matrial Talangan</t>
  </si>
  <si>
    <t>Kt.26.589</t>
  </si>
  <si>
    <t>Kt.26.590</t>
  </si>
  <si>
    <t>KONTRABON  RESTU LOGAM 21/7 SMA</t>
  </si>
  <si>
    <t>Kt.26.591</t>
  </si>
  <si>
    <t>KONTRABON  RESTU LOGAM 21/7 Kawaluyaan</t>
  </si>
  <si>
    <t>Service Jack hammer</t>
  </si>
  <si>
    <t>Aqua Glass SMP</t>
  </si>
  <si>
    <t xml:space="preserve">Pembayaran Kekurangan Kas logstik </t>
  </si>
  <si>
    <t>KONTRABON  SEJAHTERA 18/7 Sumedang</t>
  </si>
  <si>
    <t>Pek Pintu Pa Kiki</t>
  </si>
  <si>
    <t>BBM Pa Dedi Ke Sumedang</t>
  </si>
  <si>
    <t xml:space="preserve">Dari Termin Sumedang </t>
  </si>
  <si>
    <t>Dari Pa Akhmad</t>
  </si>
  <si>
    <t>Sisa dari Pa Akhmad</t>
  </si>
  <si>
    <t>BBM Sumedang</t>
  </si>
  <si>
    <t>PER TANGGAL 31 JULI 2026</t>
  </si>
  <si>
    <t>Air Le mineral &amp; Galon</t>
  </si>
  <si>
    <t>Kt.26.605</t>
  </si>
  <si>
    <t>Upah Tukang Pasang Kramik SD (Pa mamat)</t>
  </si>
  <si>
    <t>Kt.26.606</t>
  </si>
  <si>
    <t>Upah Tukang Prk Dren AC Kelas SMP (Pa mamat)</t>
  </si>
  <si>
    <t>Kt.26.577</t>
  </si>
  <si>
    <t>Pek Stop Kontak SMA (Pa Soni)</t>
  </si>
  <si>
    <t>Nodrop Abu , Bulu roll, kuas SMA</t>
  </si>
  <si>
    <t>Kt.26.595</t>
  </si>
  <si>
    <t>Pek Kanopi SMA (Pa Karsana)</t>
  </si>
  <si>
    <t>Upah Tukang Listrik SMA (Pa soni)</t>
  </si>
  <si>
    <t>Kt.26.607</t>
  </si>
  <si>
    <t>Upah Tukang Pek Pasang Esteger scafolding pasang kramik SMA Pa Mamat</t>
  </si>
  <si>
    <t>Bon matrial talangan pa mamat</t>
  </si>
  <si>
    <t>Kt.26.593</t>
  </si>
  <si>
    <t xml:space="preserve">Oprasional Cor Sumedang </t>
  </si>
  <si>
    <t>Kt.26.598</t>
  </si>
  <si>
    <t>Pembelian shower Panas dingin Sumedang</t>
  </si>
  <si>
    <t>Kt.26.601</t>
  </si>
  <si>
    <t>Pemb Pek Gypsum Sumedang (Pa Nandar)</t>
  </si>
  <si>
    <t>Kt.26.608</t>
  </si>
  <si>
    <t xml:space="preserve">Upah Harian Sumedang </t>
  </si>
  <si>
    <t>Kasbon Pa Agus</t>
  </si>
  <si>
    <t>Kasbon Pa Ade Baja</t>
  </si>
  <si>
    <t>Air Minum Sumedang</t>
  </si>
  <si>
    <t>Upah Tukang Listrik Sumedang</t>
  </si>
  <si>
    <t>Keamanan Sumedang</t>
  </si>
  <si>
    <t>SUMEDANG</t>
  </si>
  <si>
    <t>Kt.26.609</t>
  </si>
  <si>
    <t>Subkon Almunium (Pa Fadli)</t>
  </si>
  <si>
    <t>Subkon Kusen Pintu (Pa Kiki)</t>
  </si>
  <si>
    <t>Subkon Reling Besi (Pa Karsana)</t>
  </si>
  <si>
    <t>Kt.26.610</t>
  </si>
  <si>
    <t>Pembelian Hebel Sumedang</t>
  </si>
  <si>
    <t>Kt.26.576</t>
  </si>
  <si>
    <t>Pembelian Pen Kawaluyaan (Pa Karsana)</t>
  </si>
  <si>
    <t>Pembelian Bambu Kawaluyaan</t>
  </si>
  <si>
    <t>Kt.26.611</t>
  </si>
  <si>
    <t>Upah Tukang Kawaluyaan (Pa mamat)</t>
  </si>
  <si>
    <t>TANGGERANG</t>
  </si>
  <si>
    <t>Upah Pa Dedi</t>
  </si>
  <si>
    <t>Kt.26.612</t>
  </si>
  <si>
    <t>Kt.26.594</t>
  </si>
  <si>
    <t>Parkir Matrial</t>
  </si>
  <si>
    <t>Kt.26.602</t>
  </si>
  <si>
    <t>KONTRABON  TEGUH 4/7 Kawaluyaan</t>
  </si>
  <si>
    <t>KONTRABON  TEGUH 30/7 Kawaluyaan</t>
  </si>
  <si>
    <t>Perbaikan AC SMA (Pa Kosim)</t>
  </si>
  <si>
    <t>KONTRABON  RESTU LOGAM 25/7 Kawaluyaan</t>
  </si>
  <si>
    <t>Ku.093</t>
  </si>
  <si>
    <t>Termin ke-4 Tahap 8 Sumedang</t>
  </si>
  <si>
    <t>Honor Pa Yadi</t>
  </si>
  <si>
    <t xml:space="preserve">Pinjaman dari Pa Akhamd </t>
  </si>
  <si>
    <t>Kas Kecil Pa Heri</t>
  </si>
  <si>
    <t>sisa dari termin tahap 8</t>
  </si>
  <si>
    <t>PER TANGGAL 4 AGUSTUS 2026</t>
  </si>
  <si>
    <t>kas logistik</t>
  </si>
  <si>
    <t>Iuran Lingkungan</t>
  </si>
  <si>
    <t>Kebutuhan Pa Dedi</t>
  </si>
  <si>
    <t>BPJS Kesehatan</t>
  </si>
  <si>
    <t>BPJK TK</t>
  </si>
  <si>
    <t>BPJS Pak Bey</t>
  </si>
  <si>
    <t>Dompet STNK Motor</t>
  </si>
  <si>
    <t>Ku.095</t>
  </si>
  <si>
    <t>Upah Tukang Pek Bocoran Area Talang SMP (Pa mamat)</t>
  </si>
  <si>
    <t>Upah Tukang SMA Pa Mamat</t>
  </si>
  <si>
    <t>Perpanjangan sewwa scafolding</t>
  </si>
  <si>
    <t>Pembelian matrial sumedang (Besi, Pipa, Knie,Cat, Armatue)</t>
  </si>
  <si>
    <t>Kt.26.629</t>
  </si>
  <si>
    <t>Kt.26.628</t>
  </si>
  <si>
    <t xml:space="preserve">Pembayaran Talangan (matrial, Upah, Keamanan, Oprasional)Pa Heri </t>
  </si>
  <si>
    <t>Perpanjangan Swea Scafolding</t>
  </si>
  <si>
    <t>kt.26.636</t>
  </si>
  <si>
    <t>Bon Matrial Talangan Pa mamat</t>
  </si>
  <si>
    <t>Kt.26.614</t>
  </si>
  <si>
    <t>Matrial Kawaluyaan (Pasir, Split)</t>
  </si>
  <si>
    <t>Barangkal</t>
  </si>
  <si>
    <t>Pembelian Besi 12</t>
  </si>
  <si>
    <t>Kt.26.619</t>
  </si>
  <si>
    <t>PER TANGGAL 7 AGUSTUS 2026</t>
  </si>
  <si>
    <t>Kt.26.627</t>
  </si>
  <si>
    <t>KONTRABON  TEGUH 7/7 Kawaluyaan</t>
  </si>
  <si>
    <t>Kt.26.</t>
  </si>
  <si>
    <t>KONTRABON SEJAHTERA 3/8/26 Sumedang</t>
  </si>
  <si>
    <t>KONTRABON RESTULOGAM 5/8/26 Kawaluyaan</t>
  </si>
  <si>
    <t xml:space="preserve">KONTRABON RESTULOGAM 5/8/26 Kawaluyaan </t>
  </si>
  <si>
    <t>BBM Antar scafolding SMA</t>
  </si>
  <si>
    <t>Pa Kiki SMP</t>
  </si>
  <si>
    <t>KONTRABON  TEGUH 4/7 Kawaluyaan (Bayar Kontrabon)</t>
  </si>
  <si>
    <t>KONTRABON  TEGUH 30/7 Kawaluyaan (Bayar Kontrabon)</t>
  </si>
  <si>
    <t>TERMIN KE 8 SUMEDANG</t>
  </si>
  <si>
    <t>Perpanjangan Sewa Scafolding</t>
  </si>
  <si>
    <t>Perpanjangan sewa scafolding</t>
  </si>
  <si>
    <t>PER TANGGAL 11 AGUSTUS 2026</t>
  </si>
  <si>
    <t>Ku.097</t>
  </si>
  <si>
    <t>Uang Kerohiman Yang Magang 7 Orang @300.000</t>
  </si>
  <si>
    <t>Al-Quran cindera mata yang magang 7 Orang @60.000</t>
  </si>
  <si>
    <t>MAJ</t>
  </si>
  <si>
    <t>KONTABON TEGUH 4/8/26 Kawaluyaan</t>
  </si>
  <si>
    <t>PER TANGGAL 12 AGUSTUS 2026</t>
  </si>
  <si>
    <t>PER TANGGAL 14 AGUSTUS 2026</t>
  </si>
  <si>
    <t>Shower</t>
  </si>
  <si>
    <t>Perpanjangan Website CBS/ Tahun</t>
  </si>
  <si>
    <t xml:space="preserve">KONTRABON RESTULOGAM 12/8/26 Kawaluyaan </t>
  </si>
  <si>
    <t xml:space="preserve">KONTRABON RESTULOGAM 8/8/26 Kawaluyaan </t>
  </si>
  <si>
    <t xml:space="preserve">KONTRABON RESTULOGAM 13/8/26 Kawaluyaan </t>
  </si>
  <si>
    <t>Kt.26.641</t>
  </si>
  <si>
    <t>Kt.26.642</t>
  </si>
  <si>
    <t>Upah Tukang SMA (Pa mamat)</t>
  </si>
  <si>
    <t>Kt.26.643</t>
  </si>
  <si>
    <t>Kontrakan Pa Agus</t>
  </si>
  <si>
    <t>Kontrakan Pa Yadi</t>
  </si>
  <si>
    <t>Kotrakan Pa Ono</t>
  </si>
  <si>
    <t>Tambalban Grand Max</t>
  </si>
  <si>
    <t>Subkon Reling Gypasum (Pa Nandar)</t>
  </si>
  <si>
    <t>Uang Makan Tukang (Cor)</t>
  </si>
  <si>
    <t>Bata Merah</t>
  </si>
  <si>
    <t>Pasir Cor</t>
  </si>
  <si>
    <t>Besi 13,10,8</t>
  </si>
  <si>
    <t>Oprasional Tenaga Ahli FPOK UPI (Pa ahmad Solihin)</t>
  </si>
  <si>
    <t>Kn.26.012</t>
  </si>
  <si>
    <t>Kt.26.639</t>
  </si>
  <si>
    <t>Dana MK</t>
  </si>
  <si>
    <t>dari MAJ</t>
  </si>
  <si>
    <t xml:space="preserve">dari Termin Sumedang </t>
  </si>
  <si>
    <t>Kt.26.650</t>
  </si>
  <si>
    <t>Ku.098</t>
  </si>
  <si>
    <t>Service Printr Epson L-1110</t>
  </si>
  <si>
    <t>Kt.26.647</t>
  </si>
  <si>
    <t xml:space="preserve">Bambu </t>
  </si>
  <si>
    <t xml:space="preserve">Matrial Listrik &amp; plumbing (Kabel Nym,Klem,Pipa,dll) </t>
  </si>
  <si>
    <t>Pemb Semen &amp; Pasir</t>
  </si>
  <si>
    <t>Upah Tukang SMP (Pa mamat)</t>
  </si>
  <si>
    <t>Kontrakan Pa Karsana</t>
  </si>
  <si>
    <t xml:space="preserve">Loss Listrik </t>
  </si>
  <si>
    <t>Danramil</t>
  </si>
  <si>
    <t xml:space="preserve">Babinsa </t>
  </si>
  <si>
    <t>Air minum</t>
  </si>
  <si>
    <t>Kt.26.655</t>
  </si>
  <si>
    <t xml:space="preserve">Buang Barangkal </t>
  </si>
  <si>
    <t>Kt.26.656</t>
  </si>
  <si>
    <t>Kt.26.658</t>
  </si>
  <si>
    <t>KONTRABON RESTULOGAM 15/8 SMA</t>
  </si>
  <si>
    <t>KONTRABON RESTULOGAM 5/8/26 SMP</t>
  </si>
  <si>
    <t xml:space="preserve">KONTRABON RESTULOGAM 8/8/26 Sumedang </t>
  </si>
  <si>
    <t xml:space="preserve">KONTRABON RESTULOGAM 12/8/26 Sumedang </t>
  </si>
  <si>
    <t>Kt.26.638</t>
  </si>
  <si>
    <t xml:space="preserve">KONTRABON RESTULOGAM 8/8 26 Kawaluyaan </t>
  </si>
  <si>
    <t xml:space="preserve">KONTRABON Sejahtera 12/8 Sumedang </t>
  </si>
  <si>
    <t>PER TANGGAL 20 AGUSTUS 2026</t>
  </si>
  <si>
    <t xml:space="preserve">Matrial Sanitair (Shower,Wastafel) Adit  </t>
  </si>
  <si>
    <t xml:space="preserve">Serivice Jupiter </t>
  </si>
  <si>
    <t xml:space="preserve">Subkon Gypsum (Pa Nandar) </t>
  </si>
  <si>
    <t xml:space="preserve">BBM &amp; E toll Bawa kramik </t>
  </si>
  <si>
    <t xml:space="preserve">Kontrabon Restulogam 20/2 Kawaluyaan </t>
  </si>
  <si>
    <t xml:space="preserve">Kir Mobil G.Max </t>
  </si>
  <si>
    <t>Pek Pemb Pintu (Pa Fadli)</t>
  </si>
  <si>
    <t xml:space="preserve">BBM Jupiter </t>
  </si>
  <si>
    <t>Kt.26.649</t>
  </si>
  <si>
    <t xml:space="preserve">SPJ Tgl 19/8 Ke Sumedang </t>
  </si>
  <si>
    <t>PER TANGGAL 21 AGUSTUS 2026</t>
  </si>
  <si>
    <t>TANGGAL 21 Agustus</t>
  </si>
  <si>
    <t>TANGGAL 22 Agustus</t>
  </si>
  <si>
    <t xml:space="preserve">Kas Logistik Matrial Sanitair (Shower,Wastafel) Adit  </t>
  </si>
  <si>
    <t>Pa Yadi</t>
  </si>
  <si>
    <t>Dari MAJ</t>
  </si>
  <si>
    <t>pembayaran DPT Sumedang</t>
  </si>
  <si>
    <t>Kemkra SMA</t>
  </si>
  <si>
    <t>Snack Alcent</t>
  </si>
  <si>
    <t xml:space="preserve">SPJ Rental Mobil </t>
  </si>
  <si>
    <t>Materai Yudikari</t>
  </si>
  <si>
    <t>Antar dokumen Yudikari</t>
  </si>
  <si>
    <t>Pembayaran sisa Sanitair</t>
  </si>
  <si>
    <t>PER TANGGAL 21,22 &amp; 26 AGUSTUS 2026</t>
  </si>
  <si>
    <t>Kekurangan ini dari Uang Nisa &amp; Pa Uden (Patungan)</t>
  </si>
  <si>
    <t>Ku.102</t>
  </si>
  <si>
    <t xml:space="preserve">BPJS Kes </t>
  </si>
  <si>
    <t>TLP &amp; Internet</t>
  </si>
  <si>
    <t>Service G. Max</t>
  </si>
  <si>
    <t>Ku.103</t>
  </si>
  <si>
    <t>Roda Pintu garasi (Pa Karsana)</t>
  </si>
  <si>
    <t>Keamanan  minggu lalu</t>
  </si>
  <si>
    <t>Babinsa</t>
  </si>
  <si>
    <t>Air PDAM untuk 2 Bln</t>
  </si>
  <si>
    <t>Kt.26.674</t>
  </si>
  <si>
    <t>Kt.26.675</t>
  </si>
  <si>
    <t>Kt.26.665</t>
  </si>
  <si>
    <t>KONTRABON RESTULOGAM 21/8 Sumedang</t>
  </si>
  <si>
    <t>Kt.26.671</t>
  </si>
  <si>
    <t>KONTRABON RESTULOGAM 24/8 Kawaluyaan</t>
  </si>
  <si>
    <t>KONTRABON TEGUH 27/8 Kawaluyaan</t>
  </si>
  <si>
    <t>Ku.099</t>
  </si>
  <si>
    <t>Kawat Beton</t>
  </si>
  <si>
    <t>Kt.26.659</t>
  </si>
  <si>
    <t>Kt.26.672</t>
  </si>
  <si>
    <t>Buang Barangkal</t>
  </si>
  <si>
    <t>BBM SMP</t>
  </si>
  <si>
    <t>Kt.26.673</t>
  </si>
  <si>
    <t>Talangan Pa Heri Kekurangan Pembelian Cat &amp; Kramik 11/8</t>
  </si>
  <si>
    <t>Talangan Pa Heri Kekurangan Pembelian kramik,Cat seen Pasir dll 12/8</t>
  </si>
  <si>
    <t>Talangan Pa Heri Kekurangan Pembelian Cat dan Sanitair dll 12/8</t>
  </si>
  <si>
    <t>Kt.26.652</t>
  </si>
  <si>
    <t>Kt.26.634</t>
  </si>
  <si>
    <t>Kt.26.244</t>
  </si>
  <si>
    <t>Talangan Nisa Kekurangan Pembelian Sanitair Pa Heri dll 24/8</t>
  </si>
  <si>
    <t>Talangan Pa Heri Kekurangan Pembelian Semen, Pasir, Pipa dll</t>
  </si>
  <si>
    <t>Matrial (pengajuan pa mamat &amp; Adit)</t>
  </si>
  <si>
    <t>Kt.26.676</t>
  </si>
  <si>
    <t>Untuk Kekurangan Sanitair adit</t>
  </si>
  <si>
    <t>PER TANGGAL 27 AGUSTUS 2026</t>
  </si>
  <si>
    <t xml:space="preserve">Talangan (Nisa &amp; Pa Uden )Kekurangan Rekapan Pengajuan Minggu Lalu </t>
  </si>
  <si>
    <t>KONTRABON TEGUH 27/8/2026 Kawaluyaan (Besi)</t>
  </si>
  <si>
    <t>Biaya Marketing SIPPLAH (FEE PA Wiji)</t>
  </si>
  <si>
    <t>Pembelian Cat Darul Ulum</t>
  </si>
  <si>
    <t>Kt.26.677</t>
  </si>
  <si>
    <t>TANGGAL 28 Agustus</t>
  </si>
  <si>
    <t>Upah Tukang SMP</t>
  </si>
  <si>
    <t>Buang Barangkal SMP</t>
  </si>
  <si>
    <t>Potongan</t>
  </si>
  <si>
    <t>Kt.26.679</t>
  </si>
  <si>
    <t>TF Pa Heri Langsung MAJ</t>
  </si>
  <si>
    <t>Kt.26.678</t>
  </si>
  <si>
    <t>Matrial ListPlank &amp; Skrup Kawaluyaan</t>
  </si>
  <si>
    <t>Matrial Besi (Pa Heri) Sumedang</t>
  </si>
  <si>
    <t>BBM Etol Sumedang</t>
  </si>
  <si>
    <t>Upah Tukang baja Kawaluyaan</t>
  </si>
  <si>
    <t>PER TANGGAL 28 AGUSTUS 2026</t>
  </si>
  <si>
    <t>PER TANGGAL 29 AGUSTUS 2026</t>
  </si>
  <si>
    <t>TANGGAL 29 Agustus</t>
  </si>
  <si>
    <t>RESTULOGAM</t>
  </si>
  <si>
    <t>Matrial Listrik &amp; plumbing (Kabel Nym,Klem,Pipa,dll)</t>
  </si>
  <si>
    <t>Kontrakan Pa Karsana (Pengajuan minggu lalu)</t>
  </si>
  <si>
    <t>Danramil (Pengajuan minggu lalu)</t>
  </si>
  <si>
    <t>Babinsa (Pengajuan minggu lalu)</t>
  </si>
  <si>
    <t>Air Minum (Pengajuan minggu lalu)</t>
  </si>
  <si>
    <t>Pek Pemb Pintu (Pa Fadli) (Pengajuan minggu lalu)</t>
  </si>
  <si>
    <t>Kasbon Pa Agus (Pengajuan minggu lalu)</t>
  </si>
  <si>
    <t>Upah Pa Heri Sumedang (Pengajuan minggu lalu)</t>
  </si>
  <si>
    <t>Keamanan Sumedang (Pengajuan minggu lalu)</t>
  </si>
  <si>
    <t>Air PDAM untuk 2 Bln (Pengajuan minggu lalu)</t>
  </si>
  <si>
    <t>Kasbon Pa Ade Baja (Pengajuan minggu lalu)</t>
  </si>
  <si>
    <t>Subkon Almunium (Pa Fadli) (Pengajuan minggu lalu)</t>
  </si>
  <si>
    <t>Subkon Kusen Pintu (Pa Kiki) (Pengajuan minggu lalu)</t>
  </si>
  <si>
    <t>Subkon Reling Besi (Pa Karsana) (Pengajuan minggu lalu)</t>
  </si>
  <si>
    <t>Subkon Gypsum (Pa Nandar)  (Pengajuan minggu lalu)</t>
  </si>
  <si>
    <t>KONTRABON RESTULOGAM 8/8/26 Sumedang  (Pengajuan minggu lalu)</t>
  </si>
  <si>
    <t>KONTRABON RESTULOGAM 12/8/26 Sumedang  (Pengajuan minggu lalu)</t>
  </si>
  <si>
    <t>KONTRABON RESTULOGAM 21/8 Sumedang (Pengajuan minggu lalu)</t>
  </si>
  <si>
    <t>Parkir Matrial (Pengajuan minggu lalu)</t>
  </si>
  <si>
    <t>Talangan Pa Heri Kekurangan Pembelian Cat &amp; Kramik 11/8 (Pengajuan minggu lalu)</t>
  </si>
  <si>
    <t>Talangan Pa Heri Kekurangan Pembelian kramik,Cat seen Pasir dll 12/8 (Pengajuan minggu lalu)</t>
  </si>
  <si>
    <t>Talangan Pa Heri Kekurangan Pembelian Cat dan Sanitair dll 12/8 (Pengajuan minggu lalu)</t>
  </si>
  <si>
    <t>Talangan Nisa Kekurangan Pembelian Sanitair Pa Heri dll 24/8 (Pengajuan minggu lalu)</t>
  </si>
  <si>
    <t>Talangan Pa Heri Kekurangan Pembelian Semen, Pasir, Pipa dll (Pengajuan minggu lalu)</t>
  </si>
  <si>
    <t>Talangan (Nisa &amp; Pa Uden )Kekurangan Rekapan Pengajuan Minggu Lalu (Pengajuan minggu lalu)</t>
  </si>
  <si>
    <t>Upah Tukang TK</t>
  </si>
  <si>
    <t>Kt.26.689</t>
  </si>
  <si>
    <t>Kt.26.690</t>
  </si>
  <si>
    <t>Kt.26.687</t>
  </si>
  <si>
    <t>SPJ &amp; Sewa Mobil (Oprasional) Sumedang</t>
  </si>
  <si>
    <t>Kt.26.692</t>
  </si>
  <si>
    <t>Kasbon Pa Agus Minggu ini</t>
  </si>
  <si>
    <t>Kasbon Pa Ade Hendra Baja (Pengajuan minggu ini)</t>
  </si>
  <si>
    <t>Subkon Reling Besi (Pa Karsana) (Pengajuan minggu ini)</t>
  </si>
  <si>
    <t xml:space="preserve">Upah Pa Dedi Sumednag </t>
  </si>
  <si>
    <t>Subkon almunium (Pa Fadli) (Pengajuan minggu ini)</t>
  </si>
  <si>
    <t>Subkon Gypsum (Pa Nandar)  (Pengajuan minggu ini)</t>
  </si>
  <si>
    <t>Kt.26.691</t>
  </si>
  <si>
    <t>Upah Tukang Baja Ringan (Pa Jeje)</t>
  </si>
  <si>
    <t>Matrial List Plank &amp; Skrup Kawaluyaan</t>
  </si>
  <si>
    <t>Kt.26.683</t>
  </si>
  <si>
    <t>Semen 20 Zak Kawaluyaan</t>
  </si>
  <si>
    <t>Pasir 1 Engkel Kawaluyaan</t>
  </si>
  <si>
    <t>Pembelian Matrial Listrik &amp; Pek Gypsum Sumedang</t>
  </si>
  <si>
    <t>Kt.26.685</t>
  </si>
  <si>
    <t>KONTRA BON RESTULOGAM 29/8 Sumedang</t>
  </si>
  <si>
    <t>Parkir Matrial (Pengajuan minggu ini)</t>
  </si>
  <si>
    <t>Kt.26.686</t>
  </si>
  <si>
    <t>Kerangka Bunga Duka Cita</t>
  </si>
  <si>
    <t>PER TANGGAL 4 SEPTEMBER 2026</t>
  </si>
  <si>
    <t>TANGGAL 4 September</t>
  </si>
  <si>
    <t>dari Pa akhmad (Pinjaman)</t>
  </si>
  <si>
    <t xml:space="preserve">Upah Tukang Listrik </t>
  </si>
  <si>
    <t>Uang MK dr BNI</t>
  </si>
  <si>
    <t>Sisa dari Yayasan Bina Yatim</t>
  </si>
  <si>
    <t>Pembelian Matrial Listrik &amp; Pek Gypsum Sumedang&amp; Cat Besi</t>
  </si>
  <si>
    <t>MULIASTONE Semen 20 Zak Kawaluyaan</t>
  </si>
  <si>
    <t>MULIASTONE Pasir 1 Engkel Kawaluyaan</t>
  </si>
  <si>
    <t>BBM &amp; Etol Sumdang</t>
  </si>
  <si>
    <t>DP Pek Kaca SMP &amp; SMA (Pa Fadli)</t>
  </si>
  <si>
    <t>Pek Listrik SMP &amp; SAM (Pa Soni)</t>
  </si>
  <si>
    <t>Upah Tukang Listrik</t>
  </si>
  <si>
    <t>Upah Pa Heri 2 Minggu</t>
  </si>
  <si>
    <t>DP Pek Meuble (Pa Kiki) SMA</t>
  </si>
  <si>
    <t>upah Pa Mamat SMP</t>
  </si>
  <si>
    <t>upah Pa Mamat SMA</t>
  </si>
  <si>
    <t>Kt.26.706</t>
  </si>
  <si>
    <t>Kt.26.707</t>
  </si>
  <si>
    <t>Kt.26.701</t>
  </si>
  <si>
    <t>Angkut Barangkal di Bu Ani</t>
  </si>
  <si>
    <t>Kt.26.709</t>
  </si>
  <si>
    <t>Kt.26.697</t>
  </si>
  <si>
    <t>Kt.26.703</t>
  </si>
  <si>
    <t>Kt.26.694</t>
  </si>
  <si>
    <t>Kt.26.696</t>
  </si>
  <si>
    <t>SPJ tgl 9/9</t>
  </si>
  <si>
    <t>Kt.26.702</t>
  </si>
  <si>
    <t>Kt.26.705</t>
  </si>
  <si>
    <t>BBM &amp; Etol Antar Barang Sumedang</t>
  </si>
  <si>
    <t>KONTABON</t>
  </si>
  <si>
    <t>Matrial List Plang Kawaluyaan</t>
  </si>
  <si>
    <t>Kt.26.708</t>
  </si>
  <si>
    <t>Pembelian Genteng Kawaluyaan</t>
  </si>
  <si>
    <t>Balok Kawaluyaan</t>
  </si>
  <si>
    <t>Kt.26.700</t>
  </si>
  <si>
    <t>KONTRABON RESTULOGAM 7/9 Kawaluyaan</t>
  </si>
  <si>
    <t>KONTRABON RESTULOGAM 7/9 PRT Pa Eddy</t>
  </si>
  <si>
    <t>Kt.26.698</t>
  </si>
  <si>
    <t>KONTABON SEJAHTERA Sumedang 5/9</t>
  </si>
  <si>
    <t>KONTRABON RESTULOGAM 5/9 Sumedang</t>
  </si>
  <si>
    <t>Kt.26.699</t>
  </si>
  <si>
    <t>KONTRABON TEGUH 1/9 Kawaluyaan</t>
  </si>
  <si>
    <t>Kt.26.688</t>
  </si>
  <si>
    <t>Kt.26.704</t>
  </si>
  <si>
    <t>MULIASTONE Bata Merah &amp; Semen 1 Engkel Kawaluyaan</t>
  </si>
  <si>
    <t>PER TANGGAL 11 SEPTEMBER 2026</t>
  </si>
  <si>
    <t>Dari Uang MK</t>
  </si>
  <si>
    <t>TANGGAL 11 September</t>
  </si>
  <si>
    <t>Ke Kang Uden</t>
  </si>
  <si>
    <t>Semen Sumedang</t>
  </si>
  <si>
    <t>SEJAHTERA</t>
  </si>
  <si>
    <t>TEGUH</t>
  </si>
  <si>
    <t>MULIASTONE</t>
  </si>
  <si>
    <t xml:space="preserve">Jumlah </t>
  </si>
  <si>
    <t>SISA</t>
  </si>
  <si>
    <t>Kt.26.719</t>
  </si>
  <si>
    <t>Kt.26.720</t>
  </si>
  <si>
    <t>Upah Pa Heri SMA</t>
  </si>
  <si>
    <t>Upah Tukang Speaker SMA (minggu lalu)</t>
  </si>
  <si>
    <t>Upah Tukang Speaker SMA (minggu ini)</t>
  </si>
  <si>
    <t>Kt.26.711</t>
  </si>
  <si>
    <t>Air Minum 3 minggu Sumedang</t>
  </si>
  <si>
    <t>Kt.26.712</t>
  </si>
  <si>
    <t>SPJ tgl 16/9 Sumedang</t>
  </si>
  <si>
    <t>Kt.26.721</t>
  </si>
  <si>
    <t xml:space="preserve">Upah Tk Listrik Sumedang </t>
  </si>
  <si>
    <t xml:space="preserve">Upah Pa heri Sumedang </t>
  </si>
  <si>
    <t>Kasbon Tk Baja Sumedang (Pa Ade Hendra)</t>
  </si>
  <si>
    <t>Subkon Plafond Sumedang (Pa Nandar)</t>
  </si>
  <si>
    <t>Subkon Reling Sumedang (Pa karsana)</t>
  </si>
  <si>
    <t>Keamanan minggu ini Babinsa)</t>
  </si>
  <si>
    <t>Kontrakan pa Agus</t>
  </si>
  <si>
    <t>BBM bawa genteng</t>
  </si>
  <si>
    <t>Matrial Listrik Kawaluyaan</t>
  </si>
  <si>
    <t>Ongkir</t>
  </si>
  <si>
    <t>Biaya Admin</t>
  </si>
  <si>
    <t>Kt.26.718</t>
  </si>
  <si>
    <t>Kt.26.710</t>
  </si>
  <si>
    <t>Pembelian Kramik Toilet Kawaluyaan</t>
  </si>
  <si>
    <t>Kt.26.722</t>
  </si>
  <si>
    <t>Pembelian Genteng Kawaluyaan (Talangan pa uden)</t>
  </si>
  <si>
    <t>Pembelian Nok Atap genteng &amp; Genteng Kawaluyaan (Talangan Nisa)</t>
  </si>
  <si>
    <t>Barangkal kawaluyaan</t>
  </si>
  <si>
    <t>Kt.26.714</t>
  </si>
  <si>
    <t>KONTABON SEJAHTERA 12/9 Sumedang</t>
  </si>
  <si>
    <t>Parkir Restulogam</t>
  </si>
  <si>
    <t>Kt.26.715</t>
  </si>
  <si>
    <t>KONTRABON RESTULOGAM 11/9 Kawaluyaan</t>
  </si>
  <si>
    <t>KONTRABON RESTULOGAM 17/9 Kawaluyaan</t>
  </si>
  <si>
    <t>KONTRABON RESTULOGAM 17/9 RT Pa Edi</t>
  </si>
  <si>
    <t>KONTRABON RESTULOGAM 17/9 Sumedang</t>
  </si>
  <si>
    <t>Kt.26.723</t>
  </si>
  <si>
    <t>Kt.26.724</t>
  </si>
  <si>
    <t>Gosend antar berkas 8/9 Yudikari (Talangan Nisa)</t>
  </si>
  <si>
    <t>Gosend antar berkas 14/9 Yudikari (talangan Salwa )</t>
  </si>
  <si>
    <t>Gosend antar berkas 15/9 Yudikari (Talangan Nisa)</t>
  </si>
  <si>
    <t>PER TANGGAL 18 SEPTEMBER 2026</t>
  </si>
  <si>
    <t>Tinta Printer Konsultan</t>
  </si>
  <si>
    <t>Roda Grand max</t>
  </si>
  <si>
    <t>Rromol Jupiter</t>
  </si>
  <si>
    <t>Kaca Belakang G Max</t>
  </si>
  <si>
    <t>Ku.107</t>
  </si>
  <si>
    <t>Kasbon Pa soni Kawaluyaan</t>
  </si>
  <si>
    <t>Kt.26.725</t>
  </si>
  <si>
    <t>Pek kaca Jendela SMP (Pa Fadli)</t>
  </si>
  <si>
    <t>Dari uang Bu Jumarti</t>
  </si>
  <si>
    <t>DP Pek lemari Mushola SMA (Pa Kiki)</t>
  </si>
  <si>
    <t>PER TANGGAL 25 SEPTEMBER 2026</t>
  </si>
  <si>
    <t>Ku.</t>
  </si>
  <si>
    <t>Service Motor Beat</t>
  </si>
  <si>
    <t>Kt.26.733</t>
  </si>
  <si>
    <t>Kt.26.734</t>
  </si>
  <si>
    <t>Kt.26.735</t>
  </si>
  <si>
    <t>Kt.26.731</t>
  </si>
  <si>
    <t>Kasbon Gypsum Pa nandar</t>
  </si>
  <si>
    <t xml:space="preserve">Kasbon Pa Agus </t>
  </si>
  <si>
    <t>Kasbon Pa Karsana Besi</t>
  </si>
  <si>
    <t>Kasbon Pa Ade Hendra Baja</t>
  </si>
  <si>
    <t xml:space="preserve">Air  Minum Sumedang </t>
  </si>
  <si>
    <t>Kt.26.736</t>
  </si>
  <si>
    <t>Kasbon Pa Soni Kawaluyaan</t>
  </si>
  <si>
    <t>KAWALUYAAN &amp; MAJALAYA</t>
  </si>
  <si>
    <t>Kekurangan Roda Mobil G. Max</t>
  </si>
  <si>
    <t>Kt.26.737</t>
  </si>
  <si>
    <t>SPJ Majalaya (adit)</t>
  </si>
  <si>
    <t>Kt.26.738</t>
  </si>
  <si>
    <t>KONTABON RESTULOGAM 12/9</t>
  </si>
  <si>
    <t>Kt.26.739</t>
  </si>
  <si>
    <t>KONTABON SEJAHTERA 22/9 Sumedang</t>
  </si>
  <si>
    <t>KONTABON SEJAHTERA 22/9 SMA</t>
  </si>
  <si>
    <t>Kt.26.740</t>
  </si>
  <si>
    <t>Kt.26.741</t>
  </si>
  <si>
    <t>KONTABON SEJAHTERA 22/9 Kawaluyaan</t>
  </si>
  <si>
    <t>KONTRABON RESTULOGAM 22/9 Kawaluyaan</t>
  </si>
  <si>
    <t>KONTRABON RESTULOGAM 21/9 Kawaluyaan</t>
  </si>
  <si>
    <t>Kt.26.742</t>
  </si>
  <si>
    <t>Matrial Listrik Panel SDO &amp; MDP</t>
  </si>
  <si>
    <t>Kekurangan Pembelian Matrial Sumedang 28/8</t>
  </si>
  <si>
    <t>Pembayaran Kontrabon Matrial Sumedang</t>
  </si>
  <si>
    <t>Kt.26.743</t>
  </si>
  <si>
    <t>Kt.26.681</t>
  </si>
  <si>
    <t>Snack Rapa Alcent</t>
  </si>
  <si>
    <t>Upah Harian Tukang Pa Agus dan Tukang listrik</t>
  </si>
  <si>
    <t>Oprasional MK UPI (Pa Ahmad Solihin)</t>
  </si>
  <si>
    <t>Kn</t>
  </si>
  <si>
    <t>Genteng kaca Kawaluyaan</t>
  </si>
  <si>
    <t>Tenga Ahli MK UPI</t>
  </si>
  <si>
    <t>Kasbon Pa Fadli (Almunium)</t>
  </si>
  <si>
    <t xml:space="preserve">Keamanan </t>
  </si>
  <si>
    <t>Kt.26.745</t>
  </si>
  <si>
    <t>Matrial GRC, Paku dll Kawaluyaan</t>
  </si>
  <si>
    <t>Kasbon Tukang Plafond Kawaluyaan</t>
  </si>
  <si>
    <t>dari termin pa rian</t>
  </si>
  <si>
    <t>dari 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</si>
</sst>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13809]dd/mm/yy;@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Inter"/>
    </font>
    <font>
      <b/>
      <u/>
      <sz val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333333"/>
      <name val="Inte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0"/>
      <name val="Wingdings"/>
      <charset val="2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9"/>
      <name val="Inte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4AA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499984740745262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55">
    <xf numFmtId="0" fontId="0" fillId="0" borderId="0" xfId="0"/>
    <xf numFmtId="164" fontId="3" fillId="0" borderId="0" xfId="1" applyNumberFormat="1" applyFont="1"/>
    <xf numFmtId="41" fontId="4" fillId="0" borderId="0" xfId="1" applyFont="1" applyAlignment="1"/>
    <xf numFmtId="41" fontId="4" fillId="0" borderId="0" xfId="1" applyFont="1"/>
    <xf numFmtId="164" fontId="4" fillId="0" borderId="2" xfId="1" applyNumberFormat="1" applyFont="1" applyBorder="1"/>
    <xf numFmtId="41" fontId="4" fillId="0" borderId="2" xfId="1" applyFont="1" applyBorder="1" applyAlignment="1"/>
    <xf numFmtId="41" fontId="4" fillId="0" borderId="2" xfId="1" applyFont="1" applyBorder="1"/>
    <xf numFmtId="41" fontId="5" fillId="0" borderId="2" xfId="1" applyFont="1" applyBorder="1"/>
    <xf numFmtId="41" fontId="6" fillId="0" borderId="2" xfId="1" applyFont="1" applyBorder="1"/>
    <xf numFmtId="41" fontId="7" fillId="0" borderId="2" xfId="1" applyFont="1" applyBorder="1"/>
    <xf numFmtId="41" fontId="3" fillId="0" borderId="2" xfId="1" applyFont="1" applyBorder="1"/>
    <xf numFmtId="41" fontId="3" fillId="0" borderId="2" xfId="1" applyFont="1" applyBorder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41" fontId="4" fillId="0" borderId="2" xfId="1" applyFont="1" applyFill="1" applyBorder="1" applyAlignment="1"/>
    <xf numFmtId="41" fontId="4" fillId="0" borderId="2" xfId="1" applyFont="1" applyBorder="1" applyAlignment="1">
      <alignment horizontal="left" vertical="center"/>
    </xf>
    <xf numFmtId="41" fontId="4" fillId="0" borderId="2" xfId="1" applyFont="1" applyFill="1" applyBorder="1" applyAlignment="1">
      <alignment horizontal="left" vertical="center"/>
    </xf>
    <xf numFmtId="41" fontId="4" fillId="0" borderId="2" xfId="1" applyFont="1" applyBorder="1" applyAlignment="1">
      <alignment horizontal="left"/>
    </xf>
    <xf numFmtId="41" fontId="4" fillId="0" borderId="2" xfId="1" applyFont="1" applyFill="1" applyBorder="1" applyAlignment="1">
      <alignment vertical="center"/>
    </xf>
    <xf numFmtId="164" fontId="3" fillId="0" borderId="2" xfId="1" applyNumberFormat="1" applyFont="1" applyBorder="1" applyAlignment="1">
      <alignment horizontal="left"/>
    </xf>
    <xf numFmtId="41" fontId="4" fillId="0" borderId="2" xfId="1" applyFont="1" applyBorder="1" applyAlignment="1">
      <alignment vertical="center"/>
    </xf>
    <xf numFmtId="164" fontId="4" fillId="0" borderId="2" xfId="1" applyNumberFormat="1" applyFont="1" applyBorder="1" applyAlignment="1">
      <alignment horizontal="left"/>
    </xf>
    <xf numFmtId="41" fontId="3" fillId="0" borderId="2" xfId="1" applyFont="1" applyBorder="1" applyAlignment="1"/>
    <xf numFmtId="41" fontId="4" fillId="0" borderId="2" xfId="1" applyFont="1" applyFill="1" applyBorder="1" applyAlignment="1">
      <alignment horizontal="left"/>
    </xf>
    <xf numFmtId="41" fontId="4" fillId="6" borderId="2" xfId="1" applyFont="1" applyFill="1" applyBorder="1" applyAlignment="1"/>
    <xf numFmtId="41" fontId="4" fillId="6" borderId="2" xfId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horizontal="left"/>
    </xf>
    <xf numFmtId="41" fontId="3" fillId="0" borderId="2" xfId="1" applyFont="1" applyFill="1" applyBorder="1" applyAlignment="1">
      <alignment horizontal="center"/>
    </xf>
    <xf numFmtId="41" fontId="3" fillId="0" borderId="2" xfId="1" applyFont="1" applyFill="1" applyBorder="1"/>
    <xf numFmtId="41" fontId="3" fillId="6" borderId="2" xfId="1" applyFont="1" applyFill="1" applyBorder="1" applyAlignment="1">
      <alignment horizontal="center"/>
    </xf>
    <xf numFmtId="41" fontId="4" fillId="0" borderId="2" xfId="1" applyFont="1" applyFill="1" applyBorder="1" applyAlignment="1">
      <alignment horizontal="center"/>
    </xf>
    <xf numFmtId="41" fontId="4" fillId="6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left"/>
    </xf>
    <xf numFmtId="41" fontId="3" fillId="7" borderId="2" xfId="1" applyFont="1" applyFill="1" applyBorder="1" applyAlignment="1">
      <alignment horizontal="left" vertical="center"/>
    </xf>
    <xf numFmtId="164" fontId="4" fillId="0" borderId="2" xfId="1" applyNumberFormat="1" applyFont="1" applyFill="1" applyBorder="1" applyAlignment="1">
      <alignment horizontal="center" vertical="center"/>
    </xf>
    <xf numFmtId="164" fontId="3" fillId="4" borderId="2" xfId="1" applyNumberFormat="1" applyFont="1" applyFill="1" applyBorder="1" applyAlignment="1">
      <alignment horizontal="left"/>
    </xf>
    <xf numFmtId="41" fontId="3" fillId="4" borderId="2" xfId="1" applyFont="1" applyFill="1" applyBorder="1" applyAlignment="1"/>
    <xf numFmtId="41" fontId="3" fillId="4" borderId="2" xfId="1" applyFont="1" applyFill="1" applyBorder="1" applyAlignment="1">
      <alignment horizontal="center"/>
    </xf>
    <xf numFmtId="164" fontId="5" fillId="0" borderId="0" xfId="0" applyNumberFormat="1" applyFont="1"/>
    <xf numFmtId="0" fontId="5" fillId="0" borderId="0" xfId="0" applyFont="1" applyAlignment="1"/>
    <xf numFmtId="0" fontId="5" fillId="0" borderId="0" xfId="0" applyFont="1"/>
    <xf numFmtId="41" fontId="5" fillId="0" borderId="0" xfId="0" applyNumberFormat="1" applyFont="1"/>
    <xf numFmtId="164" fontId="3" fillId="0" borderId="9" xfId="1" applyNumberFormat="1" applyFont="1" applyBorder="1" applyAlignment="1">
      <alignment horizontal="center"/>
    </xf>
    <xf numFmtId="41" fontId="3" fillId="0" borderId="9" xfId="1" applyFont="1" applyBorder="1" applyAlignment="1"/>
    <xf numFmtId="41" fontId="3" fillId="0" borderId="9" xfId="1" applyFont="1" applyBorder="1" applyAlignment="1">
      <alignment horizontal="center"/>
    </xf>
    <xf numFmtId="41" fontId="4" fillId="0" borderId="9" xfId="1" applyFont="1" applyBorder="1" applyAlignment="1"/>
    <xf numFmtId="41" fontId="4" fillId="0" borderId="6" xfId="1" applyFont="1" applyBorder="1"/>
    <xf numFmtId="41" fontId="4" fillId="0" borderId="9" xfId="1" applyFont="1" applyBorder="1"/>
    <xf numFmtId="41" fontId="5" fillId="0" borderId="0" xfId="1" applyFont="1"/>
    <xf numFmtId="41" fontId="3" fillId="0" borderId="9" xfId="1" applyFont="1" applyBorder="1"/>
    <xf numFmtId="164" fontId="3" fillId="9" borderId="9" xfId="1" applyNumberFormat="1" applyFont="1" applyFill="1" applyBorder="1" applyAlignment="1">
      <alignment horizontal="center"/>
    </xf>
    <xf numFmtId="41" fontId="4" fillId="9" borderId="9" xfId="1" applyFont="1" applyFill="1" applyBorder="1" applyAlignment="1"/>
    <xf numFmtId="41" fontId="3" fillId="9" borderId="9" xfId="1" applyFont="1" applyFill="1" applyBorder="1"/>
    <xf numFmtId="41" fontId="4" fillId="9" borderId="9" xfId="1" applyFont="1" applyFill="1" applyBorder="1"/>
    <xf numFmtId="164" fontId="3" fillId="8" borderId="0" xfId="1" applyNumberFormat="1" applyFont="1" applyFill="1"/>
    <xf numFmtId="41" fontId="3" fillId="8" borderId="0" xfId="1" applyFont="1" applyFill="1" applyAlignment="1"/>
    <xf numFmtId="41" fontId="8" fillId="8" borderId="0" xfId="1" applyFont="1" applyFill="1"/>
    <xf numFmtId="41" fontId="3" fillId="8" borderId="0" xfId="1" applyFont="1" applyFill="1"/>
    <xf numFmtId="0" fontId="2" fillId="10" borderId="10" xfId="0" applyFont="1" applyFill="1" applyBorder="1" applyAlignment="1">
      <alignment horizontal="center"/>
    </xf>
    <xf numFmtId="41" fontId="2" fillId="10" borderId="10" xfId="1" applyFont="1" applyFill="1" applyBorder="1" applyAlignment="1">
      <alignment horizontal="center"/>
    </xf>
    <xf numFmtId="41" fontId="0" fillId="10" borderId="10" xfId="1" applyFont="1" applyFill="1" applyBorder="1" applyAlignment="1">
      <alignment horizontal="center"/>
    </xf>
    <xf numFmtId="41" fontId="9" fillId="0" borderId="2" xfId="1" applyFont="1" applyFill="1" applyBorder="1" applyAlignment="1">
      <alignment horizontal="left"/>
    </xf>
    <xf numFmtId="41" fontId="10" fillId="0" borderId="9" xfId="1" applyFont="1" applyFill="1" applyBorder="1" applyAlignment="1">
      <alignment horizontal="left"/>
    </xf>
    <xf numFmtId="0" fontId="10" fillId="0" borderId="9" xfId="0" applyFont="1" applyFill="1" applyBorder="1"/>
    <xf numFmtId="41" fontId="10" fillId="0" borderId="2" xfId="1" applyFont="1" applyFill="1" applyBorder="1" applyAlignment="1"/>
    <xf numFmtId="41" fontId="10" fillId="0" borderId="9" xfId="1" applyFont="1" applyFill="1" applyBorder="1" applyAlignment="1">
      <alignment horizontal="left" vertical="center"/>
    </xf>
    <xf numFmtId="41" fontId="10" fillId="0" borderId="9" xfId="1" applyFont="1" applyFill="1" applyBorder="1" applyAlignment="1">
      <alignment horizontal="center"/>
    </xf>
    <xf numFmtId="41" fontId="10" fillId="0" borderId="9" xfId="1" applyFont="1" applyFill="1" applyBorder="1" applyAlignment="1"/>
    <xf numFmtId="41" fontId="10" fillId="0" borderId="9" xfId="1" applyFont="1" applyFill="1" applyBorder="1"/>
    <xf numFmtId="0" fontId="0" fillId="0" borderId="9" xfId="0" applyFont="1" applyBorder="1"/>
    <xf numFmtId="41" fontId="0" fillId="0" borderId="9" xfId="1" applyFont="1" applyBorder="1"/>
    <xf numFmtId="0" fontId="2" fillId="2" borderId="9" xfId="0" applyFont="1" applyFill="1" applyBorder="1"/>
    <xf numFmtId="41" fontId="2" fillId="2" borderId="9" xfId="1" applyFont="1" applyFill="1" applyBorder="1"/>
    <xf numFmtId="41" fontId="0" fillId="0" borderId="0" xfId="0" applyNumberFormat="1"/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7" borderId="2" xfId="1" applyFont="1" applyFill="1" applyBorder="1" applyAlignment="1">
      <alignment horizontal="left" vertical="center"/>
    </xf>
    <xf numFmtId="41" fontId="0" fillId="0" borderId="0" xfId="1" applyFont="1"/>
    <xf numFmtId="41" fontId="0" fillId="10" borderId="0" xfId="0" applyNumberFormat="1" applyFill="1"/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0" fontId="11" fillId="0" borderId="0" xfId="0" applyFont="1"/>
    <xf numFmtId="41" fontId="11" fillId="0" borderId="0" xfId="0" applyNumberFormat="1" applyFont="1"/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14" fontId="4" fillId="0" borderId="9" xfId="1" applyNumberFormat="1" applyFont="1" applyBorder="1" applyAlignment="1"/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12" fillId="0" borderId="2" xfId="1" applyFont="1" applyBorder="1"/>
    <xf numFmtId="41" fontId="13" fillId="8" borderId="0" xfId="1" applyFont="1" applyFill="1"/>
    <xf numFmtId="41" fontId="4" fillId="0" borderId="11" xfId="1" applyFont="1" applyBorder="1" applyAlignment="1">
      <alignment horizontal="left" vertical="center"/>
    </xf>
    <xf numFmtId="41" fontId="4" fillId="0" borderId="11" xfId="1" applyFont="1" applyFill="1" applyBorder="1" applyAlignment="1">
      <alignment horizontal="left" vertical="center"/>
    </xf>
    <xf numFmtId="41" fontId="4" fillId="0" borderId="9" xfId="1" applyFont="1" applyBorder="1" applyAlignment="1">
      <alignment horizontal="left" vertical="center"/>
    </xf>
    <xf numFmtId="41" fontId="4" fillId="0" borderId="9" xfId="1" applyFont="1" applyFill="1" applyBorder="1" applyAlignment="1">
      <alignment horizontal="left" vertic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41" fontId="14" fillId="8" borderId="0" xfId="1" applyFont="1" applyFill="1"/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2" fillId="0" borderId="0" xfId="0" applyNumberFormat="1" applyFont="1"/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0" borderId="4" xfId="1" applyFont="1" applyBorder="1" applyAlignment="1">
      <alignment vertical="center"/>
    </xf>
    <xf numFmtId="41" fontId="3" fillId="0" borderId="5" xfId="1" applyFont="1" applyBorder="1" applyAlignment="1">
      <alignment vertical="center"/>
    </xf>
    <xf numFmtId="41" fontId="3" fillId="0" borderId="3" xfId="1" applyFont="1" applyBorder="1" applyAlignment="1">
      <alignment horizontal="center" vertical="center"/>
    </xf>
    <xf numFmtId="41" fontId="11" fillId="10" borderId="2" xfId="1" applyFont="1" applyFill="1" applyBorder="1" applyAlignment="1">
      <alignment horizontal="left"/>
    </xf>
    <xf numFmtId="41" fontId="11" fillId="6" borderId="2" xfId="1" applyFont="1" applyFill="1" applyBorder="1" applyAlignment="1"/>
    <xf numFmtId="41" fontId="11" fillId="0" borderId="2" xfId="1" applyFont="1" applyFill="1" applyBorder="1" applyAlignment="1">
      <alignment horizontal="left" vertical="center"/>
    </xf>
    <xf numFmtId="41" fontId="11" fillId="0" borderId="2" xfId="1" applyFont="1" applyFill="1" applyBorder="1" applyAlignment="1">
      <alignment horizontal="left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4" fillId="0" borderId="2" xfId="1" applyFont="1" applyBorder="1" applyAlignment="1">
      <alignment horizontal="center" vertical="center"/>
    </xf>
    <xf numFmtId="41" fontId="4" fillId="0" borderId="2" xfId="1" applyFont="1" applyBorder="1" applyAlignment="1">
      <alignment horizontal="center"/>
    </xf>
    <xf numFmtId="0" fontId="0" fillId="0" borderId="0" xfId="0" applyFont="1"/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0" fontId="10" fillId="0" borderId="0" xfId="0" applyFont="1"/>
    <xf numFmtId="41" fontId="4" fillId="11" borderId="2" xfId="1" applyFont="1" applyFill="1" applyBorder="1" applyAlignment="1">
      <alignment horizontal="left"/>
    </xf>
    <xf numFmtId="41" fontId="4" fillId="11" borderId="9" xfId="1" applyFont="1" applyFill="1" applyBorder="1" applyAlignment="1">
      <alignment horizontal="left" vertic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4" fillId="6" borderId="2" xfId="1" applyFont="1" applyFill="1" applyBorder="1" applyAlignment="1">
      <alignment horizontal="left" vertical="center"/>
    </xf>
    <xf numFmtId="0" fontId="10" fillId="6" borderId="0" xfId="0" applyFont="1" applyFill="1"/>
    <xf numFmtId="41" fontId="10" fillId="6" borderId="9" xfId="1" applyFont="1" applyFill="1" applyBorder="1" applyAlignment="1">
      <alignment horizontal="left"/>
    </xf>
    <xf numFmtId="41" fontId="10" fillId="6" borderId="9" xfId="1" applyFont="1" applyFill="1" applyBorder="1" applyAlignment="1">
      <alignment horizontal="left" vertical="center"/>
    </xf>
    <xf numFmtId="0" fontId="0" fillId="6" borderId="0" xfId="0" applyFill="1"/>
    <xf numFmtId="41" fontId="4" fillId="6" borderId="2" xfId="1" applyFont="1" applyFill="1" applyBorder="1" applyAlignment="1">
      <alignment horizontal="center"/>
    </xf>
    <xf numFmtId="41" fontId="10" fillId="6" borderId="9" xfId="1" applyFont="1" applyFill="1" applyBorder="1" applyAlignment="1">
      <alignment horizontal="center"/>
    </xf>
    <xf numFmtId="41" fontId="10" fillId="6" borderId="9" xfId="1" applyFont="1" applyFill="1" applyBorder="1" applyAlignment="1"/>
    <xf numFmtId="0" fontId="10" fillId="6" borderId="9" xfId="0" applyFont="1" applyFill="1" applyBorder="1"/>
    <xf numFmtId="41" fontId="10" fillId="6" borderId="9" xfId="1" applyFont="1" applyFill="1" applyBorder="1"/>
    <xf numFmtId="0" fontId="0" fillId="6" borderId="9" xfId="0" applyFont="1" applyFill="1" applyBorder="1"/>
    <xf numFmtId="41" fontId="0" fillId="6" borderId="9" xfId="1" applyFont="1" applyFill="1" applyBorder="1"/>
    <xf numFmtId="41" fontId="4" fillId="6" borderId="11" xfId="1" applyFont="1" applyFill="1" applyBorder="1" applyAlignment="1">
      <alignment horizontal="left" vertical="center"/>
    </xf>
    <xf numFmtId="41" fontId="4" fillId="6" borderId="9" xfId="1" applyFont="1" applyFill="1" applyBorder="1" applyAlignment="1">
      <alignment horizontal="left" vertic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0" fontId="2" fillId="0" borderId="0" xfId="0" applyFont="1"/>
    <xf numFmtId="41" fontId="15" fillId="6" borderId="2" xfId="1" applyFont="1" applyFill="1" applyBorder="1" applyAlignment="1">
      <alignment horizontal="center"/>
    </xf>
    <xf numFmtId="41" fontId="4" fillId="0" borderId="0" xfId="1" applyFont="1" applyBorder="1"/>
    <xf numFmtId="41" fontId="10" fillId="6" borderId="0" xfId="1" applyFont="1" applyFill="1"/>
    <xf numFmtId="41" fontId="0" fillId="6" borderId="0" xfId="1" applyFont="1" applyFill="1"/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4" fillId="0" borderId="0" xfId="1" applyFont="1" applyBorder="1" applyAlignment="1">
      <alignment horizontal="left" vertical="center"/>
    </xf>
    <xf numFmtId="41" fontId="4" fillId="0" borderId="0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5" fillId="0" borderId="9" xfId="1" applyFont="1" applyBorder="1"/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164" fontId="17" fillId="0" borderId="0" xfId="1" applyNumberFormat="1" applyFont="1"/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11" fillId="0" borderId="2" xfId="1" applyFont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18" fillId="6" borderId="9" xfId="1" applyFont="1" applyFill="1" applyBorder="1"/>
    <xf numFmtId="41" fontId="18" fillId="0" borderId="9" xfId="1" applyFont="1" applyBorder="1"/>
    <xf numFmtId="41" fontId="19" fillId="2" borderId="9" xfId="1" applyFont="1" applyFill="1" applyBorder="1"/>
    <xf numFmtId="0" fontId="2" fillId="10" borderId="0" xfId="0" applyFont="1" applyFill="1"/>
    <xf numFmtId="41" fontId="2" fillId="10" borderId="0" xfId="1" applyFont="1" applyFill="1"/>
    <xf numFmtId="41" fontId="20" fillId="10" borderId="0" xfId="1" applyFont="1" applyFill="1"/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4" fillId="0" borderId="9" xfId="0" applyNumberFormat="1" applyFont="1" applyBorder="1"/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4" fillId="0" borderId="9" xfId="1" applyFont="1" applyFill="1" applyBorder="1" applyAlignment="1">
      <alignment horizontal="left"/>
    </xf>
    <xf numFmtId="41" fontId="4" fillId="0" borderId="0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0" fontId="0" fillId="0" borderId="0" xfId="0" applyFill="1"/>
    <xf numFmtId="41" fontId="0" fillId="0" borderId="0" xfId="1" applyFont="1" applyFill="1"/>
    <xf numFmtId="41" fontId="4" fillId="6" borderId="0" xfId="1" applyFont="1" applyFill="1" applyBorder="1" applyAlignment="1"/>
    <xf numFmtId="41" fontId="4" fillId="6" borderId="9" xfId="1" applyFont="1" applyFill="1" applyBorder="1" applyAlignment="1"/>
    <xf numFmtId="41" fontId="4" fillId="6" borderId="9" xfId="1" applyFont="1" applyFill="1" applyBorder="1" applyAlignment="1">
      <alignment vertical="center"/>
    </xf>
    <xf numFmtId="41" fontId="4" fillId="6" borderId="0" xfId="1" applyFont="1" applyFill="1" applyBorder="1" applyAlignment="1">
      <alignment vertical="center"/>
    </xf>
    <xf numFmtId="41" fontId="3" fillId="4" borderId="2" xfId="1" applyFont="1" applyFill="1" applyBorder="1" applyAlignment="1">
      <alignment horizontal="left"/>
    </xf>
    <xf numFmtId="41" fontId="3" fillId="0" borderId="3" xfId="1" applyFont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0" borderId="2" xfId="1" applyFont="1" applyBorder="1" applyAlignment="1">
      <alignment horizontal="center"/>
    </xf>
    <xf numFmtId="41" fontId="18" fillId="0" borderId="0" xfId="1" applyFont="1" applyFill="1"/>
    <xf numFmtId="41" fontId="3" fillId="7" borderId="2" xfId="1" applyFont="1" applyFill="1" applyBorder="1" applyAlignment="1">
      <alignment horizontal="left" vertical="center"/>
    </xf>
    <xf numFmtId="41" fontId="3" fillId="4" borderId="2" xfId="1" applyFont="1" applyFill="1" applyBorder="1" applyAlignment="1">
      <alignment horizontal="left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10" fillId="0" borderId="0" xfId="1" applyFont="1" applyFill="1"/>
    <xf numFmtId="41" fontId="10" fillId="0" borderId="0" xfId="0" applyNumberFormat="1" applyFont="1"/>
    <xf numFmtId="41" fontId="4" fillId="0" borderId="9" xfId="1" applyFont="1" applyBorder="1" applyAlignment="1">
      <alignment horizontal="left"/>
    </xf>
    <xf numFmtId="41" fontId="4" fillId="0" borderId="9" xfId="1" applyFont="1" applyFill="1" applyBorder="1" applyAlignment="1"/>
    <xf numFmtId="41" fontId="3" fillId="0" borderId="9" xfId="1" applyFont="1" applyFill="1" applyBorder="1" applyAlignment="1">
      <alignment horizontal="center"/>
    </xf>
    <xf numFmtId="41" fontId="3" fillId="0" borderId="9" xfId="1" applyFont="1" applyFill="1" applyBorder="1"/>
    <xf numFmtId="164" fontId="4" fillId="0" borderId="9" xfId="1" applyNumberFormat="1" applyFont="1" applyBorder="1"/>
    <xf numFmtId="41" fontId="6" fillId="0" borderId="9" xfId="1" applyFont="1" applyBorder="1"/>
    <xf numFmtId="41" fontId="12" fillId="0" borderId="9" xfId="1" applyFont="1" applyBorder="1"/>
    <xf numFmtId="164" fontId="4" fillId="0" borderId="9" xfId="1" applyNumberFormat="1" applyFont="1" applyBorder="1" applyAlignment="1">
      <alignment horizontal="center" vertical="center"/>
    </xf>
    <xf numFmtId="41" fontId="4" fillId="0" borderId="9" xfId="1" applyFont="1" applyBorder="1" applyAlignment="1">
      <alignment vertical="center"/>
    </xf>
    <xf numFmtId="164" fontId="3" fillId="0" borderId="9" xfId="1" applyNumberFormat="1" applyFont="1" applyBorder="1" applyAlignment="1">
      <alignment horizontal="left"/>
    </xf>
    <xf numFmtId="164" fontId="4" fillId="0" borderId="9" xfId="1" applyNumberFormat="1" applyFont="1" applyBorder="1" applyAlignment="1">
      <alignment horizontal="left"/>
    </xf>
    <xf numFmtId="41" fontId="3" fillId="0" borderId="9" xfId="1" applyFont="1" applyBorder="1" applyAlignment="1">
      <alignment horizontal="center" vertical="center"/>
    </xf>
    <xf numFmtId="41" fontId="3" fillId="0" borderId="9" xfId="1" applyFont="1" applyBorder="1" applyAlignment="1">
      <alignment vertical="center"/>
    </xf>
    <xf numFmtId="164" fontId="3" fillId="0" borderId="9" xfId="1" applyNumberFormat="1" applyFont="1" applyFill="1" applyBorder="1" applyAlignment="1">
      <alignment horizontal="left"/>
    </xf>
    <xf numFmtId="164" fontId="4" fillId="0" borderId="9" xfId="1" applyNumberFormat="1" applyFont="1" applyFill="1" applyBorder="1" applyAlignment="1">
      <alignment horizontal="center" vertical="center"/>
    </xf>
    <xf numFmtId="41" fontId="4" fillId="0" borderId="9" xfId="1" applyFont="1" applyFill="1" applyBorder="1" applyAlignment="1">
      <alignment horizontal="center"/>
    </xf>
    <xf numFmtId="41" fontId="3" fillId="4" borderId="9" xfId="1" applyFont="1" applyFill="1" applyBorder="1" applyAlignment="1">
      <alignment horizontal="left"/>
    </xf>
    <xf numFmtId="41" fontId="3" fillId="7" borderId="9" xfId="1" applyFont="1" applyFill="1" applyBorder="1" applyAlignment="1">
      <alignment horizontal="left" vertical="center"/>
    </xf>
    <xf numFmtId="41" fontId="2" fillId="0" borderId="0" xfId="1" applyFont="1"/>
    <xf numFmtId="41" fontId="11" fillId="6" borderId="9" xfId="1" applyFont="1" applyFill="1" applyBorder="1" applyAlignment="1"/>
    <xf numFmtId="41" fontId="11" fillId="0" borderId="9" xfId="1" applyFont="1" applyFill="1" applyBorder="1" applyAlignment="1">
      <alignment horizontal="left"/>
    </xf>
    <xf numFmtId="41" fontId="11" fillId="6" borderId="9" xfId="1" applyFont="1" applyFill="1" applyBorder="1" applyAlignment="1">
      <alignment vertical="center"/>
    </xf>
    <xf numFmtId="41" fontId="11" fillId="0" borderId="9" xfId="1" applyFont="1" applyFill="1" applyBorder="1" applyAlignment="1">
      <alignment horizontal="left" vertical="center"/>
    </xf>
    <xf numFmtId="41" fontId="11" fillId="0" borderId="9" xfId="1" applyFont="1" applyBorder="1" applyAlignment="1">
      <alignment horizontal="left" vertical="center"/>
    </xf>
    <xf numFmtId="41" fontId="18" fillId="0" borderId="9" xfId="1" applyFont="1" applyFill="1" applyBorder="1"/>
    <xf numFmtId="41" fontId="3" fillId="7" borderId="9" xfId="1" applyFont="1" applyFill="1" applyBorder="1" applyAlignment="1">
      <alignment horizontal="left" vertical="center"/>
    </xf>
    <xf numFmtId="41" fontId="3" fillId="0" borderId="9" xfId="1" applyFont="1" applyBorder="1" applyAlignment="1">
      <alignment horizontal="center"/>
    </xf>
    <xf numFmtId="41" fontId="3" fillId="4" borderId="9" xfId="1" applyFont="1" applyFill="1" applyBorder="1" applyAlignment="1">
      <alignment horizontal="left"/>
    </xf>
    <xf numFmtId="41" fontId="3" fillId="0" borderId="9" xfId="1" applyFont="1" applyBorder="1" applyAlignment="1">
      <alignment vertical="center"/>
    </xf>
    <xf numFmtId="41" fontId="3" fillId="0" borderId="9" xfId="1" applyFont="1" applyBorder="1" applyAlignment="1">
      <alignment horizontal="center" vertical="center"/>
    </xf>
    <xf numFmtId="164" fontId="11" fillId="0" borderId="9" xfId="1" applyNumberFormat="1" applyFont="1" applyBorder="1" applyAlignment="1">
      <alignment horizontal="center" vertical="center"/>
    </xf>
    <xf numFmtId="41" fontId="11" fillId="0" borderId="9" xfId="1" applyFont="1" applyBorder="1" applyAlignment="1">
      <alignment horizontal="left"/>
    </xf>
    <xf numFmtId="0" fontId="18" fillId="0" borderId="0" xfId="0" applyFont="1"/>
    <xf numFmtId="41" fontId="3" fillId="0" borderId="9" xfId="1" applyFont="1" applyBorder="1" applyAlignment="1">
      <alignment horizontal="center"/>
    </xf>
    <xf numFmtId="41" fontId="3" fillId="4" borderId="9" xfId="1" applyFont="1" applyFill="1" applyBorder="1" applyAlignment="1">
      <alignment horizontal="left"/>
    </xf>
    <xf numFmtId="41" fontId="3" fillId="7" borderId="9" xfId="1" applyFont="1" applyFill="1" applyBorder="1" applyAlignment="1">
      <alignment horizontal="left" vertical="center"/>
    </xf>
    <xf numFmtId="41" fontId="3" fillId="0" borderId="9" xfId="1" applyFont="1" applyBorder="1" applyAlignment="1">
      <alignment vertical="center"/>
    </xf>
    <xf numFmtId="41" fontId="3" fillId="0" borderId="9" xfId="1" applyFont="1" applyBorder="1" applyAlignment="1">
      <alignment horizontal="center" vertical="center"/>
    </xf>
    <xf numFmtId="41" fontId="10" fillId="0" borderId="9" xfId="1" applyFont="1" applyBorder="1"/>
    <xf numFmtId="41" fontId="21" fillId="0" borderId="9" xfId="1" applyFont="1" applyBorder="1"/>
    <xf numFmtId="41" fontId="3" fillId="7" borderId="9" xfId="1" applyFont="1" applyFill="1" applyBorder="1" applyAlignment="1">
      <alignment horizontal="left" vertical="center"/>
    </xf>
    <xf numFmtId="41" fontId="3" fillId="0" borderId="9" xfId="1" applyFont="1" applyBorder="1" applyAlignment="1">
      <alignment horizontal="center"/>
    </xf>
    <xf numFmtId="41" fontId="3" fillId="4" borderId="9" xfId="1" applyFont="1" applyFill="1" applyBorder="1" applyAlignment="1">
      <alignment horizontal="left"/>
    </xf>
    <xf numFmtId="41" fontId="3" fillId="0" borderId="9" xfId="1" applyFont="1" applyBorder="1" applyAlignment="1">
      <alignment vertical="center"/>
    </xf>
    <xf numFmtId="41" fontId="3" fillId="0" borderId="9" xfId="1" applyFont="1" applyBorder="1" applyAlignment="1">
      <alignment horizontal="center" vertical="center"/>
    </xf>
    <xf numFmtId="41" fontId="3" fillId="0" borderId="9" xfId="1" applyFont="1" applyBorder="1" applyAlignment="1">
      <alignment horizontal="center"/>
    </xf>
    <xf numFmtId="41" fontId="3" fillId="4" borderId="9" xfId="1" applyFont="1" applyFill="1" applyBorder="1" applyAlignment="1">
      <alignment horizontal="left"/>
    </xf>
    <xf numFmtId="41" fontId="3" fillId="7" borderId="9" xfId="1" applyFont="1" applyFill="1" applyBorder="1" applyAlignment="1">
      <alignment horizontal="left" vertical="center"/>
    </xf>
    <xf numFmtId="41" fontId="3" fillId="0" borderId="9" xfId="1" applyFont="1" applyBorder="1" applyAlignment="1">
      <alignment vertical="center"/>
    </xf>
    <xf numFmtId="41" fontId="3" fillId="0" borderId="9" xfId="1" applyFont="1" applyBorder="1" applyAlignment="1">
      <alignment horizontal="center" vertical="center"/>
    </xf>
    <xf numFmtId="41" fontId="3" fillId="8" borderId="6" xfId="1" applyFont="1" applyFill="1" applyBorder="1" applyAlignment="1">
      <alignment horizontal="center"/>
    </xf>
    <xf numFmtId="41" fontId="3" fillId="8" borderId="7" xfId="1" applyFont="1" applyFill="1" applyBorder="1" applyAlignment="1">
      <alignment horizontal="center"/>
    </xf>
    <xf numFmtId="41" fontId="3" fillId="8" borderId="8" xfId="1" applyFont="1" applyFill="1" applyBorder="1" applyAlignment="1">
      <alignment horizontal="center"/>
    </xf>
    <xf numFmtId="41" fontId="3" fillId="7" borderId="2" xfId="1" applyFont="1" applyFill="1" applyBorder="1" applyAlignment="1">
      <alignment horizontal="left" vertical="center"/>
    </xf>
    <xf numFmtId="41" fontId="3" fillId="7" borderId="2" xfId="1" applyFont="1" applyFill="1" applyBorder="1" applyAlignment="1">
      <alignment horizontal="center" vertical="center"/>
    </xf>
    <xf numFmtId="41" fontId="3" fillId="5" borderId="2" xfId="1" applyFont="1" applyFill="1" applyBorder="1" applyAlignment="1">
      <alignment horizontal="center"/>
    </xf>
    <xf numFmtId="41" fontId="3" fillId="4" borderId="2" xfId="1" applyFont="1" applyFill="1" applyBorder="1" applyAlignment="1">
      <alignment horizontal="left"/>
    </xf>
    <xf numFmtId="41" fontId="3" fillId="4" borderId="2" xfId="1" applyFont="1" applyFill="1" applyBorder="1" applyAlignment="1">
      <alignment horizontal="center"/>
    </xf>
    <xf numFmtId="41" fontId="3" fillId="5" borderId="3" xfId="1" applyFont="1" applyFill="1" applyBorder="1" applyAlignment="1">
      <alignment horizontal="center"/>
    </xf>
    <xf numFmtId="41" fontId="3" fillId="5" borderId="4" xfId="1" applyFont="1" applyFill="1" applyBorder="1" applyAlignment="1">
      <alignment horizontal="center"/>
    </xf>
    <xf numFmtId="41" fontId="3" fillId="5" borderId="5" xfId="1" applyFont="1" applyFill="1" applyBorder="1" applyAlignment="1">
      <alignment horizontal="center"/>
    </xf>
    <xf numFmtId="41" fontId="3" fillId="0" borderId="2" xfId="1" applyFont="1" applyBorder="1" applyAlignment="1">
      <alignment horizontal="center"/>
    </xf>
    <xf numFmtId="41" fontId="3" fillId="0" borderId="3" xfId="1" applyFont="1" applyBorder="1" applyAlignment="1">
      <alignment horizontal="center"/>
    </xf>
    <xf numFmtId="41" fontId="3" fillId="0" borderId="4" xfId="1" applyFont="1" applyBorder="1" applyAlignment="1">
      <alignment horizontal="center"/>
    </xf>
    <xf numFmtId="41" fontId="3" fillId="0" borderId="5" xfId="1" applyFont="1" applyBorder="1" applyAlignment="1">
      <alignment horizontal="center"/>
    </xf>
    <xf numFmtId="41" fontId="3" fillId="2" borderId="1" xfId="1" applyFont="1" applyFill="1" applyBorder="1" applyAlignment="1">
      <alignment horizontal="center"/>
    </xf>
    <xf numFmtId="41" fontId="3" fillId="3" borderId="2" xfId="1" applyFont="1" applyFill="1" applyBorder="1" applyAlignment="1">
      <alignment horizontal="center"/>
    </xf>
    <xf numFmtId="164" fontId="3" fillId="0" borderId="2" xfId="1" applyNumberFormat="1" applyFont="1" applyBorder="1" applyAlignment="1">
      <alignment horizontal="center" vertical="center"/>
    </xf>
    <xf numFmtId="41" fontId="3" fillId="0" borderId="2" xfId="1" applyFont="1" applyBorder="1" applyAlignment="1">
      <alignment vertical="center"/>
    </xf>
    <xf numFmtId="41" fontId="3" fillId="0" borderId="2" xfId="1" applyFont="1" applyBorder="1" applyAlignment="1">
      <alignment horizontal="center" vertical="center"/>
    </xf>
    <xf numFmtId="0" fontId="2" fillId="10" borderId="9" xfId="0" applyFont="1" applyFill="1" applyBorder="1" applyAlignment="1">
      <alignment horizontal="center"/>
    </xf>
    <xf numFmtId="41" fontId="2" fillId="10" borderId="12" xfId="1" applyFont="1" applyFill="1" applyBorder="1" applyAlignment="1">
      <alignment horizontal="center"/>
    </xf>
    <xf numFmtId="41" fontId="2" fillId="10" borderId="13" xfId="1" applyFont="1" applyFill="1" applyBorder="1" applyAlignment="1">
      <alignment horizontal="center"/>
    </xf>
    <xf numFmtId="41" fontId="2" fillId="10" borderId="14" xfId="1" applyFont="1" applyFill="1" applyBorder="1" applyAlignment="1">
      <alignment horizontal="center"/>
    </xf>
    <xf numFmtId="41" fontId="2" fillId="10" borderId="15" xfId="1" applyFont="1" applyFill="1" applyBorder="1" applyAlignment="1">
      <alignment horizontal="center"/>
    </xf>
    <xf numFmtId="41" fontId="3" fillId="7" borderId="9" xfId="1" applyFont="1" applyFill="1" applyBorder="1" applyAlignment="1">
      <alignment horizontal="left" vertical="center"/>
    </xf>
    <xf numFmtId="41" fontId="3" fillId="7" borderId="9" xfId="1" applyFont="1" applyFill="1" applyBorder="1" applyAlignment="1">
      <alignment horizontal="center" vertical="center"/>
    </xf>
    <xf numFmtId="41" fontId="3" fillId="5" borderId="9" xfId="1" applyFont="1" applyFill="1" applyBorder="1" applyAlignment="1">
      <alignment horizontal="center"/>
    </xf>
    <xf numFmtId="41" fontId="3" fillId="0" borderId="9" xfId="1" applyFont="1" applyBorder="1" applyAlignment="1">
      <alignment horizontal="center"/>
    </xf>
    <xf numFmtId="41" fontId="3" fillId="4" borderId="9" xfId="1" applyFont="1" applyFill="1" applyBorder="1" applyAlignment="1">
      <alignment horizontal="left"/>
    </xf>
    <xf numFmtId="41" fontId="3" fillId="4" borderId="9" xfId="1" applyFont="1" applyFill="1" applyBorder="1" applyAlignment="1">
      <alignment horizontal="center"/>
    </xf>
    <xf numFmtId="41" fontId="3" fillId="2" borderId="9" xfId="1" applyFont="1" applyFill="1" applyBorder="1" applyAlignment="1">
      <alignment horizontal="center"/>
    </xf>
    <xf numFmtId="41" fontId="3" fillId="3" borderId="9" xfId="1" applyFont="1" applyFill="1" applyBorder="1" applyAlignment="1">
      <alignment horizontal="center"/>
    </xf>
    <xf numFmtId="164" fontId="3" fillId="0" borderId="9" xfId="1" applyNumberFormat="1" applyFont="1" applyBorder="1" applyAlignment="1">
      <alignment horizontal="center" vertical="center"/>
    </xf>
    <xf numFmtId="41" fontId="3" fillId="0" borderId="9" xfId="1" applyFont="1" applyBorder="1" applyAlignment="1">
      <alignment vertical="center"/>
    </xf>
    <xf numFmtId="41" fontId="3" fillId="0" borderId="9" xfId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B%20NISA\JOB%20NISA%20INTI\KONTRAKTOR\2026\PAVILIUN%20RT%20BU%20ANNI%20YUNIARTI\PENERIMAAN%20DAN%20PENGELUARAN%20KAS%20SUMEDANG%20YG%20DI%20NI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"/>
      <sheetName val="KAS BU ANI"/>
      <sheetName val="Sheet1"/>
    </sheetNames>
    <sheetDataSet>
      <sheetData sheetId="0">
        <row r="569">
          <cell r="E569">
            <v>230000</v>
          </cell>
        </row>
        <row r="570">
          <cell r="E570">
            <v>704000</v>
          </cell>
        </row>
        <row r="571">
          <cell r="E571">
            <v>300000</v>
          </cell>
        </row>
        <row r="572">
          <cell r="E572">
            <v>48000</v>
          </cell>
        </row>
        <row r="573">
          <cell r="E573">
            <v>10000</v>
          </cell>
        </row>
        <row r="574">
          <cell r="E574">
            <v>425000</v>
          </cell>
        </row>
        <row r="575">
          <cell r="E575">
            <v>100000</v>
          </cell>
        </row>
        <row r="576">
          <cell r="E576">
            <v>20000</v>
          </cell>
        </row>
        <row r="577">
          <cell r="E577">
            <v>100000</v>
          </cell>
        </row>
        <row r="578">
          <cell r="E578">
            <v>200000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"/>
  <sheetViews>
    <sheetView workbookViewId="0"/>
  </sheetViews>
  <sheetFormatPr defaultRowHeight="15"/>
  <cols>
    <col min="1" max="1" width="6.28515625" customWidth="1"/>
    <col min="2" max="2" width="8.85546875" customWidth="1"/>
    <col min="3" max="3" width="68.42578125" customWidth="1"/>
    <col min="4" max="4" width="12.28515625" bestFit="1" customWidth="1"/>
    <col min="5" max="5" width="7.5703125" bestFit="1" customWidth="1"/>
    <col min="6" max="6" width="12" bestFit="1" customWidth="1"/>
    <col min="7" max="7" width="6" bestFit="1" customWidth="1"/>
    <col min="8" max="8" width="12" bestFit="1" customWidth="1"/>
    <col min="11" max="11" width="10.5703125" bestFit="1" customWidth="1"/>
    <col min="12" max="12" width="71.28515625" bestFit="1" customWidth="1"/>
    <col min="13" max="13" width="12.285156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74</v>
      </c>
      <c r="B2" s="2"/>
      <c r="C2" s="3"/>
      <c r="D2" s="3"/>
      <c r="E2" s="3"/>
      <c r="F2" s="3"/>
      <c r="G2" s="3"/>
      <c r="H2" s="3"/>
      <c r="J2" s="1" t="s">
        <v>74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0</v>
      </c>
      <c r="E4" s="6"/>
      <c r="F4" s="6"/>
      <c r="G4" s="6"/>
      <c r="H4" s="6"/>
      <c r="J4" s="4"/>
      <c r="K4" s="5"/>
      <c r="L4" s="6" t="s">
        <v>2</v>
      </c>
      <c r="M4" s="7">
        <v>0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91703579</v>
      </c>
      <c r="E5" s="6"/>
      <c r="F5" s="6"/>
      <c r="G5" s="6"/>
      <c r="H5" s="6"/>
      <c r="J5" s="4"/>
      <c r="K5" s="5"/>
      <c r="L5" s="6" t="s">
        <v>3</v>
      </c>
      <c r="M5" s="8">
        <v>91703579</v>
      </c>
      <c r="N5" s="6"/>
      <c r="O5" s="6"/>
      <c r="P5" s="6"/>
      <c r="Q5" s="6"/>
    </row>
    <row r="6" spans="1:17">
      <c r="A6" s="4"/>
      <c r="B6" s="5"/>
      <c r="C6" s="6" t="s">
        <v>4</v>
      </c>
      <c r="D6" s="9">
        <v>256369459</v>
      </c>
      <c r="E6" s="6"/>
      <c r="F6" s="6"/>
      <c r="G6" s="6"/>
      <c r="H6" s="6"/>
      <c r="J6" s="4"/>
      <c r="K6" s="5"/>
      <c r="L6" s="6" t="s">
        <v>4</v>
      </c>
      <c r="M6" s="9">
        <v>256369459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1061000</v>
      </c>
      <c r="E7" s="6"/>
      <c r="F7" s="6"/>
      <c r="G7" s="6"/>
      <c r="H7" s="6"/>
      <c r="J7" s="4"/>
      <c r="K7" s="5"/>
      <c r="L7" s="6" t="s">
        <v>5</v>
      </c>
      <c r="M7" s="6">
        <v>1061000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f>22890124-21500000</f>
        <v>1390124</v>
      </c>
      <c r="E8" s="6"/>
      <c r="F8" s="6"/>
      <c r="G8" s="6"/>
      <c r="H8" s="6"/>
      <c r="J8" s="4"/>
      <c r="K8" s="5"/>
      <c r="L8" s="6" t="s">
        <v>6</v>
      </c>
      <c r="M8" s="6">
        <f>22890124-21500000</f>
        <v>1390124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740468.8</v>
      </c>
      <c r="E9" s="6"/>
      <c r="F9" s="6"/>
      <c r="G9" s="6"/>
      <c r="H9" s="6"/>
      <c r="J9" s="4"/>
      <c r="K9" s="5"/>
      <c r="L9" s="6" t="s">
        <v>7</v>
      </c>
      <c r="M9" s="6">
        <v>740468.8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0" t="s">
        <v>75</v>
      </c>
      <c r="B11" s="530"/>
      <c r="C11" s="530"/>
      <c r="D11" s="10"/>
      <c r="E11" s="10"/>
      <c r="F11" s="10"/>
      <c r="G11" s="10"/>
      <c r="H11" s="10">
        <f>SUM(D4:D9)</f>
        <v>351264630.80000001</v>
      </c>
      <c r="J11" s="530" t="s">
        <v>75</v>
      </c>
      <c r="K11" s="530"/>
      <c r="L11" s="530"/>
      <c r="M11" s="10"/>
      <c r="N11" s="10"/>
      <c r="O11" s="10"/>
      <c r="P11" s="10"/>
      <c r="Q11" s="10">
        <f>SUM(M4:M9)</f>
        <v>351264630.80000001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11" t="s">
        <v>14</v>
      </c>
      <c r="F14" s="11" t="s">
        <v>15</v>
      </c>
      <c r="G14" s="11" t="s">
        <v>16</v>
      </c>
      <c r="H14" s="11" t="s">
        <v>17</v>
      </c>
      <c r="J14" s="536"/>
      <c r="K14" s="537"/>
      <c r="L14" s="538"/>
      <c r="M14" s="538"/>
      <c r="N14" s="73" t="s">
        <v>14</v>
      </c>
      <c r="O14" s="73" t="s">
        <v>15</v>
      </c>
      <c r="P14" s="73" t="s">
        <v>16</v>
      </c>
      <c r="Q14" s="73" t="s">
        <v>17</v>
      </c>
    </row>
    <row r="15" spans="1:17">
      <c r="A15" s="12"/>
      <c r="B15" s="13" t="s">
        <v>18</v>
      </c>
      <c r="C15" s="14" t="s">
        <v>19</v>
      </c>
      <c r="D15" s="15">
        <v>503500</v>
      </c>
      <c r="E15" s="16"/>
      <c r="F15" s="16"/>
      <c r="G15" s="16"/>
      <c r="H15" s="16"/>
      <c r="J15" s="12"/>
      <c r="K15" s="13" t="s">
        <v>18</v>
      </c>
      <c r="L15" s="14" t="s">
        <v>19</v>
      </c>
      <c r="M15" s="15">
        <v>503500</v>
      </c>
      <c r="N15" s="16"/>
      <c r="O15" s="16"/>
      <c r="P15" s="16"/>
      <c r="Q15" s="16"/>
    </row>
    <row r="16" spans="1:17">
      <c r="A16" s="12"/>
      <c r="B16" s="13" t="s">
        <v>18</v>
      </c>
      <c r="C16" s="14" t="s">
        <v>73</v>
      </c>
      <c r="D16" s="15">
        <v>503500</v>
      </c>
      <c r="E16" s="16"/>
      <c r="F16" s="16"/>
      <c r="G16" s="16"/>
      <c r="H16" s="16"/>
      <c r="J16" s="12"/>
      <c r="K16" s="13" t="s">
        <v>18</v>
      </c>
      <c r="L16" s="14" t="s">
        <v>73</v>
      </c>
      <c r="M16" s="15">
        <v>503500</v>
      </c>
      <c r="N16" s="16"/>
      <c r="O16" s="16"/>
      <c r="P16" s="16"/>
      <c r="Q16" s="16"/>
    </row>
    <row r="17" spans="1:17">
      <c r="A17" s="12"/>
      <c r="B17" s="13" t="s">
        <v>45</v>
      </c>
      <c r="C17" s="14" t="s">
        <v>46</v>
      </c>
      <c r="D17" s="15">
        <v>16000</v>
      </c>
      <c r="E17" s="16"/>
      <c r="F17" s="16"/>
      <c r="G17" s="16"/>
      <c r="H17" s="16"/>
      <c r="J17" s="12"/>
      <c r="K17" s="13" t="s">
        <v>45</v>
      </c>
      <c r="L17" s="14" t="s">
        <v>46</v>
      </c>
      <c r="M17" s="15">
        <v>16000</v>
      </c>
      <c r="N17" s="16"/>
      <c r="O17" s="16"/>
      <c r="P17" s="16"/>
      <c r="Q17" s="16"/>
    </row>
    <row r="18" spans="1:17">
      <c r="A18" s="12"/>
      <c r="B18" s="13"/>
      <c r="C18" s="14"/>
      <c r="D18" s="15"/>
      <c r="E18" s="16"/>
      <c r="F18" s="16"/>
      <c r="G18" s="16"/>
      <c r="H18" s="16"/>
      <c r="J18" s="12"/>
      <c r="K18" s="13"/>
      <c r="L18" s="14"/>
      <c r="M18" s="15"/>
      <c r="N18" s="16"/>
      <c r="O18" s="16"/>
      <c r="P18" s="16"/>
      <c r="Q18" s="16"/>
    </row>
    <row r="19" spans="1:17" hidden="1">
      <c r="A19" s="12"/>
      <c r="B19" s="13"/>
      <c r="C19" s="14"/>
      <c r="D19" s="15"/>
      <c r="E19" s="16"/>
      <c r="F19" s="16"/>
      <c r="G19" s="16"/>
      <c r="H19" s="16"/>
      <c r="J19" s="12"/>
      <c r="K19" s="13"/>
      <c r="L19" s="14"/>
      <c r="M19" s="15"/>
      <c r="N19" s="16"/>
      <c r="O19" s="16"/>
      <c r="P19" s="16"/>
      <c r="Q19" s="16"/>
    </row>
    <row r="20" spans="1:17" hidden="1">
      <c r="A20" s="12"/>
      <c r="B20" s="13"/>
      <c r="C20" s="14"/>
      <c r="D20" s="15"/>
      <c r="E20" s="16"/>
      <c r="F20" s="16"/>
      <c r="G20" s="16"/>
      <c r="H20" s="16"/>
      <c r="J20" s="12"/>
      <c r="K20" s="13"/>
      <c r="L20" s="14"/>
      <c r="M20" s="15"/>
      <c r="N20" s="16"/>
      <c r="O20" s="16"/>
      <c r="P20" s="16"/>
      <c r="Q20" s="16"/>
    </row>
    <row r="21" spans="1:17" hidden="1">
      <c r="A21" s="12"/>
      <c r="B21" s="13"/>
      <c r="C21" s="14"/>
      <c r="D21" s="15"/>
      <c r="E21" s="16"/>
      <c r="F21" s="16"/>
      <c r="G21" s="16"/>
      <c r="H21" s="16"/>
      <c r="J21" s="12"/>
      <c r="K21" s="13"/>
      <c r="L21" s="14"/>
      <c r="M21" s="15"/>
      <c r="N21" s="16"/>
      <c r="O21" s="16"/>
      <c r="P21" s="16"/>
      <c r="Q21" s="16"/>
    </row>
    <row r="22" spans="1:17" hidden="1">
      <c r="A22" s="12"/>
      <c r="B22" s="13"/>
      <c r="C22" s="14"/>
      <c r="D22" s="15"/>
      <c r="E22" s="16"/>
      <c r="F22" s="16"/>
      <c r="G22" s="16"/>
      <c r="H22" s="16"/>
      <c r="J22" s="12"/>
      <c r="K22" s="13"/>
      <c r="L22" s="14"/>
      <c r="M22" s="15"/>
      <c r="N22" s="16"/>
      <c r="O22" s="16"/>
      <c r="P22" s="16"/>
      <c r="Q22" s="16"/>
    </row>
    <row r="23" spans="1:17" hidden="1">
      <c r="A23" s="12"/>
      <c r="B23" s="13"/>
      <c r="C23" s="14"/>
      <c r="D23" s="15"/>
      <c r="E23" s="16"/>
      <c r="F23" s="16"/>
      <c r="G23" s="16"/>
      <c r="H23" s="16"/>
      <c r="J23" s="12"/>
      <c r="K23" s="13"/>
      <c r="L23" s="14"/>
      <c r="M23" s="15"/>
      <c r="N23" s="16"/>
      <c r="O23" s="16"/>
      <c r="P23" s="16"/>
      <c r="Q23" s="16"/>
    </row>
    <row r="24" spans="1:17" hidden="1">
      <c r="A24" s="12"/>
      <c r="B24" s="13"/>
      <c r="C24" s="14"/>
      <c r="D24" s="15"/>
      <c r="E24" s="16"/>
      <c r="F24" s="16"/>
      <c r="G24" s="16"/>
      <c r="H24" s="16"/>
      <c r="J24" s="12"/>
      <c r="K24" s="13"/>
      <c r="L24" s="14"/>
      <c r="M24" s="15"/>
      <c r="N24" s="16"/>
      <c r="O24" s="16"/>
      <c r="P24" s="16"/>
      <c r="Q24" s="16"/>
    </row>
    <row r="25" spans="1:17" hidden="1">
      <c r="A25" s="12"/>
      <c r="B25" s="13"/>
      <c r="C25" s="14"/>
      <c r="D25" s="15"/>
      <c r="E25" s="16"/>
      <c r="F25" s="16"/>
      <c r="G25" s="16"/>
      <c r="H25" s="16"/>
      <c r="J25" s="12"/>
      <c r="K25" s="13"/>
      <c r="L25" s="14"/>
      <c r="M25" s="15"/>
      <c r="N25" s="16"/>
      <c r="O25" s="16"/>
      <c r="P25" s="16"/>
      <c r="Q25" s="16"/>
    </row>
    <row r="26" spans="1:17" hidden="1">
      <c r="A26" s="12"/>
      <c r="B26" s="17"/>
      <c r="C26" s="14"/>
      <c r="D26" s="15"/>
      <c r="E26" s="16"/>
      <c r="F26" s="16"/>
      <c r="G26" s="16"/>
      <c r="H26" s="16"/>
      <c r="J26" s="12"/>
      <c r="K26" s="17"/>
      <c r="L26" s="14"/>
      <c r="M26" s="15"/>
      <c r="N26" s="16"/>
      <c r="O26" s="16"/>
      <c r="P26" s="16"/>
      <c r="Q26" s="16"/>
    </row>
    <row r="27" spans="1:17" hidden="1">
      <c r="A27" s="12"/>
      <c r="B27" s="17"/>
      <c r="C27" s="14"/>
      <c r="D27" s="15"/>
      <c r="E27" s="16"/>
      <c r="F27" s="16"/>
      <c r="G27" s="16"/>
      <c r="H27" s="16"/>
      <c r="J27" s="12"/>
      <c r="K27" s="17"/>
      <c r="L27" s="14"/>
      <c r="M27" s="15"/>
      <c r="N27" s="16"/>
      <c r="O27" s="16"/>
      <c r="P27" s="16"/>
      <c r="Q27" s="16"/>
    </row>
    <row r="28" spans="1:17">
      <c r="A28" s="18"/>
      <c r="B28" s="19"/>
      <c r="C28" s="11" t="s">
        <v>20</v>
      </c>
      <c r="D28" s="10">
        <f>SUM(D15:D27)</f>
        <v>1023000</v>
      </c>
      <c r="E28" s="10"/>
      <c r="F28" s="10"/>
      <c r="G28" s="10"/>
      <c r="H28" s="10"/>
      <c r="J28" s="18"/>
      <c r="K28" s="19"/>
      <c r="L28" s="73" t="s">
        <v>20</v>
      </c>
      <c r="M28" s="10">
        <f>SUM(M15:M27)</f>
        <v>1023000</v>
      </c>
      <c r="N28" s="10"/>
      <c r="O28" s="10"/>
      <c r="P28" s="10"/>
      <c r="Q28" s="10"/>
    </row>
    <row r="29" spans="1:17">
      <c r="A29" s="20"/>
      <c r="B29" s="5"/>
      <c r="C29" s="11" t="s">
        <v>21</v>
      </c>
      <c r="D29" s="10"/>
      <c r="E29" s="5"/>
      <c r="F29" s="5"/>
      <c r="G29" s="5"/>
      <c r="H29" s="21">
        <f>+D28</f>
        <v>1023000</v>
      </c>
      <c r="J29" s="20"/>
      <c r="K29" s="5"/>
      <c r="L29" s="73" t="s">
        <v>21</v>
      </c>
      <c r="M29" s="10"/>
      <c r="N29" s="5"/>
      <c r="O29" s="5"/>
      <c r="P29" s="5"/>
      <c r="Q29" s="21">
        <f>+M28</f>
        <v>1023000</v>
      </c>
    </row>
    <row r="30" spans="1:17">
      <c r="A30" s="526" t="s">
        <v>22</v>
      </c>
      <c r="B30" s="526"/>
      <c r="C30" s="526"/>
      <c r="D30" s="526"/>
      <c r="E30" s="526">
        <f>+H29</f>
        <v>1023000</v>
      </c>
      <c r="F30" s="526"/>
      <c r="G30" s="526"/>
      <c r="H30" s="526"/>
      <c r="J30" s="526" t="s">
        <v>22</v>
      </c>
      <c r="K30" s="526"/>
      <c r="L30" s="526"/>
      <c r="M30" s="526"/>
      <c r="N30" s="526">
        <f>+Q29</f>
        <v>1023000</v>
      </c>
      <c r="O30" s="526"/>
      <c r="P30" s="526"/>
      <c r="Q30" s="526"/>
    </row>
    <row r="31" spans="1:17">
      <c r="A31" s="524" t="s">
        <v>23</v>
      </c>
      <c r="B31" s="524"/>
      <c r="C31" s="524"/>
      <c r="D31" s="524"/>
      <c r="E31" s="524"/>
      <c r="F31" s="524"/>
      <c r="G31" s="524"/>
      <c r="H31" s="524"/>
      <c r="J31" s="524" t="s">
        <v>23</v>
      </c>
      <c r="K31" s="524"/>
      <c r="L31" s="524"/>
      <c r="M31" s="524"/>
      <c r="N31" s="524"/>
      <c r="O31" s="524"/>
      <c r="P31" s="524"/>
      <c r="Q31" s="524"/>
    </row>
    <row r="32" spans="1:17">
      <c r="A32" s="12"/>
      <c r="B32" s="13" t="s">
        <v>59</v>
      </c>
      <c r="C32" s="15" t="s">
        <v>60</v>
      </c>
      <c r="D32" s="22">
        <v>390000</v>
      </c>
      <c r="E32" s="22"/>
      <c r="F32" s="22"/>
      <c r="G32" s="16"/>
      <c r="H32" s="16"/>
      <c r="J32" s="12"/>
      <c r="K32" s="13" t="s">
        <v>59</v>
      </c>
      <c r="L32" s="15" t="s">
        <v>60</v>
      </c>
      <c r="M32" s="22">
        <v>390000</v>
      </c>
      <c r="N32" s="22"/>
      <c r="O32" s="22"/>
      <c r="P32" s="16"/>
      <c r="Q32" s="16"/>
    </row>
    <row r="33" spans="1:17">
      <c r="A33" s="12"/>
      <c r="B33" s="13" t="s">
        <v>59</v>
      </c>
      <c r="C33" s="15" t="s">
        <v>61</v>
      </c>
      <c r="D33" s="22">
        <v>100000</v>
      </c>
      <c r="E33" s="22"/>
      <c r="F33" s="22"/>
      <c r="G33" s="16"/>
      <c r="H33" s="16"/>
      <c r="J33" s="12"/>
      <c r="K33" s="13" t="s">
        <v>59</v>
      </c>
      <c r="L33" s="15" t="s">
        <v>61</v>
      </c>
      <c r="M33" s="22">
        <v>100000</v>
      </c>
      <c r="N33" s="22"/>
      <c r="O33" s="22"/>
      <c r="P33" s="16"/>
      <c r="Q33" s="16"/>
    </row>
    <row r="34" spans="1:17">
      <c r="A34" s="12"/>
      <c r="B34" s="13" t="s">
        <v>62</v>
      </c>
      <c r="C34" s="15" t="s">
        <v>76</v>
      </c>
      <c r="D34" s="22">
        <v>1940000</v>
      </c>
      <c r="E34" s="22"/>
      <c r="F34" s="22"/>
      <c r="G34" s="16"/>
      <c r="H34" s="16"/>
      <c r="J34" s="12"/>
      <c r="K34" s="13" t="s">
        <v>62</v>
      </c>
      <c r="L34" s="15" t="s">
        <v>76</v>
      </c>
      <c r="M34" s="22">
        <v>1940000</v>
      </c>
      <c r="N34" s="22"/>
      <c r="O34" s="22"/>
      <c r="P34" s="16"/>
      <c r="Q34" s="16"/>
    </row>
    <row r="35" spans="1:17">
      <c r="A35" s="12"/>
      <c r="B35" s="13" t="s">
        <v>62</v>
      </c>
      <c r="C35" s="15" t="s">
        <v>63</v>
      </c>
      <c r="D35" s="22">
        <v>150000</v>
      </c>
      <c r="E35" s="22"/>
      <c r="F35" s="22"/>
      <c r="G35" s="16"/>
      <c r="H35" s="16"/>
      <c r="J35" s="12"/>
      <c r="K35" s="13" t="s">
        <v>62</v>
      </c>
      <c r="L35" s="15" t="s">
        <v>63</v>
      </c>
      <c r="M35" s="22">
        <v>150000</v>
      </c>
      <c r="N35" s="22"/>
      <c r="O35" s="22"/>
      <c r="P35" s="16"/>
      <c r="Q35" s="16"/>
    </row>
    <row r="36" spans="1:17">
      <c r="A36" s="12"/>
      <c r="B36" s="13" t="s">
        <v>62</v>
      </c>
      <c r="C36" s="15" t="s">
        <v>64</v>
      </c>
      <c r="D36" s="23">
        <v>440000</v>
      </c>
      <c r="E36" s="22"/>
      <c r="F36" s="22"/>
      <c r="G36" s="16"/>
      <c r="H36" s="16"/>
      <c r="J36" s="12"/>
      <c r="K36" s="13" t="s">
        <v>62</v>
      </c>
      <c r="L36" s="15" t="s">
        <v>64</v>
      </c>
      <c r="M36" s="23">
        <v>440000</v>
      </c>
      <c r="N36" s="22"/>
      <c r="O36" s="22"/>
      <c r="P36" s="16"/>
      <c r="Q36" s="16"/>
    </row>
    <row r="37" spans="1:17">
      <c r="A37" s="12"/>
      <c r="B37" s="13" t="s">
        <v>65</v>
      </c>
      <c r="C37" s="15" t="s">
        <v>66</v>
      </c>
      <c r="D37" s="23">
        <v>1880000</v>
      </c>
      <c r="E37" s="22"/>
      <c r="F37" s="22"/>
      <c r="G37" s="16"/>
      <c r="H37" s="16"/>
      <c r="J37" s="12"/>
      <c r="K37" s="13" t="s">
        <v>65</v>
      </c>
      <c r="L37" s="15" t="s">
        <v>66</v>
      </c>
      <c r="M37" s="23">
        <v>1880000</v>
      </c>
      <c r="N37" s="22"/>
      <c r="O37" s="22"/>
      <c r="P37" s="16"/>
      <c r="Q37" s="16"/>
    </row>
    <row r="38" spans="1:17">
      <c r="A38" s="12"/>
      <c r="B38" s="13" t="s">
        <v>65</v>
      </c>
      <c r="C38" s="15" t="s">
        <v>67</v>
      </c>
      <c r="D38" s="23">
        <v>114000</v>
      </c>
      <c r="E38" s="22"/>
      <c r="F38" s="22"/>
      <c r="G38" s="16"/>
      <c r="H38" s="16"/>
      <c r="J38" s="12"/>
      <c r="K38" s="13" t="s">
        <v>65</v>
      </c>
      <c r="L38" s="15" t="s">
        <v>67</v>
      </c>
      <c r="M38" s="23">
        <v>114000</v>
      </c>
      <c r="N38" s="22"/>
      <c r="O38" s="22"/>
      <c r="P38" s="16"/>
      <c r="Q38" s="16"/>
    </row>
    <row r="39" spans="1:17">
      <c r="A39" s="12"/>
      <c r="B39" s="13" t="s">
        <v>65</v>
      </c>
      <c r="C39" s="15" t="s">
        <v>68</v>
      </c>
      <c r="D39" s="23">
        <f>150000*5</f>
        <v>750000</v>
      </c>
      <c r="E39" s="22"/>
      <c r="F39" s="22"/>
      <c r="G39" s="16"/>
      <c r="H39" s="16"/>
      <c r="J39" s="12"/>
      <c r="K39" s="13" t="s">
        <v>65</v>
      </c>
      <c r="L39" s="15" t="s">
        <v>68</v>
      </c>
      <c r="M39" s="23">
        <f>150000*5</f>
        <v>750000</v>
      </c>
      <c r="N39" s="22"/>
      <c r="O39" s="22"/>
      <c r="P39" s="16"/>
      <c r="Q39" s="16"/>
    </row>
    <row r="40" spans="1:17">
      <c r="A40" s="12"/>
      <c r="B40" s="13" t="s">
        <v>65</v>
      </c>
      <c r="C40" s="15" t="s">
        <v>69</v>
      </c>
      <c r="D40" s="22">
        <v>440000</v>
      </c>
      <c r="E40" s="22"/>
      <c r="F40" s="22"/>
      <c r="G40" s="16"/>
      <c r="H40" s="16"/>
      <c r="J40" s="12"/>
      <c r="K40" s="13" t="s">
        <v>65</v>
      </c>
      <c r="L40" s="15" t="s">
        <v>69</v>
      </c>
      <c r="M40" s="22">
        <v>440000</v>
      </c>
      <c r="N40" s="22"/>
      <c r="O40" s="22"/>
      <c r="P40" s="16"/>
      <c r="Q40" s="16"/>
    </row>
    <row r="41" spans="1:17">
      <c r="A41" s="12"/>
      <c r="B41" s="13" t="s">
        <v>65</v>
      </c>
      <c r="C41" s="15" t="s">
        <v>70</v>
      </c>
      <c r="D41" s="22">
        <v>40000</v>
      </c>
      <c r="E41" s="22"/>
      <c r="F41" s="22"/>
      <c r="G41" s="16"/>
      <c r="H41" s="16"/>
      <c r="J41" s="12"/>
      <c r="K41" s="13" t="s">
        <v>65</v>
      </c>
      <c r="L41" s="15" t="s">
        <v>70</v>
      </c>
      <c r="M41" s="22">
        <v>40000</v>
      </c>
      <c r="N41" s="22"/>
      <c r="O41" s="22"/>
      <c r="P41" s="16"/>
      <c r="Q41" s="16"/>
    </row>
    <row r="42" spans="1:17">
      <c r="A42" s="12"/>
      <c r="B42" s="13" t="s">
        <v>78</v>
      </c>
      <c r="C42" s="15" t="s">
        <v>83</v>
      </c>
      <c r="D42" s="22">
        <v>900000</v>
      </c>
      <c r="E42" s="22"/>
      <c r="F42" s="22"/>
      <c r="G42" s="16"/>
      <c r="H42" s="16"/>
      <c r="J42" s="12"/>
      <c r="K42" s="13" t="s">
        <v>78</v>
      </c>
      <c r="L42" s="15" t="s">
        <v>83</v>
      </c>
      <c r="M42" s="22">
        <v>900000</v>
      </c>
      <c r="N42" s="22"/>
      <c r="O42" s="22"/>
      <c r="P42" s="16"/>
      <c r="Q42" s="16"/>
    </row>
    <row r="43" spans="1:17">
      <c r="A43" s="12"/>
      <c r="B43" s="13" t="s">
        <v>89</v>
      </c>
      <c r="C43" s="15" t="s">
        <v>82</v>
      </c>
      <c r="D43" s="22">
        <v>2000000</v>
      </c>
      <c r="E43" s="22"/>
      <c r="F43" s="22"/>
      <c r="G43" s="16"/>
      <c r="H43" s="16"/>
      <c r="J43" s="12"/>
      <c r="K43" s="13" t="s">
        <v>89</v>
      </c>
      <c r="L43" s="15" t="s">
        <v>82</v>
      </c>
      <c r="M43" s="22">
        <v>2000000</v>
      </c>
      <c r="N43" s="22"/>
      <c r="O43" s="22"/>
      <c r="P43" s="16"/>
      <c r="Q43" s="16"/>
    </row>
    <row r="44" spans="1:17">
      <c r="A44" s="12"/>
      <c r="B44" s="13" t="s">
        <v>84</v>
      </c>
      <c r="C44" s="15" t="s">
        <v>85</v>
      </c>
      <c r="D44" s="22">
        <v>700000</v>
      </c>
      <c r="E44" s="22"/>
      <c r="F44" s="22"/>
      <c r="G44" s="16"/>
      <c r="H44" s="16"/>
      <c r="J44" s="12"/>
      <c r="K44" s="13" t="s">
        <v>84</v>
      </c>
      <c r="L44" s="15" t="s">
        <v>85</v>
      </c>
      <c r="M44" s="22">
        <v>700000</v>
      </c>
      <c r="N44" s="22"/>
      <c r="O44" s="22"/>
      <c r="P44" s="16"/>
      <c r="Q44" s="16"/>
    </row>
    <row r="45" spans="1:17">
      <c r="A45" s="12"/>
      <c r="B45" s="13"/>
      <c r="C45" s="15"/>
      <c r="D45" s="22"/>
      <c r="E45" s="22"/>
      <c r="F45" s="22"/>
      <c r="G45" s="16"/>
      <c r="H45" s="16"/>
      <c r="J45" s="12"/>
      <c r="K45" s="13"/>
      <c r="L45" s="15"/>
      <c r="M45" s="22"/>
      <c r="N45" s="22"/>
      <c r="O45" s="22"/>
      <c r="P45" s="16"/>
      <c r="Q45" s="16"/>
    </row>
    <row r="46" spans="1:17">
      <c r="A46" s="25"/>
      <c r="B46" s="19"/>
      <c r="C46" s="26" t="s">
        <v>24</v>
      </c>
      <c r="D46" s="27">
        <f>SUM(D32:D44)</f>
        <v>9844000</v>
      </c>
      <c r="E46" s="27"/>
      <c r="F46" s="27"/>
      <c r="G46" s="27"/>
      <c r="H46" s="27"/>
      <c r="J46" s="25"/>
      <c r="K46" s="19"/>
      <c r="L46" s="26" t="s">
        <v>24</v>
      </c>
      <c r="M46" s="27">
        <f>SUM(M32:M44)</f>
        <v>9844000</v>
      </c>
      <c r="N46" s="27"/>
      <c r="O46" s="27"/>
      <c r="P46" s="27"/>
      <c r="Q46" s="27"/>
    </row>
    <row r="47" spans="1:17">
      <c r="A47" s="20"/>
      <c r="B47" s="19"/>
      <c r="C47" s="11" t="s">
        <v>21</v>
      </c>
      <c r="D47" s="10"/>
      <c r="E47" s="530">
        <f>D46</f>
        <v>9844000</v>
      </c>
      <c r="F47" s="530"/>
      <c r="G47" s="530"/>
      <c r="H47" s="530"/>
      <c r="J47" s="20"/>
      <c r="K47" s="19"/>
      <c r="L47" s="73" t="s">
        <v>21</v>
      </c>
      <c r="M47" s="10"/>
      <c r="N47" s="530">
        <f>M46</f>
        <v>9844000</v>
      </c>
      <c r="O47" s="530"/>
      <c r="P47" s="530"/>
      <c r="Q47" s="530"/>
    </row>
    <row r="48" spans="1:17">
      <c r="A48" s="524" t="s">
        <v>87</v>
      </c>
      <c r="B48" s="524"/>
      <c r="C48" s="524"/>
      <c r="D48" s="524"/>
      <c r="E48" s="524"/>
      <c r="F48" s="524"/>
      <c r="G48" s="524"/>
      <c r="H48" s="524"/>
      <c r="J48" s="524" t="s">
        <v>87</v>
      </c>
      <c r="K48" s="524"/>
      <c r="L48" s="524"/>
      <c r="M48" s="524"/>
      <c r="N48" s="524"/>
      <c r="O48" s="524"/>
      <c r="P48" s="524"/>
      <c r="Q48" s="524"/>
    </row>
    <row r="49" spans="1:17">
      <c r="A49" s="28"/>
      <c r="B49" s="23" t="s">
        <v>71</v>
      </c>
      <c r="C49" s="23" t="s">
        <v>72</v>
      </c>
      <c r="D49" s="23">
        <v>760000</v>
      </c>
      <c r="E49" s="28"/>
      <c r="F49" s="28"/>
      <c r="G49" s="28"/>
      <c r="H49" s="28"/>
      <c r="J49" s="28"/>
      <c r="K49" s="23" t="s">
        <v>71</v>
      </c>
      <c r="L49" s="23" t="s">
        <v>72</v>
      </c>
      <c r="M49" s="23">
        <v>760000</v>
      </c>
      <c r="N49" s="28"/>
      <c r="O49" s="28"/>
      <c r="P49" s="28"/>
      <c r="Q49" s="28"/>
    </row>
    <row r="50" spans="1:17">
      <c r="A50" s="28"/>
      <c r="B50" s="23" t="s">
        <v>86</v>
      </c>
      <c r="C50" s="23" t="s">
        <v>88</v>
      </c>
      <c r="D50" s="23">
        <v>700000</v>
      </c>
      <c r="E50" s="28"/>
      <c r="F50" s="28"/>
      <c r="G50" s="28"/>
      <c r="H50" s="28"/>
      <c r="J50" s="28"/>
      <c r="K50" s="23" t="s">
        <v>86</v>
      </c>
      <c r="L50" s="23" t="s">
        <v>88</v>
      </c>
      <c r="M50" s="23">
        <v>700000</v>
      </c>
      <c r="N50" s="28"/>
      <c r="O50" s="28"/>
      <c r="P50" s="28"/>
      <c r="Q50" s="28"/>
    </row>
    <row r="51" spans="1:17">
      <c r="A51" s="12"/>
      <c r="B51" s="13"/>
      <c r="C51" s="26" t="s">
        <v>25</v>
      </c>
      <c r="D51" s="27">
        <f>SUM(D49:D50)</f>
        <v>1460000</v>
      </c>
      <c r="E51" s="27">
        <v>0</v>
      </c>
      <c r="F51" s="27">
        <v>0</v>
      </c>
      <c r="G51" s="27"/>
      <c r="H51" s="27"/>
      <c r="J51" s="12"/>
      <c r="K51" s="13"/>
      <c r="L51" s="26" t="s">
        <v>25</v>
      </c>
      <c r="M51" s="27">
        <f>SUM(M49:M50)</f>
        <v>1460000</v>
      </c>
      <c r="N51" s="27">
        <v>0</v>
      </c>
      <c r="O51" s="27">
        <v>0</v>
      </c>
      <c r="P51" s="27"/>
      <c r="Q51" s="27"/>
    </row>
    <row r="52" spans="1:17">
      <c r="A52" s="20"/>
      <c r="B52" s="19"/>
      <c r="C52" s="11" t="s">
        <v>21</v>
      </c>
      <c r="D52" s="10"/>
      <c r="E52" s="530">
        <f>D51</f>
        <v>1460000</v>
      </c>
      <c r="F52" s="530"/>
      <c r="G52" s="530"/>
      <c r="H52" s="530"/>
      <c r="J52" s="20"/>
      <c r="K52" s="19"/>
      <c r="L52" s="73" t="s">
        <v>21</v>
      </c>
      <c r="M52" s="10"/>
      <c r="N52" s="530">
        <f>M51</f>
        <v>1460000</v>
      </c>
      <c r="O52" s="530"/>
      <c r="P52" s="530"/>
      <c r="Q52" s="530"/>
    </row>
    <row r="53" spans="1:17">
      <c r="A53" s="524" t="s">
        <v>54</v>
      </c>
      <c r="B53" s="524"/>
      <c r="C53" s="524"/>
      <c r="D53" s="524"/>
      <c r="E53" s="524"/>
      <c r="F53" s="524"/>
      <c r="G53" s="524"/>
      <c r="H53" s="524"/>
      <c r="J53" s="524" t="s">
        <v>54</v>
      </c>
      <c r="K53" s="524"/>
      <c r="L53" s="524"/>
      <c r="M53" s="524"/>
      <c r="N53" s="524"/>
      <c r="O53" s="524"/>
      <c r="P53" s="524"/>
      <c r="Q53" s="524"/>
    </row>
    <row r="54" spans="1:17">
      <c r="A54" s="28"/>
      <c r="B54" s="23" t="s">
        <v>56</v>
      </c>
      <c r="C54" s="23" t="s">
        <v>58</v>
      </c>
      <c r="D54" s="23">
        <v>220000</v>
      </c>
      <c r="E54" s="28"/>
      <c r="F54" s="28"/>
      <c r="G54" s="28"/>
      <c r="H54" s="28"/>
      <c r="J54" s="28"/>
      <c r="K54" s="23" t="s">
        <v>56</v>
      </c>
      <c r="L54" s="23" t="s">
        <v>58</v>
      </c>
      <c r="M54" s="23">
        <v>220000</v>
      </c>
      <c r="N54" s="28"/>
      <c r="O54" s="28"/>
      <c r="P54" s="28"/>
      <c r="Q54" s="28"/>
    </row>
    <row r="55" spans="1:17">
      <c r="A55" s="28"/>
      <c r="B55" s="23" t="s">
        <v>56</v>
      </c>
      <c r="C55" s="23" t="s">
        <v>57</v>
      </c>
      <c r="D55" s="23">
        <v>150000</v>
      </c>
      <c r="E55" s="28"/>
      <c r="F55" s="28"/>
      <c r="G55" s="28"/>
      <c r="H55" s="28"/>
      <c r="J55" s="28"/>
      <c r="K55" s="23" t="s">
        <v>56</v>
      </c>
      <c r="L55" s="23" t="s">
        <v>57</v>
      </c>
      <c r="M55" s="23">
        <v>150000</v>
      </c>
      <c r="N55" s="28"/>
      <c r="O55" s="28"/>
      <c r="P55" s="28"/>
      <c r="Q55" s="28"/>
    </row>
    <row r="56" spans="1:17">
      <c r="A56" s="12"/>
      <c r="B56" s="13"/>
      <c r="C56" s="22"/>
      <c r="D56" s="29"/>
      <c r="E56" s="11"/>
      <c r="F56" s="11"/>
      <c r="G56" s="11"/>
      <c r="H56" s="11"/>
      <c r="J56" s="12"/>
      <c r="K56" s="13"/>
      <c r="L56" s="22"/>
      <c r="M56" s="29"/>
      <c r="N56" s="73"/>
      <c r="O56" s="73"/>
      <c r="P56" s="73"/>
      <c r="Q56" s="73"/>
    </row>
    <row r="57" spans="1:17" hidden="1">
      <c r="A57" s="12"/>
      <c r="B57" s="19"/>
      <c r="C57" s="24"/>
      <c r="D57" s="23"/>
      <c r="E57" s="11"/>
      <c r="F57" s="11"/>
      <c r="G57" s="11"/>
      <c r="H57" s="11"/>
      <c r="J57" s="12"/>
      <c r="K57" s="19"/>
      <c r="L57" s="24"/>
      <c r="M57" s="23"/>
      <c r="N57" s="73"/>
      <c r="O57" s="73"/>
      <c r="P57" s="73"/>
      <c r="Q57" s="73"/>
    </row>
    <row r="58" spans="1:17">
      <c r="A58" s="12"/>
      <c r="B58" s="13"/>
      <c r="C58" s="26" t="s">
        <v>55</v>
      </c>
      <c r="D58" s="27">
        <f>SUM(D54:D57)</f>
        <v>370000</v>
      </c>
      <c r="E58" s="27">
        <v>0</v>
      </c>
      <c r="F58" s="27">
        <v>0</v>
      </c>
      <c r="G58" s="27"/>
      <c r="H58" s="27"/>
      <c r="J58" s="12"/>
      <c r="K58" s="13"/>
      <c r="L58" s="26" t="s">
        <v>55</v>
      </c>
      <c r="M58" s="27">
        <f>SUM(M54:M57)</f>
        <v>370000</v>
      </c>
      <c r="N58" s="27">
        <v>0</v>
      </c>
      <c r="O58" s="27">
        <v>0</v>
      </c>
      <c r="P58" s="27"/>
      <c r="Q58" s="27"/>
    </row>
    <row r="59" spans="1:17">
      <c r="A59" s="20"/>
      <c r="B59" s="19"/>
      <c r="C59" s="11" t="s">
        <v>21</v>
      </c>
      <c r="D59" s="10"/>
      <c r="E59" s="530">
        <f>D58</f>
        <v>370000</v>
      </c>
      <c r="F59" s="530"/>
      <c r="G59" s="530"/>
      <c r="H59" s="530"/>
      <c r="J59" s="20"/>
      <c r="K59" s="19"/>
      <c r="L59" s="73" t="s">
        <v>21</v>
      </c>
      <c r="M59" s="10"/>
      <c r="N59" s="530">
        <f>M58</f>
        <v>370000</v>
      </c>
      <c r="O59" s="530"/>
      <c r="P59" s="530"/>
      <c r="Q59" s="530"/>
    </row>
    <row r="60" spans="1:17">
      <c r="A60" s="527" t="s">
        <v>26</v>
      </c>
      <c r="B60" s="528"/>
      <c r="C60" s="528"/>
      <c r="D60" s="528"/>
      <c r="E60" s="528"/>
      <c r="F60" s="528"/>
      <c r="G60" s="528"/>
      <c r="H60" s="529"/>
      <c r="J60" s="527" t="s">
        <v>26</v>
      </c>
      <c r="K60" s="528"/>
      <c r="L60" s="528"/>
      <c r="M60" s="528"/>
      <c r="N60" s="528"/>
      <c r="O60" s="528"/>
      <c r="P60" s="528"/>
      <c r="Q60" s="529"/>
    </row>
    <row r="61" spans="1:17">
      <c r="A61" s="12"/>
      <c r="B61" s="19" t="s">
        <v>27</v>
      </c>
      <c r="C61" s="24" t="s">
        <v>28</v>
      </c>
      <c r="D61" s="23">
        <v>2372500</v>
      </c>
      <c r="E61" s="22"/>
      <c r="F61" s="22"/>
      <c r="G61" s="16"/>
      <c r="H61" s="16"/>
      <c r="J61" s="12"/>
      <c r="K61" s="19" t="s">
        <v>27</v>
      </c>
      <c r="L61" s="24" t="s">
        <v>28</v>
      </c>
      <c r="M61" s="23">
        <v>2372500</v>
      </c>
      <c r="N61" s="22"/>
      <c r="O61" s="22"/>
      <c r="P61" s="16"/>
      <c r="Q61" s="16"/>
    </row>
    <row r="62" spans="1:17">
      <c r="A62" s="12"/>
      <c r="B62" s="19" t="s">
        <v>91</v>
      </c>
      <c r="C62" s="24" t="s">
        <v>90</v>
      </c>
      <c r="D62" s="23">
        <v>250000</v>
      </c>
      <c r="E62" s="22"/>
      <c r="F62" s="22"/>
      <c r="G62" s="16"/>
      <c r="H62" s="16"/>
      <c r="J62" s="12"/>
      <c r="K62" s="19" t="s">
        <v>91</v>
      </c>
      <c r="L62" s="24" t="s">
        <v>90</v>
      </c>
      <c r="M62" s="23">
        <v>250000</v>
      </c>
      <c r="N62" s="22"/>
      <c r="O62" s="22"/>
      <c r="P62" s="16"/>
      <c r="Q62" s="16"/>
    </row>
    <row r="63" spans="1:17">
      <c r="A63" s="12"/>
      <c r="B63" s="19" t="s">
        <v>29</v>
      </c>
      <c r="C63" s="24" t="s">
        <v>30</v>
      </c>
      <c r="D63" s="23">
        <v>1035500</v>
      </c>
      <c r="E63" s="22"/>
      <c r="F63" s="22"/>
      <c r="G63" s="16"/>
      <c r="H63" s="16"/>
      <c r="J63" s="12"/>
      <c r="K63" s="19" t="s">
        <v>29</v>
      </c>
      <c r="L63" s="24" t="s">
        <v>30</v>
      </c>
      <c r="M63" s="23">
        <v>1035500</v>
      </c>
      <c r="N63" s="22"/>
      <c r="O63" s="22"/>
      <c r="P63" s="16"/>
      <c r="Q63" s="16"/>
    </row>
    <row r="64" spans="1:17">
      <c r="A64" s="12"/>
      <c r="B64" s="19" t="s">
        <v>99</v>
      </c>
      <c r="C64" s="24" t="s">
        <v>77</v>
      </c>
      <c r="D64" s="23">
        <v>326000</v>
      </c>
      <c r="E64" s="22"/>
      <c r="F64" s="22"/>
      <c r="G64" s="16"/>
      <c r="H64" s="16"/>
      <c r="J64" s="12"/>
      <c r="K64" s="19" t="s">
        <v>78</v>
      </c>
      <c r="L64" s="24" t="s">
        <v>77</v>
      </c>
      <c r="M64" s="23"/>
      <c r="N64" s="22"/>
      <c r="O64" s="22"/>
      <c r="P64" s="16"/>
      <c r="Q64" s="16"/>
    </row>
    <row r="65" spans="1:17">
      <c r="A65" s="12"/>
      <c r="B65" s="19" t="s">
        <v>79</v>
      </c>
      <c r="C65" s="24" t="s">
        <v>80</v>
      </c>
      <c r="D65" s="23">
        <v>370000</v>
      </c>
      <c r="E65" s="22"/>
      <c r="F65" s="22"/>
      <c r="G65" s="16"/>
      <c r="H65" s="16"/>
      <c r="J65" s="12"/>
      <c r="K65" s="19" t="s">
        <v>79</v>
      </c>
      <c r="L65" s="24" t="s">
        <v>80</v>
      </c>
      <c r="M65" s="23"/>
      <c r="N65" s="22"/>
      <c r="O65" s="22"/>
      <c r="P65" s="16"/>
      <c r="Q65" s="16"/>
    </row>
    <row r="66" spans="1:17">
      <c r="A66" s="12"/>
      <c r="B66" s="19" t="s">
        <v>79</v>
      </c>
      <c r="C66" s="23" t="s">
        <v>81</v>
      </c>
      <c r="D66" s="23">
        <v>110000</v>
      </c>
      <c r="E66" s="22"/>
      <c r="F66" s="22"/>
      <c r="G66" s="16"/>
      <c r="H66" s="16"/>
      <c r="J66" s="12"/>
      <c r="K66" s="19" t="s">
        <v>79</v>
      </c>
      <c r="L66" s="23" t="s">
        <v>81</v>
      </c>
      <c r="M66" s="23"/>
      <c r="N66" s="22"/>
      <c r="O66" s="22"/>
      <c r="P66" s="16"/>
      <c r="Q66" s="16"/>
    </row>
    <row r="67" spans="1:17">
      <c r="A67" s="12"/>
      <c r="B67" s="19"/>
      <c r="C67" s="24"/>
      <c r="D67" s="23"/>
      <c r="E67" s="22"/>
      <c r="F67" s="22"/>
      <c r="G67" s="16"/>
      <c r="H67" s="16"/>
      <c r="J67" s="12"/>
      <c r="K67" s="19"/>
      <c r="L67" s="24"/>
      <c r="M67" s="23"/>
      <c r="N67" s="22"/>
      <c r="O67" s="22"/>
      <c r="P67" s="16"/>
      <c r="Q67" s="16"/>
    </row>
    <row r="68" spans="1:17" hidden="1">
      <c r="A68" s="12"/>
      <c r="B68" s="19"/>
      <c r="C68" s="24"/>
      <c r="D68" s="30"/>
      <c r="E68" s="22"/>
      <c r="F68" s="22"/>
      <c r="G68" s="16"/>
      <c r="H68" s="16"/>
      <c r="J68" s="12"/>
      <c r="K68" s="19"/>
      <c r="L68" s="24"/>
      <c r="M68" s="30"/>
      <c r="N68" s="22"/>
      <c r="O68" s="22"/>
      <c r="P68" s="16"/>
      <c r="Q68" s="16"/>
    </row>
    <row r="69" spans="1:17" hidden="1">
      <c r="A69" s="12"/>
      <c r="B69" s="19"/>
      <c r="C69" s="24"/>
      <c r="D69" s="23"/>
      <c r="E69" s="22"/>
      <c r="F69" s="22"/>
      <c r="G69" s="16"/>
      <c r="H69" s="16"/>
      <c r="J69" s="12"/>
      <c r="K69" s="19"/>
      <c r="L69" s="24"/>
      <c r="M69" s="23"/>
      <c r="N69" s="22"/>
      <c r="O69" s="22"/>
      <c r="P69" s="16"/>
      <c r="Q69" s="16"/>
    </row>
    <row r="70" spans="1:17" hidden="1">
      <c r="A70" s="12"/>
      <c r="B70" s="19"/>
      <c r="C70" s="24"/>
      <c r="D70" s="23"/>
      <c r="E70" s="22"/>
      <c r="F70" s="22"/>
      <c r="G70" s="16"/>
      <c r="H70" s="16"/>
      <c r="J70" s="12"/>
      <c r="K70" s="19"/>
      <c r="L70" s="24"/>
      <c r="M70" s="23"/>
      <c r="N70" s="22"/>
      <c r="O70" s="22"/>
      <c r="P70" s="16"/>
      <c r="Q70" s="16"/>
    </row>
    <row r="71" spans="1:17" hidden="1">
      <c r="A71" s="12"/>
      <c r="B71" s="19"/>
      <c r="C71" s="24"/>
      <c r="D71" s="23"/>
      <c r="E71" s="22"/>
      <c r="F71" s="22"/>
      <c r="G71" s="16"/>
      <c r="H71" s="16"/>
      <c r="J71" s="12"/>
      <c r="K71" s="19"/>
      <c r="L71" s="24"/>
      <c r="M71" s="23"/>
      <c r="N71" s="22"/>
      <c r="O71" s="22"/>
      <c r="P71" s="16"/>
      <c r="Q71" s="16"/>
    </row>
    <row r="72" spans="1:17" hidden="1">
      <c r="A72" s="12"/>
      <c r="B72" s="19"/>
      <c r="C72" s="24"/>
      <c r="D72" s="23"/>
      <c r="E72" s="22"/>
      <c r="F72" s="22"/>
      <c r="G72" s="16"/>
      <c r="H72" s="16"/>
      <c r="J72" s="12"/>
      <c r="K72" s="19"/>
      <c r="L72" s="24"/>
      <c r="M72" s="23"/>
      <c r="N72" s="22"/>
      <c r="O72" s="22"/>
      <c r="P72" s="16"/>
      <c r="Q72" s="16"/>
    </row>
    <row r="73" spans="1:17" hidden="1">
      <c r="A73" s="12"/>
      <c r="B73" s="19"/>
      <c r="C73" s="24"/>
      <c r="D73" s="23"/>
      <c r="E73" s="22"/>
      <c r="F73" s="22"/>
      <c r="G73" s="16"/>
      <c r="H73" s="16"/>
      <c r="J73" s="12"/>
      <c r="K73" s="19"/>
      <c r="L73" s="24"/>
      <c r="M73" s="23"/>
      <c r="N73" s="22"/>
      <c r="O73" s="22"/>
      <c r="P73" s="16"/>
      <c r="Q73" s="16"/>
    </row>
    <row r="74" spans="1:17" hidden="1">
      <c r="A74" s="12"/>
      <c r="B74" s="19"/>
      <c r="C74" s="24"/>
      <c r="D74" s="23"/>
      <c r="E74" s="22"/>
      <c r="F74" s="22"/>
      <c r="G74" s="16"/>
      <c r="H74" s="16"/>
      <c r="J74" s="12"/>
      <c r="K74" s="19"/>
      <c r="L74" s="24"/>
      <c r="M74" s="23"/>
      <c r="N74" s="22"/>
      <c r="O74" s="22"/>
      <c r="P74" s="16"/>
      <c r="Q74" s="16"/>
    </row>
    <row r="75" spans="1:17" hidden="1">
      <c r="A75" s="12"/>
      <c r="B75" s="19"/>
      <c r="C75" s="23"/>
      <c r="D75" s="23"/>
      <c r="E75" s="22"/>
      <c r="F75" s="22"/>
      <c r="G75" s="16"/>
      <c r="H75" s="16"/>
      <c r="J75" s="12"/>
      <c r="K75" s="19"/>
      <c r="L75" s="23"/>
      <c r="M75" s="23"/>
      <c r="N75" s="22"/>
      <c r="O75" s="22"/>
      <c r="P75" s="16"/>
      <c r="Q75" s="16"/>
    </row>
    <row r="76" spans="1:17" hidden="1">
      <c r="A76" s="12"/>
      <c r="B76" s="19"/>
      <c r="C76" s="23"/>
      <c r="D76" s="23"/>
      <c r="E76" s="22"/>
      <c r="F76" s="22"/>
      <c r="G76" s="16"/>
      <c r="H76" s="16"/>
      <c r="J76" s="12"/>
      <c r="K76" s="19"/>
      <c r="L76" s="23"/>
      <c r="M76" s="23"/>
      <c r="N76" s="22"/>
      <c r="O76" s="22"/>
      <c r="P76" s="16"/>
      <c r="Q76" s="16"/>
    </row>
    <row r="77" spans="1:17" hidden="1">
      <c r="A77" s="12"/>
      <c r="B77" s="19"/>
      <c r="C77" s="30"/>
      <c r="D77" s="30"/>
      <c r="E77" s="22"/>
      <c r="F77" s="22"/>
      <c r="G77" s="16"/>
      <c r="H77" s="16"/>
      <c r="J77" s="12"/>
      <c r="K77" s="19"/>
      <c r="L77" s="30"/>
      <c r="M77" s="30"/>
      <c r="N77" s="22"/>
      <c r="O77" s="22"/>
      <c r="P77" s="16"/>
      <c r="Q77" s="16"/>
    </row>
    <row r="78" spans="1:17" hidden="1">
      <c r="A78" s="12"/>
      <c r="B78" s="19"/>
      <c r="C78" s="23"/>
      <c r="D78" s="23"/>
      <c r="E78" s="22"/>
      <c r="F78" s="22"/>
      <c r="G78" s="16"/>
      <c r="H78" s="16"/>
      <c r="J78" s="12"/>
      <c r="K78" s="19"/>
      <c r="L78" s="23"/>
      <c r="M78" s="23"/>
      <c r="N78" s="22"/>
      <c r="O78" s="22"/>
      <c r="P78" s="16"/>
      <c r="Q78" s="16"/>
    </row>
    <row r="79" spans="1:17" hidden="1">
      <c r="A79" s="12"/>
      <c r="B79" s="19"/>
      <c r="C79" s="24"/>
      <c r="D79" s="23"/>
      <c r="E79" s="22"/>
      <c r="F79" s="22"/>
      <c r="G79" s="16"/>
      <c r="H79" s="16"/>
      <c r="J79" s="12"/>
      <c r="K79" s="19"/>
      <c r="L79" s="24"/>
      <c r="M79" s="23"/>
      <c r="N79" s="22"/>
      <c r="O79" s="22"/>
      <c r="P79" s="16"/>
      <c r="Q79" s="16"/>
    </row>
    <row r="80" spans="1:17" hidden="1">
      <c r="A80" s="12"/>
      <c r="B80" s="19"/>
      <c r="C80" s="24"/>
      <c r="D80" s="23"/>
      <c r="E80" s="22"/>
      <c r="F80" s="22"/>
      <c r="G80" s="16"/>
      <c r="H80" s="16"/>
      <c r="J80" s="12"/>
      <c r="K80" s="19"/>
      <c r="L80" s="24"/>
      <c r="M80" s="23"/>
      <c r="N80" s="22"/>
      <c r="O80" s="22"/>
      <c r="P80" s="16"/>
      <c r="Q80" s="16"/>
    </row>
    <row r="81" spans="1:17" hidden="1">
      <c r="A81" s="12"/>
      <c r="B81" s="19"/>
      <c r="C81" s="24"/>
      <c r="D81" s="23"/>
      <c r="E81" s="22"/>
      <c r="F81" s="22"/>
      <c r="G81" s="16"/>
      <c r="H81" s="16"/>
      <c r="J81" s="12"/>
      <c r="K81" s="19"/>
      <c r="L81" s="24"/>
      <c r="M81" s="23"/>
      <c r="N81" s="22"/>
      <c r="O81" s="22"/>
      <c r="P81" s="16"/>
      <c r="Q81" s="16"/>
    </row>
    <row r="82" spans="1:17">
      <c r="A82" s="25"/>
      <c r="B82" s="19"/>
      <c r="C82" s="26" t="s">
        <v>31</v>
      </c>
      <c r="D82" s="27">
        <f>SUM(D61:D81)</f>
        <v>4464000</v>
      </c>
      <c r="E82" s="27"/>
      <c r="F82" s="27"/>
      <c r="G82" s="27"/>
      <c r="H82" s="27"/>
      <c r="J82" s="25"/>
      <c r="K82" s="19"/>
      <c r="L82" s="26" t="s">
        <v>31</v>
      </c>
      <c r="M82" s="27">
        <f>SUM(M61:M81)</f>
        <v>3658000</v>
      </c>
      <c r="N82" s="27"/>
      <c r="O82" s="27"/>
      <c r="P82" s="27"/>
      <c r="Q82" s="27"/>
    </row>
    <row r="83" spans="1:17">
      <c r="A83" s="20"/>
      <c r="B83" s="19"/>
      <c r="C83" s="11" t="s">
        <v>21</v>
      </c>
      <c r="D83" s="10"/>
      <c r="E83" s="530">
        <f>D82</f>
        <v>4464000</v>
      </c>
      <c r="F83" s="530"/>
      <c r="G83" s="530"/>
      <c r="H83" s="530"/>
      <c r="J83" s="20"/>
      <c r="K83" s="19"/>
      <c r="L83" s="73" t="s">
        <v>21</v>
      </c>
      <c r="M83" s="10"/>
      <c r="N83" s="530">
        <f>M82</f>
        <v>3658000</v>
      </c>
      <c r="O83" s="530"/>
      <c r="P83" s="530"/>
      <c r="Q83" s="530"/>
    </row>
    <row r="84" spans="1:17">
      <c r="A84" s="527" t="s">
        <v>32</v>
      </c>
      <c r="B84" s="528"/>
      <c r="C84" s="528"/>
      <c r="D84" s="528"/>
      <c r="E84" s="528"/>
      <c r="F84" s="528"/>
      <c r="G84" s="528"/>
      <c r="H84" s="529"/>
      <c r="J84" s="527" t="s">
        <v>32</v>
      </c>
      <c r="K84" s="528"/>
      <c r="L84" s="528"/>
      <c r="M84" s="528"/>
      <c r="N84" s="528"/>
      <c r="O84" s="528"/>
      <c r="P84" s="528"/>
      <c r="Q84" s="529"/>
    </row>
    <row r="85" spans="1:17">
      <c r="A85" s="12"/>
      <c r="B85" s="13" t="s">
        <v>33</v>
      </c>
      <c r="C85" s="22" t="s">
        <v>53</v>
      </c>
      <c r="D85" s="22">
        <v>220000</v>
      </c>
      <c r="E85" s="11"/>
      <c r="F85" s="11"/>
      <c r="G85" s="11"/>
      <c r="H85" s="11"/>
      <c r="J85" s="12"/>
      <c r="K85" s="13" t="s">
        <v>33</v>
      </c>
      <c r="L85" s="22" t="s">
        <v>53</v>
      </c>
      <c r="M85" s="22">
        <v>220000</v>
      </c>
      <c r="N85" s="73"/>
      <c r="O85" s="73"/>
      <c r="P85" s="73"/>
      <c r="Q85" s="73"/>
    </row>
    <row r="86" spans="1:17">
      <c r="A86" s="12"/>
      <c r="B86" s="13"/>
      <c r="C86" s="22"/>
      <c r="D86" s="29"/>
      <c r="E86" s="11"/>
      <c r="F86" s="11"/>
      <c r="G86" s="11"/>
      <c r="H86" s="11"/>
      <c r="J86" s="12"/>
      <c r="K86" s="13"/>
      <c r="L86" s="22"/>
      <c r="M86" s="29"/>
      <c r="N86" s="73"/>
      <c r="O86" s="73"/>
      <c r="P86" s="73"/>
      <c r="Q86" s="73"/>
    </row>
    <row r="87" spans="1:17">
      <c r="A87" s="12"/>
      <c r="B87" s="13"/>
      <c r="C87" s="26" t="s">
        <v>34</v>
      </c>
      <c r="D87" s="27">
        <f>SUM(D85:D86)</f>
        <v>220000</v>
      </c>
      <c r="E87" s="27">
        <v>0</v>
      </c>
      <c r="F87" s="27">
        <v>0</v>
      </c>
      <c r="G87" s="27"/>
      <c r="H87" s="27"/>
      <c r="J87" s="12"/>
      <c r="K87" s="13"/>
      <c r="L87" s="26" t="s">
        <v>34</v>
      </c>
      <c r="M87" s="27">
        <f>SUM(M85:M86)</f>
        <v>220000</v>
      </c>
      <c r="N87" s="27">
        <v>0</v>
      </c>
      <c r="O87" s="27">
        <v>0</v>
      </c>
      <c r="P87" s="27"/>
      <c r="Q87" s="27"/>
    </row>
    <row r="88" spans="1:17">
      <c r="A88" s="20"/>
      <c r="B88" s="19"/>
      <c r="C88" s="11" t="s">
        <v>21</v>
      </c>
      <c r="D88" s="10"/>
      <c r="E88" s="531">
        <f>D87</f>
        <v>220000</v>
      </c>
      <c r="F88" s="532"/>
      <c r="G88" s="532"/>
      <c r="H88" s="533"/>
      <c r="J88" s="20"/>
      <c r="K88" s="19"/>
      <c r="L88" s="73" t="s">
        <v>21</v>
      </c>
      <c r="M88" s="10"/>
      <c r="N88" s="531">
        <f>M87</f>
        <v>220000</v>
      </c>
      <c r="O88" s="532"/>
      <c r="P88" s="532"/>
      <c r="Q88" s="533"/>
    </row>
    <row r="89" spans="1:17">
      <c r="A89" s="525" t="s">
        <v>35</v>
      </c>
      <c r="B89" s="525"/>
      <c r="C89" s="525"/>
      <c r="D89" s="31"/>
      <c r="E89" s="526">
        <f>E47+E52+E83+E88+E59</f>
        <v>16358000</v>
      </c>
      <c r="F89" s="526"/>
      <c r="G89" s="526"/>
      <c r="H89" s="526"/>
      <c r="J89" s="525" t="s">
        <v>35</v>
      </c>
      <c r="K89" s="525"/>
      <c r="L89" s="525"/>
      <c r="M89" s="75"/>
      <c r="N89" s="526">
        <f>N47+N52+N83+N88+N59</f>
        <v>15552000</v>
      </c>
      <c r="O89" s="526"/>
      <c r="P89" s="526"/>
      <c r="Q89" s="526"/>
    </row>
    <row r="90" spans="1:17">
      <c r="A90" s="522" t="s">
        <v>36</v>
      </c>
      <c r="B90" s="522"/>
      <c r="C90" s="522"/>
      <c r="D90" s="32"/>
      <c r="E90" s="523">
        <f>+E30+E89</f>
        <v>17381000</v>
      </c>
      <c r="F90" s="523"/>
      <c r="G90" s="523"/>
      <c r="H90" s="523"/>
      <c r="J90" s="522" t="s">
        <v>36</v>
      </c>
      <c r="K90" s="522"/>
      <c r="L90" s="522"/>
      <c r="M90" s="76"/>
      <c r="N90" s="523">
        <f>+N30+N89</f>
        <v>16575000</v>
      </c>
      <c r="O90" s="523"/>
      <c r="P90" s="523"/>
      <c r="Q90" s="523"/>
    </row>
    <row r="91" spans="1:17">
      <c r="A91" s="524" t="s">
        <v>32</v>
      </c>
      <c r="B91" s="524"/>
      <c r="C91" s="524"/>
      <c r="D91" s="524"/>
      <c r="E91" s="524"/>
      <c r="F91" s="524"/>
      <c r="G91" s="524"/>
      <c r="H91" s="524"/>
      <c r="J91" s="524" t="s">
        <v>32</v>
      </c>
      <c r="K91" s="524"/>
      <c r="L91" s="524"/>
      <c r="M91" s="524"/>
      <c r="N91" s="524"/>
      <c r="O91" s="524"/>
      <c r="P91" s="524"/>
      <c r="Q91" s="524"/>
    </row>
    <row r="92" spans="1:17">
      <c r="A92" s="33"/>
      <c r="B92" s="13"/>
      <c r="C92" s="22"/>
      <c r="D92" s="22"/>
      <c r="E92" s="22"/>
      <c r="F92" s="22"/>
      <c r="G92" s="16"/>
      <c r="H92" s="16"/>
      <c r="J92" s="33"/>
      <c r="K92" s="13" t="s">
        <v>92</v>
      </c>
      <c r="L92" s="22" t="s">
        <v>93</v>
      </c>
      <c r="M92" s="22">
        <v>1750000</v>
      </c>
      <c r="N92" s="22"/>
      <c r="O92" s="22"/>
      <c r="P92" s="16"/>
      <c r="Q92" s="16"/>
    </row>
    <row r="93" spans="1:17">
      <c r="A93" s="33"/>
      <c r="B93" s="13"/>
      <c r="C93" s="22"/>
      <c r="D93" s="22"/>
      <c r="E93" s="22"/>
      <c r="F93" s="22"/>
      <c r="G93" s="16"/>
      <c r="H93" s="16"/>
      <c r="J93" s="33"/>
      <c r="K93" s="13"/>
      <c r="L93" s="22"/>
      <c r="M93" s="22"/>
      <c r="N93" s="22"/>
      <c r="O93" s="22"/>
      <c r="P93" s="16"/>
      <c r="Q93" s="16"/>
    </row>
    <row r="94" spans="1:17">
      <c r="A94" s="33"/>
      <c r="B94" s="13"/>
      <c r="C94" s="22"/>
      <c r="D94" s="22"/>
      <c r="E94" s="22"/>
      <c r="F94" s="22"/>
      <c r="G94" s="16"/>
      <c r="H94" s="16"/>
      <c r="J94" s="33"/>
      <c r="K94" s="13"/>
      <c r="L94" s="22"/>
      <c r="M94" s="22"/>
      <c r="N94" s="22"/>
      <c r="O94" s="22"/>
      <c r="P94" s="16"/>
      <c r="Q94" s="16"/>
    </row>
    <row r="95" spans="1:17">
      <c r="A95" s="20"/>
      <c r="B95" s="13"/>
      <c r="C95" s="22"/>
      <c r="D95" s="22"/>
      <c r="E95" s="22"/>
      <c r="F95" s="16"/>
      <c r="G95" s="16"/>
      <c r="H95" s="16"/>
      <c r="J95" s="20"/>
      <c r="K95" s="13"/>
      <c r="L95" s="22"/>
      <c r="M95" s="22"/>
      <c r="N95" s="22"/>
      <c r="O95" s="16"/>
      <c r="P95" s="16"/>
      <c r="Q95" s="16"/>
    </row>
    <row r="96" spans="1:17">
      <c r="A96" s="20"/>
      <c r="B96" s="13"/>
      <c r="C96" s="22"/>
      <c r="D96" s="22"/>
      <c r="E96" s="22"/>
      <c r="F96" s="16"/>
      <c r="G96" s="16"/>
      <c r="H96" s="16"/>
      <c r="J96" s="20"/>
      <c r="K96" s="13"/>
      <c r="L96" s="22"/>
      <c r="M96" s="22"/>
      <c r="N96" s="22"/>
      <c r="O96" s="16"/>
      <c r="P96" s="16"/>
      <c r="Q96" s="16"/>
    </row>
    <row r="97" spans="1:17">
      <c r="A97" s="525" t="s">
        <v>37</v>
      </c>
      <c r="B97" s="525"/>
      <c r="C97" s="525"/>
      <c r="D97" s="31">
        <f>SUM(D92:D96)</f>
        <v>0</v>
      </c>
      <c r="E97" s="526"/>
      <c r="F97" s="526"/>
      <c r="G97" s="526"/>
      <c r="H97" s="526"/>
      <c r="J97" s="525" t="s">
        <v>37</v>
      </c>
      <c r="K97" s="525"/>
      <c r="L97" s="525"/>
      <c r="M97" s="75">
        <f>SUM(M92:M96)</f>
        <v>1750000</v>
      </c>
      <c r="N97" s="526">
        <f>N90+M97</f>
        <v>18325000</v>
      </c>
      <c r="O97" s="526"/>
      <c r="P97" s="526"/>
      <c r="Q97" s="526"/>
    </row>
    <row r="98" spans="1:17">
      <c r="A98" s="34" t="s">
        <v>38</v>
      </c>
      <c r="B98" s="35"/>
      <c r="C98" s="31"/>
      <c r="D98" s="31"/>
      <c r="E98" s="36"/>
      <c r="F98" s="36"/>
      <c r="G98" s="526"/>
      <c r="H98" s="526"/>
      <c r="J98" s="34" t="s">
        <v>38</v>
      </c>
      <c r="K98" s="35"/>
      <c r="L98" s="75"/>
      <c r="M98" s="75"/>
      <c r="N98" s="74"/>
      <c r="O98" s="74"/>
      <c r="P98" s="526"/>
      <c r="Q98" s="526"/>
    </row>
    <row r="99" spans="1:17">
      <c r="A99" s="37"/>
      <c r="B99" s="38"/>
      <c r="C99" s="39"/>
      <c r="D99" s="39"/>
      <c r="E99" s="39"/>
      <c r="F99" s="39"/>
      <c r="G99" s="39"/>
      <c r="H99" s="39"/>
      <c r="J99" s="37"/>
      <c r="K99" s="38"/>
      <c r="L99" s="39"/>
      <c r="M99" s="39"/>
      <c r="N99" s="39"/>
      <c r="O99" s="39"/>
      <c r="P99" s="39"/>
      <c r="Q99" s="39"/>
    </row>
    <row r="100" spans="1:17">
      <c r="A100" s="519" t="s">
        <v>13</v>
      </c>
      <c r="B100" s="520"/>
      <c r="C100" s="520"/>
      <c r="D100" s="520"/>
      <c r="E100" s="521"/>
      <c r="F100" s="39"/>
      <c r="G100" s="39"/>
      <c r="H100" s="40"/>
      <c r="J100" s="519" t="s">
        <v>13</v>
      </c>
      <c r="K100" s="520"/>
      <c r="L100" s="520"/>
      <c r="M100" s="520"/>
      <c r="N100" s="521"/>
      <c r="O100" s="39"/>
      <c r="P100" s="39"/>
      <c r="Q100" s="40"/>
    </row>
    <row r="101" spans="1:17">
      <c r="A101" s="41" t="s">
        <v>39</v>
      </c>
      <c r="B101" s="42" t="s">
        <v>40</v>
      </c>
      <c r="C101" s="43" t="s">
        <v>41</v>
      </c>
      <c r="D101" s="43" t="s">
        <v>42</v>
      </c>
      <c r="E101" s="43" t="s">
        <v>43</v>
      </c>
      <c r="F101" s="39"/>
      <c r="G101" s="39"/>
      <c r="H101" s="39"/>
      <c r="J101" s="41" t="s">
        <v>39</v>
      </c>
      <c r="K101" s="42" t="s">
        <v>40</v>
      </c>
      <c r="L101" s="43" t="s">
        <v>41</v>
      </c>
      <c r="M101" s="43" t="s">
        <v>42</v>
      </c>
      <c r="N101" s="43" t="s">
        <v>43</v>
      </c>
      <c r="O101" s="39"/>
      <c r="P101" s="39"/>
      <c r="Q101" s="39"/>
    </row>
    <row r="102" spans="1:17">
      <c r="A102" s="41"/>
      <c r="B102" s="44"/>
      <c r="C102" s="45"/>
      <c r="D102" s="46"/>
      <c r="E102" s="46"/>
      <c r="F102" s="39"/>
      <c r="G102" s="39"/>
      <c r="H102" s="39"/>
      <c r="J102" s="41"/>
      <c r="K102" s="44"/>
      <c r="L102" s="45" t="s">
        <v>94</v>
      </c>
      <c r="M102" s="46">
        <v>18000000</v>
      </c>
      <c r="N102" s="46"/>
      <c r="O102" s="39"/>
      <c r="P102" s="39"/>
      <c r="Q102" s="39"/>
    </row>
    <row r="103" spans="1:17">
      <c r="A103" s="41"/>
      <c r="B103" s="44"/>
      <c r="C103" s="45"/>
      <c r="D103" s="46"/>
      <c r="E103" s="46"/>
      <c r="F103" s="39"/>
      <c r="G103" s="39"/>
      <c r="H103" s="39"/>
      <c r="J103" s="41"/>
      <c r="K103" s="44"/>
      <c r="L103" s="45"/>
      <c r="M103" s="46"/>
      <c r="N103" s="46"/>
      <c r="O103" s="39"/>
      <c r="P103" s="39"/>
      <c r="Q103" s="39"/>
    </row>
    <row r="104" spans="1:17">
      <c r="A104" s="41"/>
      <c r="B104" s="44"/>
      <c r="C104" s="45"/>
      <c r="D104" s="46"/>
      <c r="E104" s="46"/>
      <c r="F104" s="39"/>
      <c r="G104" s="39"/>
      <c r="H104" s="39"/>
      <c r="J104" s="41"/>
      <c r="K104" s="44"/>
      <c r="L104" s="45"/>
      <c r="M104" s="46"/>
      <c r="N104" s="46"/>
      <c r="O104" s="39"/>
      <c r="P104" s="39"/>
      <c r="Q104" s="39"/>
    </row>
    <row r="105" spans="1:17">
      <c r="A105" s="41"/>
      <c r="B105" s="44"/>
      <c r="C105" s="47"/>
      <c r="D105" s="46"/>
      <c r="E105" s="46"/>
      <c r="F105" s="39"/>
      <c r="G105" s="39"/>
      <c r="H105" s="39"/>
      <c r="J105" s="41"/>
      <c r="K105" s="44"/>
      <c r="L105" s="47"/>
      <c r="M105" s="46"/>
      <c r="N105" s="46"/>
      <c r="O105" s="39"/>
      <c r="P105" s="39"/>
      <c r="Q105" s="39"/>
    </row>
    <row r="106" spans="1:17">
      <c r="A106" s="41"/>
      <c r="B106" s="44"/>
      <c r="C106" s="46"/>
      <c r="D106" s="48"/>
      <c r="E106" s="46"/>
      <c r="F106" s="39"/>
      <c r="G106" s="39"/>
      <c r="H106" s="39"/>
      <c r="J106" s="41"/>
      <c r="K106" s="44"/>
      <c r="L106" s="46"/>
      <c r="M106" s="48"/>
      <c r="N106" s="46"/>
      <c r="O106" s="39"/>
      <c r="P106" s="39"/>
      <c r="Q106" s="39"/>
    </row>
    <row r="107" spans="1:17">
      <c r="A107" s="49"/>
      <c r="B107" s="50"/>
      <c r="C107" s="51" t="s">
        <v>44</v>
      </c>
      <c r="D107" s="51">
        <f>SUM(D102:D106)</f>
        <v>0</v>
      </c>
      <c r="E107" s="52"/>
      <c r="F107" s="39"/>
      <c r="G107" s="39"/>
      <c r="H107" s="39"/>
      <c r="J107" s="49"/>
      <c r="K107" s="50"/>
      <c r="L107" s="51" t="s">
        <v>44</v>
      </c>
      <c r="M107" s="51">
        <f>SUM(M102:M106)</f>
        <v>18000000</v>
      </c>
      <c r="N107" s="52"/>
      <c r="O107" s="39"/>
      <c r="P107" s="39"/>
      <c r="Q107" s="39"/>
    </row>
    <row r="108" spans="1:17">
      <c r="A108" s="53"/>
      <c r="B108" s="54"/>
      <c r="C108" s="55"/>
      <c r="D108" s="56"/>
      <c r="E108" s="3"/>
      <c r="F108" s="39"/>
      <c r="G108" s="39"/>
      <c r="H108" s="39"/>
      <c r="J108" s="53"/>
      <c r="K108" s="54"/>
      <c r="L108" s="55"/>
      <c r="M108" s="56"/>
      <c r="N108" s="3"/>
      <c r="O108" s="39"/>
      <c r="P108" s="40">
        <f>N97-M102</f>
        <v>325000</v>
      </c>
      <c r="Q108" s="39"/>
    </row>
  </sheetData>
  <mergeCells count="58">
    <mergeCell ref="J91:Q91"/>
    <mergeCell ref="J97:L97"/>
    <mergeCell ref="N97:Q97"/>
    <mergeCell ref="P98:Q98"/>
    <mergeCell ref="J100:N100"/>
    <mergeCell ref="J84:Q84"/>
    <mergeCell ref="N88:Q88"/>
    <mergeCell ref="J89:L89"/>
    <mergeCell ref="N89:Q89"/>
    <mergeCell ref="J90:L90"/>
    <mergeCell ref="N90:Q90"/>
    <mergeCell ref="N52:Q52"/>
    <mergeCell ref="J53:Q53"/>
    <mergeCell ref="N59:Q59"/>
    <mergeCell ref="J60:Q60"/>
    <mergeCell ref="N83:Q83"/>
    <mergeCell ref="J30:M30"/>
    <mergeCell ref="N30:Q30"/>
    <mergeCell ref="J31:Q31"/>
    <mergeCell ref="N47:Q47"/>
    <mergeCell ref="J48:Q48"/>
    <mergeCell ref="J3:Q3"/>
    <mergeCell ref="J11:L11"/>
    <mergeCell ref="J12:Q12"/>
    <mergeCell ref="J13:J14"/>
    <mergeCell ref="K13:K14"/>
    <mergeCell ref="L13:L14"/>
    <mergeCell ref="M13:M14"/>
    <mergeCell ref="N13:Q13"/>
    <mergeCell ref="A53:H53"/>
    <mergeCell ref="E59:H59"/>
    <mergeCell ref="E52:H52"/>
    <mergeCell ref="A3:H3"/>
    <mergeCell ref="A11:C11"/>
    <mergeCell ref="A12:H12"/>
    <mergeCell ref="A13:A14"/>
    <mergeCell ref="B13:B14"/>
    <mergeCell ref="C13:C14"/>
    <mergeCell ref="D13:D14"/>
    <mergeCell ref="E13:H13"/>
    <mergeCell ref="A30:D30"/>
    <mergeCell ref="E30:H30"/>
    <mergeCell ref="A31:H31"/>
    <mergeCell ref="E47:H47"/>
    <mergeCell ref="A48:H48"/>
    <mergeCell ref="A60:H60"/>
    <mergeCell ref="E83:H83"/>
    <mergeCell ref="A84:H84"/>
    <mergeCell ref="E88:H88"/>
    <mergeCell ref="A89:C89"/>
    <mergeCell ref="E89:H89"/>
    <mergeCell ref="A100:E100"/>
    <mergeCell ref="A90:C90"/>
    <mergeCell ref="E90:H90"/>
    <mergeCell ref="A91:H91"/>
    <mergeCell ref="A97:C97"/>
    <mergeCell ref="E97:H97"/>
    <mergeCell ref="G98:H98"/>
  </mergeCells>
  <pageMargins left="0.44" right="0.11811023622047245" top="0.52" bottom="0.64" header="0.11811023622047245" footer="0.31496062992125984"/>
  <pageSetup paperSize="9" scale="75" orientation="portrait" r:id="rId1"/>
  <rowBreaks count="1" manualBreakCount="1">
    <brk id="90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workbookViewId="0"/>
  </sheetViews>
  <sheetFormatPr defaultRowHeight="15"/>
  <cols>
    <col min="1" max="1" width="43" bestFit="1" customWidth="1"/>
    <col min="2" max="2" width="11.5703125" bestFit="1" customWidth="1"/>
    <col min="3" max="3" width="30.140625" bestFit="1" customWidth="1"/>
    <col min="4" max="4" width="10.5703125" bestFit="1" customWidth="1"/>
    <col min="5" max="5" width="71.28515625" bestFit="1" customWidth="1"/>
    <col min="6" max="6" width="10.5703125" bestFit="1" customWidth="1"/>
    <col min="7" max="7" width="63.140625" bestFit="1" customWidth="1"/>
    <col min="8" max="8" width="11.5703125" bestFit="1" customWidth="1"/>
    <col min="9" max="9" width="63.140625" bestFit="1" customWidth="1"/>
    <col min="10" max="10" width="10.5703125" bestFit="1" customWidth="1"/>
    <col min="11" max="12" width="0" hidden="1" customWidth="1"/>
  </cols>
  <sheetData>
    <row r="1" spans="1:13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  <c r="K1" s="539" t="s">
        <v>52</v>
      </c>
      <c r="L1" s="539"/>
    </row>
    <row r="2" spans="1:13">
      <c r="A2" s="15" t="s">
        <v>64</v>
      </c>
      <c r="B2" s="23">
        <v>440000</v>
      </c>
      <c r="C2" s="14" t="s">
        <v>63</v>
      </c>
      <c r="D2" s="15">
        <v>150000</v>
      </c>
      <c r="E2" s="15" t="s">
        <v>60</v>
      </c>
      <c r="F2" s="22">
        <v>390000</v>
      </c>
      <c r="G2" s="14" t="s">
        <v>19</v>
      </c>
      <c r="H2" s="15">
        <v>503500</v>
      </c>
      <c r="I2" s="15"/>
      <c r="J2" s="22"/>
      <c r="K2" s="22"/>
      <c r="L2" s="29"/>
    </row>
    <row r="3" spans="1:13" ht="15.75">
      <c r="A3" s="15" t="s">
        <v>69</v>
      </c>
      <c r="B3" s="23">
        <v>440000</v>
      </c>
      <c r="C3" s="15" t="s">
        <v>68</v>
      </c>
      <c r="D3" s="23">
        <v>750000</v>
      </c>
      <c r="E3" s="15" t="s">
        <v>76</v>
      </c>
      <c r="F3" s="23">
        <v>1940000</v>
      </c>
      <c r="G3" s="14" t="s">
        <v>73</v>
      </c>
      <c r="H3" s="15">
        <v>503500</v>
      </c>
      <c r="I3" s="15"/>
      <c r="J3" s="22"/>
      <c r="K3" s="60"/>
      <c r="L3" s="60"/>
    </row>
    <row r="4" spans="1:13">
      <c r="A4" s="23" t="s">
        <v>58</v>
      </c>
      <c r="B4" s="23">
        <v>220000</v>
      </c>
      <c r="C4" s="23" t="s">
        <v>57</v>
      </c>
      <c r="D4" s="23">
        <v>150000</v>
      </c>
      <c r="E4" s="15" t="s">
        <v>66</v>
      </c>
      <c r="F4" s="23">
        <v>1880000</v>
      </c>
      <c r="G4" s="14" t="s">
        <v>46</v>
      </c>
      <c r="H4" s="15">
        <v>16000</v>
      </c>
      <c r="I4" s="15"/>
      <c r="J4" s="22"/>
      <c r="K4" s="61"/>
      <c r="L4" s="61"/>
    </row>
    <row r="5" spans="1:13">
      <c r="A5" s="22" t="s">
        <v>53</v>
      </c>
      <c r="B5" s="22">
        <v>220000</v>
      </c>
      <c r="C5" s="22"/>
      <c r="D5" s="29"/>
      <c r="E5" s="15" t="s">
        <v>70</v>
      </c>
      <c r="F5" s="22">
        <v>40000</v>
      </c>
      <c r="G5" s="14" t="s">
        <v>61</v>
      </c>
      <c r="H5" s="15">
        <v>100000</v>
      </c>
      <c r="I5" s="14"/>
      <c r="J5" s="15"/>
      <c r="K5" s="62"/>
      <c r="L5" s="62"/>
    </row>
    <row r="6" spans="1:13">
      <c r="A6" s="22" t="s">
        <v>72</v>
      </c>
      <c r="B6" s="29">
        <v>760000</v>
      </c>
      <c r="C6" s="15"/>
      <c r="D6" s="22"/>
      <c r="E6" s="15"/>
      <c r="F6" s="22"/>
      <c r="G6" s="14" t="s">
        <v>67</v>
      </c>
      <c r="H6" s="15">
        <v>114000</v>
      </c>
      <c r="I6" s="14"/>
      <c r="J6" s="15"/>
      <c r="K6" s="62"/>
      <c r="L6" s="62"/>
    </row>
    <row r="7" spans="1:13">
      <c r="A7" s="63" t="s">
        <v>88</v>
      </c>
      <c r="B7" s="63">
        <v>700000</v>
      </c>
      <c r="C7" s="22"/>
      <c r="D7" s="29"/>
      <c r="E7" s="15"/>
      <c r="F7" s="22"/>
      <c r="G7" s="14" t="s">
        <v>28</v>
      </c>
      <c r="H7" s="15">
        <v>2372500</v>
      </c>
      <c r="I7" s="14"/>
      <c r="J7" s="15"/>
      <c r="K7" s="62"/>
      <c r="L7" s="62"/>
    </row>
    <row r="8" spans="1:13">
      <c r="A8" s="63"/>
      <c r="B8" s="63"/>
      <c r="C8" s="22"/>
      <c r="D8" s="29"/>
      <c r="E8" s="22"/>
      <c r="F8" s="29"/>
      <c r="G8" s="14" t="s">
        <v>90</v>
      </c>
      <c r="H8" s="15">
        <v>250000</v>
      </c>
      <c r="I8" s="22"/>
      <c r="J8" s="29"/>
      <c r="K8" s="62"/>
      <c r="L8" s="62"/>
    </row>
    <row r="9" spans="1:13">
      <c r="A9" s="64"/>
      <c r="B9" s="61"/>
      <c r="C9" s="22"/>
      <c r="D9" s="29"/>
      <c r="E9" s="61"/>
      <c r="F9" s="65"/>
      <c r="G9" s="14" t="s">
        <v>30</v>
      </c>
      <c r="H9" s="15">
        <v>1035500</v>
      </c>
      <c r="I9" s="22"/>
      <c r="J9" s="29"/>
      <c r="K9" s="62"/>
      <c r="L9" s="62"/>
    </row>
    <row r="10" spans="1:13">
      <c r="A10" s="64"/>
      <c r="B10" s="61"/>
      <c r="C10" s="66"/>
      <c r="D10" s="66"/>
      <c r="E10" s="61"/>
      <c r="F10" s="65"/>
      <c r="G10" s="14" t="s">
        <v>93</v>
      </c>
      <c r="H10" s="15">
        <v>1750000</v>
      </c>
      <c r="I10" s="22"/>
      <c r="J10" s="29"/>
      <c r="K10" s="62"/>
      <c r="L10" s="62"/>
    </row>
    <row r="11" spans="1:13">
      <c r="A11" s="64"/>
      <c r="B11" s="61"/>
      <c r="C11" s="66"/>
      <c r="D11" s="66"/>
      <c r="E11" s="61"/>
      <c r="F11" s="65"/>
      <c r="G11" s="15" t="s">
        <v>83</v>
      </c>
      <c r="H11" s="22">
        <v>900000</v>
      </c>
      <c r="I11" s="22"/>
      <c r="J11" s="29"/>
      <c r="K11" s="62"/>
      <c r="L11" s="62"/>
    </row>
    <row r="12" spans="1:13">
      <c r="A12" s="64"/>
      <c r="B12" s="61"/>
      <c r="C12" s="66"/>
      <c r="D12" s="66"/>
      <c r="E12" s="61"/>
      <c r="F12" s="65"/>
      <c r="G12" s="15" t="s">
        <v>82</v>
      </c>
      <c r="H12" s="22">
        <v>2000000</v>
      </c>
      <c r="I12" s="62"/>
      <c r="J12" s="67"/>
      <c r="K12" s="62"/>
      <c r="L12" s="62"/>
    </row>
    <row r="13" spans="1:13">
      <c r="A13" s="68"/>
      <c r="B13" s="69"/>
      <c r="C13" s="69"/>
      <c r="D13" s="69"/>
      <c r="E13" s="69"/>
      <c r="F13" s="69"/>
      <c r="G13" s="15" t="s">
        <v>85</v>
      </c>
      <c r="H13" s="22">
        <v>700000</v>
      </c>
      <c r="I13" s="68"/>
      <c r="J13" s="69"/>
      <c r="K13" s="68"/>
      <c r="L13" s="68"/>
    </row>
    <row r="14" spans="1:13">
      <c r="A14" s="68"/>
      <c r="B14" s="69"/>
      <c r="C14" s="69"/>
      <c r="D14" s="69"/>
      <c r="E14" s="69"/>
      <c r="F14" s="69"/>
      <c r="G14" s="14"/>
      <c r="H14" s="15"/>
      <c r="I14" s="68"/>
      <c r="J14" s="69"/>
      <c r="K14" s="68"/>
      <c r="L14" s="68"/>
    </row>
    <row r="15" spans="1:13">
      <c r="A15" s="70"/>
      <c r="B15" s="71">
        <f>SUM(B2:B14)</f>
        <v>2780000</v>
      </c>
      <c r="C15" s="71"/>
      <c r="D15" s="71">
        <f t="shared" ref="D15:L15" si="0">SUM(D2:D14)</f>
        <v>1050000</v>
      </c>
      <c r="E15" s="71"/>
      <c r="F15" s="71">
        <f t="shared" si="0"/>
        <v>4250000</v>
      </c>
      <c r="G15" s="71"/>
      <c r="H15" s="71">
        <f t="shared" si="0"/>
        <v>10245000</v>
      </c>
      <c r="I15" s="71"/>
      <c r="J15" s="71">
        <f t="shared" si="0"/>
        <v>0</v>
      </c>
      <c r="K15" s="71">
        <f t="shared" si="0"/>
        <v>0</v>
      </c>
      <c r="L15" s="71">
        <f t="shared" si="0"/>
        <v>0</v>
      </c>
      <c r="M15" s="72"/>
    </row>
    <row r="16" spans="1:13">
      <c r="C16" t="s">
        <v>98</v>
      </c>
      <c r="D16" s="77">
        <v>100000</v>
      </c>
    </row>
    <row r="17" spans="1:4">
      <c r="C17" s="72">
        <f>B2+B3+B4+B5</f>
        <v>1320000</v>
      </c>
      <c r="D17" s="72">
        <f>D15-D16</f>
        <v>950000</v>
      </c>
    </row>
    <row r="20" spans="1:4">
      <c r="A20" t="s">
        <v>95</v>
      </c>
      <c r="B20" s="72">
        <f>B15+D15+F15+H15+J15</f>
        <v>18325000</v>
      </c>
    </row>
    <row r="21" spans="1:4">
      <c r="A21" t="s">
        <v>96</v>
      </c>
      <c r="B21" s="72">
        <f>'Tgl 9'!M102</f>
        <v>18000000</v>
      </c>
    </row>
    <row r="23" spans="1:4">
      <c r="A23" t="s">
        <v>97</v>
      </c>
      <c r="B23" s="78">
        <f>B20-B21</f>
        <v>325000</v>
      </c>
    </row>
  </sheetData>
  <mergeCells count="1"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1"/>
  <sheetViews>
    <sheetView workbookViewId="0"/>
  </sheetViews>
  <sheetFormatPr defaultRowHeight="15"/>
  <cols>
    <col min="1" max="1" width="6.42578125" customWidth="1"/>
    <col min="2" max="2" width="10" bestFit="1" customWidth="1"/>
    <col min="3" max="3" width="54.28515625" customWidth="1"/>
    <col min="4" max="4" width="12.28515625" bestFit="1" customWidth="1"/>
    <col min="5" max="5" width="7.5703125" bestFit="1" customWidth="1"/>
    <col min="6" max="6" width="6.28515625" bestFit="1" customWidth="1"/>
    <col min="7" max="7" width="6" bestFit="1" customWidth="1"/>
    <col min="8" max="8" width="12" bestFit="1" customWidth="1"/>
    <col min="11" max="11" width="12" bestFit="1" customWidth="1"/>
    <col min="12" max="12" width="55.7109375" bestFit="1" customWidth="1"/>
    <col min="13" max="13" width="12.28515625" bestFit="1" customWidth="1"/>
    <col min="14" max="14" width="10.5703125" bestFit="1" customWidth="1"/>
    <col min="15" max="15" width="10.7109375" bestFit="1" customWidth="1"/>
    <col min="16" max="16" width="11.57031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119</v>
      </c>
      <c r="B2" s="2"/>
      <c r="C2" s="3"/>
      <c r="D2" s="3"/>
      <c r="E2" s="3"/>
      <c r="F2" s="3"/>
      <c r="G2" s="3"/>
      <c r="H2" s="3"/>
      <c r="J2" s="1" t="s">
        <v>119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0</v>
      </c>
      <c r="E4" s="6"/>
      <c r="F4" s="6"/>
      <c r="G4" s="6"/>
      <c r="H4" s="6"/>
      <c r="J4" s="4"/>
      <c r="K4" s="5"/>
      <c r="L4" s="6" t="s">
        <v>2</v>
      </c>
      <c r="M4" s="7">
        <v>0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118418079</v>
      </c>
      <c r="E5" s="6"/>
      <c r="F5" s="6"/>
      <c r="G5" s="6"/>
      <c r="H5" s="6"/>
      <c r="J5" s="4"/>
      <c r="K5" s="5"/>
      <c r="L5" s="6" t="s">
        <v>3</v>
      </c>
      <c r="M5" s="8">
        <v>118418079</v>
      </c>
      <c r="N5" s="6"/>
      <c r="O5" s="6"/>
      <c r="P5" s="6"/>
      <c r="Q5" s="6"/>
    </row>
    <row r="6" spans="1:17">
      <c r="A6" s="4"/>
      <c r="B6" s="5"/>
      <c r="C6" s="6" t="s">
        <v>4</v>
      </c>
      <c r="D6" s="9">
        <v>306369459</v>
      </c>
      <c r="E6" s="6"/>
      <c r="F6" s="6"/>
      <c r="G6" s="6"/>
      <c r="H6" s="6"/>
      <c r="J6" s="4"/>
      <c r="K6" s="5"/>
      <c r="L6" s="6" t="s">
        <v>4</v>
      </c>
      <c r="M6" s="9">
        <v>306369459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113</v>
      </c>
      <c r="B11" s="532"/>
      <c r="C11" s="532"/>
      <c r="D11" s="532"/>
      <c r="E11" s="532"/>
      <c r="F11" s="532"/>
      <c r="G11" s="533"/>
      <c r="H11" s="10">
        <f>SUM(D4:D9)</f>
        <v>431858084</v>
      </c>
      <c r="J11" s="531" t="s">
        <v>113</v>
      </c>
      <c r="K11" s="532"/>
      <c r="L11" s="532"/>
      <c r="M11" s="532"/>
      <c r="N11" s="532"/>
      <c r="O11" s="532"/>
      <c r="P11" s="533"/>
      <c r="Q11" s="10">
        <f>SUM(M4:M9)</f>
        <v>431858084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82" t="s">
        <v>14</v>
      </c>
      <c r="F14" s="82" t="s">
        <v>15</v>
      </c>
      <c r="G14" s="82" t="s">
        <v>16</v>
      </c>
      <c r="H14" s="82" t="s">
        <v>17</v>
      </c>
      <c r="J14" s="536"/>
      <c r="K14" s="537"/>
      <c r="L14" s="538"/>
      <c r="M14" s="538"/>
      <c r="N14" s="89" t="s">
        <v>14</v>
      </c>
      <c r="O14" s="89" t="s">
        <v>15</v>
      </c>
      <c r="P14" s="89" t="s">
        <v>16</v>
      </c>
      <c r="Q14" s="89" t="s">
        <v>17</v>
      </c>
    </row>
    <row r="15" spans="1:17">
      <c r="A15" s="12"/>
      <c r="B15" s="13" t="s">
        <v>103</v>
      </c>
      <c r="C15" s="14" t="s">
        <v>104</v>
      </c>
      <c r="D15" s="15">
        <v>500000</v>
      </c>
      <c r="E15" s="16"/>
      <c r="F15" s="16"/>
      <c r="G15" s="16"/>
      <c r="H15" s="16"/>
      <c r="J15" s="12"/>
      <c r="K15" s="13" t="s">
        <v>103</v>
      </c>
      <c r="L15" s="14" t="s">
        <v>104</v>
      </c>
      <c r="M15" s="15">
        <v>500000</v>
      </c>
      <c r="N15" s="16"/>
      <c r="O15" s="16"/>
      <c r="P15" s="16"/>
      <c r="Q15" s="16"/>
    </row>
    <row r="16" spans="1:17">
      <c r="A16" s="12"/>
      <c r="B16" s="13" t="s">
        <v>103</v>
      </c>
      <c r="C16" s="14" t="s">
        <v>105</v>
      </c>
      <c r="D16" s="15">
        <v>2000000</v>
      </c>
      <c r="E16" s="16"/>
      <c r="F16" s="16"/>
      <c r="G16" s="16"/>
      <c r="H16" s="16"/>
      <c r="J16" s="12"/>
      <c r="K16" s="13" t="s">
        <v>103</v>
      </c>
      <c r="L16" s="14" t="s">
        <v>105</v>
      </c>
      <c r="M16" s="15">
        <v>2000000</v>
      </c>
      <c r="N16" s="16"/>
      <c r="O16" s="16"/>
      <c r="P16" s="16"/>
      <c r="Q16" s="16"/>
    </row>
    <row r="17" spans="1:17">
      <c r="A17" s="12"/>
      <c r="B17" s="13" t="s">
        <v>103</v>
      </c>
      <c r="C17" s="14" t="s">
        <v>108</v>
      </c>
      <c r="D17" s="15">
        <f>150000+20000*6</f>
        <v>270000</v>
      </c>
      <c r="E17" s="16"/>
      <c r="F17" s="16"/>
      <c r="G17" s="16"/>
      <c r="H17" s="16"/>
      <c r="J17" s="12"/>
      <c r="K17" s="13" t="s">
        <v>103</v>
      </c>
      <c r="L17" s="14" t="s">
        <v>108</v>
      </c>
      <c r="M17" s="15">
        <f>150000+20000*6</f>
        <v>270000</v>
      </c>
      <c r="N17" s="16"/>
      <c r="O17" s="16"/>
      <c r="P17" s="16"/>
      <c r="Q17" s="16"/>
    </row>
    <row r="18" spans="1:17">
      <c r="A18" s="12"/>
      <c r="B18" s="13" t="s">
        <v>103</v>
      </c>
      <c r="C18" s="14" t="s">
        <v>118</v>
      </c>
      <c r="D18" s="15">
        <v>300000</v>
      </c>
      <c r="E18" s="16"/>
      <c r="F18" s="16"/>
      <c r="G18" s="16"/>
      <c r="H18" s="16"/>
      <c r="J18" s="12"/>
      <c r="K18" s="13" t="s">
        <v>103</v>
      </c>
      <c r="L18" s="14" t="s">
        <v>118</v>
      </c>
      <c r="M18" s="15">
        <v>300000</v>
      </c>
      <c r="N18" s="16"/>
      <c r="O18" s="16"/>
      <c r="P18" s="16"/>
      <c r="Q18" s="16"/>
    </row>
    <row r="19" spans="1:17" hidden="1">
      <c r="A19" s="12"/>
      <c r="B19" s="13"/>
      <c r="C19" s="14"/>
      <c r="D19" s="15"/>
      <c r="E19" s="16"/>
      <c r="F19" s="16"/>
      <c r="G19" s="16"/>
      <c r="H19" s="16"/>
      <c r="J19" s="12"/>
      <c r="K19" s="13"/>
      <c r="L19" s="14"/>
      <c r="M19" s="15"/>
      <c r="N19" s="16"/>
      <c r="O19" s="16"/>
      <c r="P19" s="16"/>
      <c r="Q19" s="16"/>
    </row>
    <row r="20" spans="1:17" hidden="1">
      <c r="A20" s="12"/>
      <c r="B20" s="13"/>
      <c r="C20" s="14"/>
      <c r="D20" s="15"/>
      <c r="E20" s="16"/>
      <c r="F20" s="16"/>
      <c r="G20" s="16"/>
      <c r="H20" s="16"/>
      <c r="J20" s="12"/>
      <c r="K20" s="13"/>
      <c r="L20" s="14"/>
      <c r="M20" s="15"/>
      <c r="N20" s="16"/>
      <c r="O20" s="16"/>
      <c r="P20" s="16"/>
      <c r="Q20" s="16"/>
    </row>
    <row r="21" spans="1:17" hidden="1">
      <c r="A21" s="12"/>
      <c r="B21" s="13"/>
      <c r="C21" s="14"/>
      <c r="D21" s="15"/>
      <c r="E21" s="16"/>
      <c r="F21" s="16"/>
      <c r="G21" s="16"/>
      <c r="H21" s="16"/>
      <c r="J21" s="12"/>
      <c r="K21" s="13"/>
      <c r="L21" s="14"/>
      <c r="M21" s="15"/>
      <c r="N21" s="16"/>
      <c r="O21" s="16"/>
      <c r="P21" s="16"/>
      <c r="Q21" s="16"/>
    </row>
    <row r="22" spans="1:17" hidden="1">
      <c r="A22" s="12"/>
      <c r="B22" s="13"/>
      <c r="C22" s="14"/>
      <c r="D22" s="15"/>
      <c r="E22" s="16"/>
      <c r="F22" s="16"/>
      <c r="G22" s="16"/>
      <c r="H22" s="16"/>
      <c r="J22" s="12"/>
      <c r="K22" s="13"/>
      <c r="L22" s="14"/>
      <c r="M22" s="15"/>
      <c r="N22" s="16"/>
      <c r="O22" s="16"/>
      <c r="P22" s="16"/>
      <c r="Q22" s="16"/>
    </row>
    <row r="23" spans="1:17" hidden="1">
      <c r="A23" s="12"/>
      <c r="B23" s="13"/>
      <c r="C23" s="14"/>
      <c r="D23" s="15"/>
      <c r="E23" s="16"/>
      <c r="F23" s="16"/>
      <c r="G23" s="16"/>
      <c r="H23" s="16"/>
      <c r="J23" s="12"/>
      <c r="K23" s="13"/>
      <c r="L23" s="14"/>
      <c r="M23" s="15"/>
      <c r="N23" s="16"/>
      <c r="O23" s="16"/>
      <c r="P23" s="16"/>
      <c r="Q23" s="16"/>
    </row>
    <row r="24" spans="1:17" hidden="1">
      <c r="A24" s="12"/>
      <c r="B24" s="13"/>
      <c r="C24" s="14"/>
      <c r="D24" s="15"/>
      <c r="E24" s="16"/>
      <c r="F24" s="16"/>
      <c r="G24" s="16"/>
      <c r="H24" s="16"/>
      <c r="J24" s="12"/>
      <c r="K24" s="13"/>
      <c r="L24" s="14"/>
      <c r="M24" s="15"/>
      <c r="N24" s="16"/>
      <c r="O24" s="16"/>
      <c r="P24" s="16"/>
      <c r="Q24" s="16"/>
    </row>
    <row r="25" spans="1:17" hidden="1">
      <c r="A25" s="12"/>
      <c r="B25" s="13"/>
      <c r="C25" s="14"/>
      <c r="D25" s="15"/>
      <c r="E25" s="16"/>
      <c r="F25" s="16"/>
      <c r="G25" s="16"/>
      <c r="H25" s="16"/>
      <c r="J25" s="12"/>
      <c r="K25" s="13"/>
      <c r="L25" s="14"/>
      <c r="M25" s="15"/>
      <c r="N25" s="16"/>
      <c r="O25" s="16"/>
      <c r="P25" s="16"/>
      <c r="Q25" s="16"/>
    </row>
    <row r="26" spans="1:17" hidden="1">
      <c r="A26" s="12"/>
      <c r="B26" s="17"/>
      <c r="C26" s="14"/>
      <c r="D26" s="15"/>
      <c r="E26" s="16"/>
      <c r="F26" s="16"/>
      <c r="G26" s="16"/>
      <c r="H26" s="16"/>
      <c r="J26" s="12"/>
      <c r="K26" s="17"/>
      <c r="L26" s="14"/>
      <c r="M26" s="15"/>
      <c r="N26" s="16"/>
      <c r="O26" s="16"/>
      <c r="P26" s="16"/>
      <c r="Q26" s="16"/>
    </row>
    <row r="27" spans="1:17" hidden="1">
      <c r="A27" s="12"/>
      <c r="B27" s="17"/>
      <c r="C27" s="14"/>
      <c r="D27" s="15"/>
      <c r="E27" s="16"/>
      <c r="F27" s="16"/>
      <c r="G27" s="16"/>
      <c r="H27" s="16"/>
      <c r="J27" s="12"/>
      <c r="K27" s="17"/>
      <c r="L27" s="14"/>
      <c r="M27" s="15"/>
      <c r="N27" s="16"/>
      <c r="O27" s="16"/>
      <c r="P27" s="16"/>
      <c r="Q27" s="16"/>
    </row>
    <row r="28" spans="1:17">
      <c r="A28" s="18"/>
      <c r="B28" s="19"/>
      <c r="C28" s="82" t="s">
        <v>20</v>
      </c>
      <c r="D28" s="10">
        <f>SUM(D15:D27)</f>
        <v>3070000</v>
      </c>
      <c r="E28" s="10"/>
      <c r="F28" s="10"/>
      <c r="G28" s="10"/>
      <c r="H28" s="10"/>
      <c r="J28" s="18"/>
      <c r="K28" s="19"/>
      <c r="L28" s="89" t="s">
        <v>20</v>
      </c>
      <c r="M28" s="10">
        <f>SUM(M15:M27)</f>
        <v>3070000</v>
      </c>
      <c r="N28" s="10"/>
      <c r="O28" s="10"/>
      <c r="P28" s="10"/>
      <c r="Q28" s="10"/>
    </row>
    <row r="29" spans="1:17">
      <c r="A29" s="20"/>
      <c r="B29" s="531" t="s">
        <v>21</v>
      </c>
      <c r="C29" s="532"/>
      <c r="D29" s="532"/>
      <c r="E29" s="532"/>
      <c r="F29" s="532"/>
      <c r="G29" s="533"/>
      <c r="H29" s="21">
        <f>+D28</f>
        <v>3070000</v>
      </c>
      <c r="J29" s="20"/>
      <c r="K29" s="531" t="s">
        <v>21</v>
      </c>
      <c r="L29" s="532"/>
      <c r="M29" s="532"/>
      <c r="N29" s="532"/>
      <c r="O29" s="532"/>
      <c r="P29" s="533"/>
      <c r="Q29" s="21">
        <f>+M28</f>
        <v>3070000</v>
      </c>
    </row>
    <row r="30" spans="1:17">
      <c r="A30" s="526" t="s">
        <v>22</v>
      </c>
      <c r="B30" s="526"/>
      <c r="C30" s="526"/>
      <c r="D30" s="526"/>
      <c r="E30" s="526">
        <f>+H29</f>
        <v>3070000</v>
      </c>
      <c r="F30" s="526"/>
      <c r="G30" s="526"/>
      <c r="H30" s="526"/>
      <c r="J30" s="526" t="s">
        <v>22</v>
      </c>
      <c r="K30" s="526"/>
      <c r="L30" s="526"/>
      <c r="M30" s="526"/>
      <c r="N30" s="526">
        <f>+Q29</f>
        <v>3070000</v>
      </c>
      <c r="O30" s="526"/>
      <c r="P30" s="526"/>
      <c r="Q30" s="526"/>
    </row>
    <row r="31" spans="1:17">
      <c r="A31" s="524" t="s">
        <v>23</v>
      </c>
      <c r="B31" s="524"/>
      <c r="C31" s="524"/>
      <c r="D31" s="524"/>
      <c r="E31" s="524"/>
      <c r="F31" s="524"/>
      <c r="G31" s="524"/>
      <c r="H31" s="524"/>
      <c r="J31" s="524" t="s">
        <v>23</v>
      </c>
      <c r="K31" s="524"/>
      <c r="L31" s="524"/>
      <c r="M31" s="524"/>
      <c r="N31" s="524"/>
      <c r="O31" s="524"/>
      <c r="P31" s="524"/>
      <c r="Q31" s="524"/>
    </row>
    <row r="32" spans="1:17">
      <c r="A32" s="12"/>
      <c r="B32" s="13" t="s">
        <v>120</v>
      </c>
      <c r="C32" s="15" t="s">
        <v>106</v>
      </c>
      <c r="D32" s="22">
        <v>4068000</v>
      </c>
      <c r="E32" s="22"/>
      <c r="F32" s="22"/>
      <c r="G32" s="16"/>
      <c r="H32" s="16"/>
      <c r="J32" s="12"/>
      <c r="K32" s="13" t="s">
        <v>120</v>
      </c>
      <c r="L32" s="15" t="s">
        <v>106</v>
      </c>
      <c r="M32" s="22">
        <v>4068000</v>
      </c>
      <c r="N32" s="22"/>
      <c r="O32" s="22"/>
      <c r="P32" s="16"/>
      <c r="Q32" s="16"/>
    </row>
    <row r="33" spans="1:17">
      <c r="A33" s="12"/>
      <c r="B33" s="13" t="s">
        <v>121</v>
      </c>
      <c r="C33" s="15" t="s">
        <v>102</v>
      </c>
      <c r="D33" s="22">
        <v>311500</v>
      </c>
      <c r="E33" s="22"/>
      <c r="F33" s="22"/>
      <c r="G33" s="16"/>
      <c r="H33" s="16"/>
      <c r="J33" s="12"/>
      <c r="K33" s="13" t="s">
        <v>121</v>
      </c>
      <c r="L33" s="15" t="s">
        <v>102</v>
      </c>
      <c r="M33" s="22">
        <v>311500</v>
      </c>
      <c r="N33" s="22"/>
      <c r="O33" s="22"/>
      <c r="P33" s="16"/>
      <c r="Q33" s="16"/>
    </row>
    <row r="34" spans="1:17">
      <c r="A34" s="12"/>
      <c r="B34" s="13" t="s">
        <v>123</v>
      </c>
      <c r="C34" s="15" t="s">
        <v>122</v>
      </c>
      <c r="D34" s="22">
        <v>110000</v>
      </c>
      <c r="E34" s="22"/>
      <c r="F34" s="22"/>
      <c r="G34" s="16"/>
      <c r="H34" s="16"/>
      <c r="J34" s="12"/>
      <c r="K34" s="13" t="s">
        <v>123</v>
      </c>
      <c r="L34" s="15" t="s">
        <v>122</v>
      </c>
      <c r="M34" s="22">
        <v>1110000</v>
      </c>
      <c r="N34" s="22"/>
      <c r="O34" s="22"/>
      <c r="P34" s="16"/>
      <c r="Q34" s="16"/>
    </row>
    <row r="35" spans="1:17">
      <c r="A35" s="12"/>
      <c r="B35" s="13" t="s">
        <v>123</v>
      </c>
      <c r="C35" s="15" t="s">
        <v>64</v>
      </c>
      <c r="D35" s="23">
        <v>220000</v>
      </c>
      <c r="E35" s="22"/>
      <c r="F35" s="22"/>
      <c r="G35" s="16"/>
      <c r="H35" s="16"/>
      <c r="J35" s="12"/>
      <c r="K35" s="13" t="s">
        <v>123</v>
      </c>
      <c r="L35" s="15" t="s">
        <v>64</v>
      </c>
      <c r="M35" s="23">
        <v>220000</v>
      </c>
      <c r="N35" s="22"/>
      <c r="O35" s="22"/>
      <c r="P35" s="16"/>
      <c r="Q35" s="16"/>
    </row>
    <row r="36" spans="1:17">
      <c r="A36" s="12"/>
      <c r="B36" s="13" t="s">
        <v>124</v>
      </c>
      <c r="C36" s="15" t="s">
        <v>125</v>
      </c>
      <c r="D36" s="23">
        <v>2480000</v>
      </c>
      <c r="E36" s="22"/>
      <c r="F36" s="22"/>
      <c r="G36" s="16"/>
      <c r="H36" s="16"/>
      <c r="J36" s="12"/>
      <c r="K36" s="13" t="s">
        <v>124</v>
      </c>
      <c r="L36" s="15" t="s">
        <v>125</v>
      </c>
      <c r="M36" s="23">
        <v>2480000</v>
      </c>
      <c r="N36" s="22"/>
      <c r="O36" s="22"/>
      <c r="P36" s="16"/>
      <c r="Q36" s="16"/>
    </row>
    <row r="37" spans="1:17">
      <c r="A37" s="12"/>
      <c r="B37" s="13" t="s">
        <v>124</v>
      </c>
      <c r="C37" s="15" t="s">
        <v>68</v>
      </c>
      <c r="D37" s="23">
        <f>150000*2</f>
        <v>300000</v>
      </c>
      <c r="E37" s="22"/>
      <c r="F37" s="22"/>
      <c r="G37" s="16"/>
      <c r="H37" s="16"/>
      <c r="J37" s="12"/>
      <c r="K37" s="13" t="s">
        <v>124</v>
      </c>
      <c r="L37" s="15" t="s">
        <v>68</v>
      </c>
      <c r="M37" s="23">
        <f>150000*2</f>
        <v>300000</v>
      </c>
      <c r="N37" s="22"/>
      <c r="O37" s="22"/>
      <c r="P37" s="16"/>
      <c r="Q37" s="16"/>
    </row>
    <row r="38" spans="1:17">
      <c r="A38" s="12"/>
      <c r="B38" s="13"/>
      <c r="C38" s="15"/>
      <c r="D38" s="22"/>
      <c r="E38" s="22"/>
      <c r="F38" s="22"/>
      <c r="G38" s="16"/>
      <c r="H38" s="16"/>
      <c r="J38" s="12"/>
      <c r="K38" s="13"/>
      <c r="L38" s="15"/>
      <c r="M38" s="22"/>
      <c r="N38" s="22"/>
      <c r="O38" s="22"/>
      <c r="P38" s="16"/>
      <c r="Q38" s="16"/>
    </row>
    <row r="39" spans="1:17">
      <c r="A39" s="25"/>
      <c r="B39" s="19"/>
      <c r="C39" s="26" t="s">
        <v>24</v>
      </c>
      <c r="D39" s="27">
        <f>SUM(D32:D38)</f>
        <v>7489500</v>
      </c>
      <c r="E39" s="27"/>
      <c r="F39" s="27"/>
      <c r="G39" s="27"/>
      <c r="H39" s="27"/>
      <c r="J39" s="25"/>
      <c r="K39" s="19"/>
      <c r="L39" s="26" t="s">
        <v>24</v>
      </c>
      <c r="M39" s="27">
        <f>SUM(M32:M38)</f>
        <v>8489500</v>
      </c>
      <c r="N39" s="27"/>
      <c r="O39" s="27"/>
      <c r="P39" s="27"/>
      <c r="Q39" s="27"/>
    </row>
    <row r="40" spans="1:17">
      <c r="A40" s="20"/>
      <c r="B40" s="19"/>
      <c r="C40" s="82" t="s">
        <v>21</v>
      </c>
      <c r="D40" s="10"/>
      <c r="E40" s="530">
        <f>D39</f>
        <v>7489500</v>
      </c>
      <c r="F40" s="530"/>
      <c r="G40" s="530"/>
      <c r="H40" s="530"/>
      <c r="J40" s="20"/>
      <c r="K40" s="19"/>
      <c r="L40" s="89" t="s">
        <v>21</v>
      </c>
      <c r="M40" s="10"/>
      <c r="N40" s="530">
        <f>M39</f>
        <v>8489500</v>
      </c>
      <c r="O40" s="530"/>
      <c r="P40" s="530"/>
      <c r="Q40" s="530"/>
    </row>
    <row r="41" spans="1:17" hidden="1">
      <c r="A41" s="524" t="s">
        <v>87</v>
      </c>
      <c r="B41" s="524"/>
      <c r="C41" s="524"/>
      <c r="D41" s="524"/>
      <c r="E41" s="524"/>
      <c r="F41" s="524"/>
      <c r="G41" s="524"/>
      <c r="H41" s="524"/>
      <c r="J41" s="524" t="s">
        <v>87</v>
      </c>
      <c r="K41" s="524"/>
      <c r="L41" s="524"/>
      <c r="M41" s="524"/>
      <c r="N41" s="524"/>
      <c r="O41" s="524"/>
      <c r="P41" s="524"/>
      <c r="Q41" s="524"/>
    </row>
    <row r="42" spans="1:17" hidden="1">
      <c r="A42" s="28"/>
      <c r="B42" s="23" t="s">
        <v>71</v>
      </c>
      <c r="C42" s="23" t="s">
        <v>72</v>
      </c>
      <c r="D42" s="23"/>
      <c r="E42" s="28"/>
      <c r="F42" s="28"/>
      <c r="G42" s="28"/>
      <c r="H42" s="28"/>
      <c r="J42" s="28"/>
      <c r="K42" s="23" t="s">
        <v>71</v>
      </c>
      <c r="L42" s="23" t="s">
        <v>72</v>
      </c>
      <c r="M42" s="23"/>
      <c r="N42" s="28"/>
      <c r="O42" s="28"/>
      <c r="P42" s="28"/>
      <c r="Q42" s="28"/>
    </row>
    <row r="43" spans="1:17" hidden="1">
      <c r="A43" s="28"/>
      <c r="B43" s="23" t="s">
        <v>86</v>
      </c>
      <c r="C43" s="23" t="s">
        <v>88</v>
      </c>
      <c r="D43" s="23"/>
      <c r="E43" s="28"/>
      <c r="F43" s="28"/>
      <c r="G43" s="28"/>
      <c r="H43" s="28"/>
      <c r="J43" s="28"/>
      <c r="K43" s="23" t="s">
        <v>86</v>
      </c>
      <c r="L43" s="23" t="s">
        <v>88</v>
      </c>
      <c r="M43" s="23"/>
      <c r="N43" s="28"/>
      <c r="O43" s="28"/>
      <c r="P43" s="28"/>
      <c r="Q43" s="28"/>
    </row>
    <row r="44" spans="1:17" hidden="1">
      <c r="A44" s="12"/>
      <c r="B44" s="13"/>
      <c r="C44" s="26" t="s">
        <v>25</v>
      </c>
      <c r="D44" s="27">
        <f>SUM(D42:D43)</f>
        <v>0</v>
      </c>
      <c r="E44" s="27">
        <v>0</v>
      </c>
      <c r="F44" s="27">
        <v>0</v>
      </c>
      <c r="G44" s="27"/>
      <c r="H44" s="27"/>
      <c r="J44" s="12"/>
      <c r="K44" s="13"/>
      <c r="L44" s="26" t="s">
        <v>25</v>
      </c>
      <c r="M44" s="27">
        <f>SUM(M42:M43)</f>
        <v>0</v>
      </c>
      <c r="N44" s="27">
        <v>0</v>
      </c>
      <c r="O44" s="27">
        <v>0</v>
      </c>
      <c r="P44" s="27"/>
      <c r="Q44" s="27"/>
    </row>
    <row r="45" spans="1:17" hidden="1">
      <c r="A45" s="20"/>
      <c r="B45" s="19"/>
      <c r="C45" s="82" t="s">
        <v>21</v>
      </c>
      <c r="D45" s="10"/>
      <c r="E45" s="530">
        <f>D44</f>
        <v>0</v>
      </c>
      <c r="F45" s="530"/>
      <c r="G45" s="530"/>
      <c r="H45" s="530"/>
      <c r="J45" s="20"/>
      <c r="K45" s="19"/>
      <c r="L45" s="89" t="s">
        <v>21</v>
      </c>
      <c r="M45" s="10"/>
      <c r="N45" s="530">
        <f>M44</f>
        <v>0</v>
      </c>
      <c r="O45" s="530"/>
      <c r="P45" s="530"/>
      <c r="Q45" s="530"/>
    </row>
    <row r="46" spans="1:17">
      <c r="A46" s="524" t="s">
        <v>54</v>
      </c>
      <c r="B46" s="524"/>
      <c r="C46" s="524"/>
      <c r="D46" s="524"/>
      <c r="E46" s="524"/>
      <c r="F46" s="524"/>
      <c r="G46" s="524"/>
      <c r="H46" s="524"/>
      <c r="J46" s="524" t="s">
        <v>54</v>
      </c>
      <c r="K46" s="524"/>
      <c r="L46" s="524"/>
      <c r="M46" s="524"/>
      <c r="N46" s="524"/>
      <c r="O46" s="524"/>
      <c r="P46" s="524"/>
      <c r="Q46" s="524"/>
    </row>
    <row r="47" spans="1:17">
      <c r="A47" s="28"/>
      <c r="B47" s="23" t="s">
        <v>126</v>
      </c>
      <c r="C47" s="23" t="s">
        <v>58</v>
      </c>
      <c r="D47" s="23">
        <f>220000*3</f>
        <v>660000</v>
      </c>
      <c r="E47" s="28"/>
      <c r="F47" s="28"/>
      <c r="G47" s="28"/>
      <c r="H47" s="28"/>
      <c r="J47" s="28"/>
      <c r="K47" s="23" t="s">
        <v>126</v>
      </c>
      <c r="L47" s="23" t="s">
        <v>58</v>
      </c>
      <c r="M47" s="23">
        <f>220000*3</f>
        <v>660000</v>
      </c>
      <c r="N47" s="28"/>
      <c r="O47" s="28"/>
      <c r="P47" s="28"/>
      <c r="Q47" s="28"/>
    </row>
    <row r="48" spans="1:17">
      <c r="A48" s="28"/>
      <c r="B48" s="23"/>
      <c r="C48" s="23"/>
      <c r="D48" s="23"/>
      <c r="E48" s="28"/>
      <c r="F48" s="28"/>
      <c r="G48" s="28"/>
      <c r="H48" s="28"/>
      <c r="J48" s="28"/>
      <c r="K48" s="23"/>
      <c r="L48" s="23"/>
      <c r="M48" s="23"/>
      <c r="N48" s="28"/>
      <c r="O48" s="28"/>
      <c r="P48" s="28"/>
      <c r="Q48" s="28"/>
    </row>
    <row r="49" spans="1:17">
      <c r="A49" s="12"/>
      <c r="B49" s="13"/>
      <c r="C49" s="22"/>
      <c r="D49" s="29"/>
      <c r="E49" s="82"/>
      <c r="F49" s="82"/>
      <c r="G49" s="82"/>
      <c r="H49" s="82"/>
      <c r="J49" s="12"/>
      <c r="K49" s="13"/>
      <c r="L49" s="22"/>
      <c r="M49" s="29"/>
      <c r="N49" s="89"/>
      <c r="O49" s="89"/>
      <c r="P49" s="89"/>
      <c r="Q49" s="89"/>
    </row>
    <row r="50" spans="1:17">
      <c r="A50" s="12"/>
      <c r="B50" s="19"/>
      <c r="C50" s="24"/>
      <c r="D50" s="23"/>
      <c r="E50" s="82"/>
      <c r="F50" s="82"/>
      <c r="G50" s="82"/>
      <c r="H50" s="82"/>
      <c r="J50" s="12"/>
      <c r="K50" s="19"/>
      <c r="L50" s="24"/>
      <c r="M50" s="23"/>
      <c r="N50" s="89"/>
      <c r="O50" s="89"/>
      <c r="P50" s="89"/>
      <c r="Q50" s="89"/>
    </row>
    <row r="51" spans="1:17">
      <c r="A51" s="12"/>
      <c r="B51" s="13"/>
      <c r="C51" s="26" t="s">
        <v>55</v>
      </c>
      <c r="D51" s="27">
        <f>SUM(D47:D50)</f>
        <v>660000</v>
      </c>
      <c r="E51" s="27">
        <v>0</v>
      </c>
      <c r="F51" s="27">
        <v>0</v>
      </c>
      <c r="G51" s="27"/>
      <c r="H51" s="27"/>
      <c r="J51" s="12"/>
      <c r="K51" s="13"/>
      <c r="L51" s="26" t="s">
        <v>55</v>
      </c>
      <c r="M51" s="27">
        <f>SUM(M47:M50)</f>
        <v>660000</v>
      </c>
      <c r="N51" s="27">
        <v>0</v>
      </c>
      <c r="O51" s="27">
        <v>0</v>
      </c>
      <c r="P51" s="27"/>
      <c r="Q51" s="27"/>
    </row>
    <row r="52" spans="1:17">
      <c r="A52" s="20"/>
      <c r="B52" s="19"/>
      <c r="C52" s="82" t="s">
        <v>21</v>
      </c>
      <c r="D52" s="10"/>
      <c r="E52" s="530">
        <f>D51</f>
        <v>660000</v>
      </c>
      <c r="F52" s="530"/>
      <c r="G52" s="530"/>
      <c r="H52" s="530"/>
      <c r="J52" s="20"/>
      <c r="K52" s="19"/>
      <c r="L52" s="89" t="s">
        <v>21</v>
      </c>
      <c r="M52" s="10"/>
      <c r="N52" s="530">
        <f>M51</f>
        <v>660000</v>
      </c>
      <c r="O52" s="530"/>
      <c r="P52" s="530"/>
      <c r="Q52" s="530"/>
    </row>
    <row r="53" spans="1:17">
      <c r="A53" s="527" t="s">
        <v>26</v>
      </c>
      <c r="B53" s="528"/>
      <c r="C53" s="528"/>
      <c r="D53" s="528"/>
      <c r="E53" s="528"/>
      <c r="F53" s="528"/>
      <c r="G53" s="528"/>
      <c r="H53" s="529"/>
      <c r="J53" s="527" t="s">
        <v>26</v>
      </c>
      <c r="K53" s="528"/>
      <c r="L53" s="528"/>
      <c r="M53" s="528"/>
      <c r="N53" s="528"/>
      <c r="O53" s="528"/>
      <c r="P53" s="528"/>
      <c r="Q53" s="529"/>
    </row>
    <row r="54" spans="1:17">
      <c r="A54" s="12"/>
      <c r="B54" s="19" t="s">
        <v>116</v>
      </c>
      <c r="C54" s="24" t="s">
        <v>117</v>
      </c>
      <c r="D54" s="23">
        <v>38500</v>
      </c>
      <c r="E54" s="22"/>
      <c r="F54" s="22"/>
      <c r="G54" s="16"/>
      <c r="H54" s="16"/>
      <c r="J54" s="12"/>
      <c r="K54" s="19" t="s">
        <v>116</v>
      </c>
      <c r="L54" s="24" t="s">
        <v>117</v>
      </c>
      <c r="M54" s="23">
        <v>38500</v>
      </c>
      <c r="N54" s="22"/>
      <c r="O54" s="22"/>
      <c r="P54" s="16"/>
      <c r="Q54" s="16"/>
    </row>
    <row r="55" spans="1:17">
      <c r="A55" s="12"/>
      <c r="B55" s="19"/>
      <c r="C55" s="24"/>
      <c r="D55" s="23"/>
      <c r="E55" s="22"/>
      <c r="F55" s="22"/>
      <c r="G55" s="16"/>
      <c r="H55" s="16"/>
      <c r="J55" s="12"/>
      <c r="K55" s="19"/>
      <c r="L55" s="24"/>
      <c r="M55" s="23"/>
      <c r="N55" s="22"/>
      <c r="O55" s="22"/>
      <c r="P55" s="16"/>
      <c r="Q55" s="16"/>
    </row>
    <row r="56" spans="1:17">
      <c r="A56" s="12"/>
      <c r="B56" s="19"/>
      <c r="C56" s="23"/>
      <c r="D56" s="23"/>
      <c r="E56" s="22"/>
      <c r="F56" s="22"/>
      <c r="G56" s="16"/>
      <c r="H56" s="16"/>
      <c r="J56" s="12"/>
      <c r="K56" s="19"/>
      <c r="L56" s="23"/>
      <c r="M56" s="23"/>
      <c r="N56" s="22"/>
      <c r="O56" s="22"/>
      <c r="P56" s="16"/>
      <c r="Q56" s="16"/>
    </row>
    <row r="57" spans="1:17" hidden="1">
      <c r="A57" s="12"/>
      <c r="B57" s="19"/>
      <c r="C57" s="24"/>
      <c r="D57" s="23"/>
      <c r="E57" s="22"/>
      <c r="F57" s="22"/>
      <c r="G57" s="16"/>
      <c r="H57" s="16"/>
      <c r="J57" s="12"/>
      <c r="K57" s="19"/>
      <c r="L57" s="24"/>
      <c r="M57" s="23"/>
      <c r="N57" s="22"/>
      <c r="O57" s="22"/>
      <c r="P57" s="16"/>
      <c r="Q57" s="16"/>
    </row>
    <row r="58" spans="1:17" hidden="1">
      <c r="A58" s="12"/>
      <c r="B58" s="19"/>
      <c r="C58" s="24"/>
      <c r="D58" s="23"/>
      <c r="E58" s="22"/>
      <c r="F58" s="22"/>
      <c r="G58" s="16"/>
      <c r="H58" s="16"/>
      <c r="J58" s="12"/>
      <c r="K58" s="19"/>
      <c r="L58" s="24"/>
      <c r="M58" s="23"/>
      <c r="N58" s="22"/>
      <c r="O58" s="22"/>
      <c r="P58" s="16"/>
      <c r="Q58" s="16"/>
    </row>
    <row r="59" spans="1:17" hidden="1">
      <c r="A59" s="12"/>
      <c r="B59" s="19"/>
      <c r="C59" s="23"/>
      <c r="D59" s="23"/>
      <c r="E59" s="22"/>
      <c r="F59" s="22"/>
      <c r="G59" s="16"/>
      <c r="H59" s="16"/>
      <c r="J59" s="12"/>
      <c r="K59" s="19"/>
      <c r="L59" s="23"/>
      <c r="M59" s="23"/>
      <c r="N59" s="22"/>
      <c r="O59" s="22"/>
      <c r="P59" s="16"/>
      <c r="Q59" s="16"/>
    </row>
    <row r="60" spans="1:17" hidden="1">
      <c r="A60" s="12"/>
      <c r="B60" s="19"/>
      <c r="C60" s="24"/>
      <c r="D60" s="23"/>
      <c r="E60" s="22"/>
      <c r="F60" s="22"/>
      <c r="G60" s="16"/>
      <c r="H60" s="16"/>
      <c r="J60" s="12"/>
      <c r="K60" s="19"/>
      <c r="L60" s="24"/>
      <c r="M60" s="23"/>
      <c r="N60" s="22"/>
      <c r="O60" s="22"/>
      <c r="P60" s="16"/>
      <c r="Q60" s="16"/>
    </row>
    <row r="61" spans="1:17" hidden="1">
      <c r="A61" s="12"/>
      <c r="B61" s="19"/>
      <c r="C61" s="24"/>
      <c r="D61" s="30"/>
      <c r="E61" s="22"/>
      <c r="F61" s="22"/>
      <c r="G61" s="16"/>
      <c r="H61" s="16"/>
      <c r="J61" s="12"/>
      <c r="K61" s="19"/>
      <c r="L61" s="24"/>
      <c r="M61" s="30"/>
      <c r="N61" s="22"/>
      <c r="O61" s="22"/>
      <c r="P61" s="16"/>
      <c r="Q61" s="16"/>
    </row>
    <row r="62" spans="1:17" hidden="1">
      <c r="A62" s="12"/>
      <c r="B62" s="19"/>
      <c r="C62" s="24"/>
      <c r="D62" s="23"/>
      <c r="E62" s="22"/>
      <c r="F62" s="22"/>
      <c r="G62" s="16"/>
      <c r="H62" s="16"/>
      <c r="J62" s="12"/>
      <c r="K62" s="19"/>
      <c r="L62" s="24"/>
      <c r="M62" s="23"/>
      <c r="N62" s="22"/>
      <c r="O62" s="22"/>
      <c r="P62" s="16"/>
      <c r="Q62" s="16"/>
    </row>
    <row r="63" spans="1:17" hidden="1">
      <c r="A63" s="12"/>
      <c r="B63" s="19"/>
      <c r="C63" s="24"/>
      <c r="D63" s="23"/>
      <c r="E63" s="22"/>
      <c r="F63" s="22"/>
      <c r="G63" s="16"/>
      <c r="H63" s="16"/>
      <c r="J63" s="12"/>
      <c r="K63" s="19"/>
      <c r="L63" s="24"/>
      <c r="M63" s="23"/>
      <c r="N63" s="22"/>
      <c r="O63" s="22"/>
      <c r="P63" s="16"/>
      <c r="Q63" s="16"/>
    </row>
    <row r="64" spans="1:17" hidden="1">
      <c r="A64" s="12"/>
      <c r="B64" s="19"/>
      <c r="C64" s="24"/>
      <c r="D64" s="23"/>
      <c r="E64" s="22"/>
      <c r="F64" s="22"/>
      <c r="G64" s="16"/>
      <c r="H64" s="16"/>
      <c r="J64" s="12"/>
      <c r="K64" s="19"/>
      <c r="L64" s="24"/>
      <c r="M64" s="23"/>
      <c r="N64" s="22"/>
      <c r="O64" s="22"/>
      <c r="P64" s="16"/>
      <c r="Q64" s="16"/>
    </row>
    <row r="65" spans="1:17" hidden="1">
      <c r="A65" s="12"/>
      <c r="B65" s="19"/>
      <c r="C65" s="24"/>
      <c r="D65" s="23"/>
      <c r="E65" s="22"/>
      <c r="F65" s="22"/>
      <c r="G65" s="16"/>
      <c r="H65" s="16"/>
      <c r="J65" s="12"/>
      <c r="K65" s="19"/>
      <c r="L65" s="24"/>
      <c r="M65" s="23"/>
      <c r="N65" s="22"/>
      <c r="O65" s="22"/>
      <c r="P65" s="16"/>
      <c r="Q65" s="16"/>
    </row>
    <row r="66" spans="1:17" hidden="1">
      <c r="A66" s="12"/>
      <c r="B66" s="19"/>
      <c r="C66" s="24"/>
      <c r="D66" s="23"/>
      <c r="E66" s="22"/>
      <c r="F66" s="22"/>
      <c r="G66" s="16"/>
      <c r="H66" s="16"/>
      <c r="J66" s="12"/>
      <c r="K66" s="19"/>
      <c r="L66" s="24"/>
      <c r="M66" s="23"/>
      <c r="N66" s="22"/>
      <c r="O66" s="22"/>
      <c r="P66" s="16"/>
      <c r="Q66" s="16"/>
    </row>
    <row r="67" spans="1:17" hidden="1">
      <c r="A67" s="12"/>
      <c r="B67" s="19"/>
      <c r="C67" s="24"/>
      <c r="D67" s="23"/>
      <c r="E67" s="22"/>
      <c r="F67" s="22"/>
      <c r="G67" s="16"/>
      <c r="H67" s="16"/>
      <c r="J67" s="12"/>
      <c r="K67" s="19"/>
      <c r="L67" s="24"/>
      <c r="M67" s="23"/>
      <c r="N67" s="22"/>
      <c r="O67" s="22"/>
      <c r="P67" s="16"/>
      <c r="Q67" s="16"/>
    </row>
    <row r="68" spans="1:17" hidden="1">
      <c r="A68" s="12"/>
      <c r="B68" s="19"/>
      <c r="C68" s="23"/>
      <c r="D68" s="23"/>
      <c r="E68" s="22"/>
      <c r="F68" s="22"/>
      <c r="G68" s="16"/>
      <c r="H68" s="16"/>
      <c r="J68" s="12"/>
      <c r="K68" s="19"/>
      <c r="L68" s="23"/>
      <c r="M68" s="23"/>
      <c r="N68" s="22"/>
      <c r="O68" s="22"/>
      <c r="P68" s="16"/>
      <c r="Q68" s="16"/>
    </row>
    <row r="69" spans="1:17" hidden="1">
      <c r="A69" s="12"/>
      <c r="B69" s="19"/>
      <c r="C69" s="23"/>
      <c r="D69" s="23"/>
      <c r="E69" s="22"/>
      <c r="F69" s="22"/>
      <c r="G69" s="16"/>
      <c r="H69" s="16"/>
      <c r="J69" s="12"/>
      <c r="K69" s="19"/>
      <c r="L69" s="23"/>
      <c r="M69" s="23"/>
      <c r="N69" s="22"/>
      <c r="O69" s="22"/>
      <c r="P69" s="16"/>
      <c r="Q69" s="16"/>
    </row>
    <row r="70" spans="1:17" hidden="1">
      <c r="A70" s="12"/>
      <c r="B70" s="19"/>
      <c r="C70" s="30"/>
      <c r="D70" s="30"/>
      <c r="E70" s="22"/>
      <c r="F70" s="22"/>
      <c r="G70" s="16"/>
      <c r="H70" s="16"/>
      <c r="J70" s="12"/>
      <c r="K70" s="19"/>
      <c r="L70" s="30"/>
      <c r="M70" s="30"/>
      <c r="N70" s="22"/>
      <c r="O70" s="22"/>
      <c r="P70" s="16"/>
      <c r="Q70" s="16"/>
    </row>
    <row r="71" spans="1:17" hidden="1">
      <c r="A71" s="12"/>
      <c r="B71" s="19"/>
      <c r="C71" s="23"/>
      <c r="D71" s="23"/>
      <c r="E71" s="22"/>
      <c r="F71" s="22"/>
      <c r="G71" s="16"/>
      <c r="H71" s="16"/>
      <c r="J71" s="12"/>
      <c r="K71" s="19"/>
      <c r="L71" s="23"/>
      <c r="M71" s="23"/>
      <c r="N71" s="22"/>
      <c r="O71" s="22"/>
      <c r="P71" s="16"/>
      <c r="Q71" s="16"/>
    </row>
    <row r="72" spans="1:17" hidden="1">
      <c r="A72" s="12"/>
      <c r="B72" s="19"/>
      <c r="C72" s="24"/>
      <c r="D72" s="23"/>
      <c r="E72" s="22"/>
      <c r="F72" s="22"/>
      <c r="G72" s="16"/>
      <c r="H72" s="16"/>
      <c r="J72" s="12"/>
      <c r="K72" s="19"/>
      <c r="L72" s="24"/>
      <c r="M72" s="23"/>
      <c r="N72" s="22"/>
      <c r="O72" s="22"/>
      <c r="P72" s="16"/>
      <c r="Q72" s="16"/>
    </row>
    <row r="73" spans="1:17" hidden="1">
      <c r="A73" s="12"/>
      <c r="B73" s="19"/>
      <c r="C73" s="24"/>
      <c r="D73" s="23"/>
      <c r="E73" s="22"/>
      <c r="F73" s="22"/>
      <c r="G73" s="16"/>
      <c r="H73" s="16"/>
      <c r="J73" s="12"/>
      <c r="K73" s="19"/>
      <c r="L73" s="24"/>
      <c r="M73" s="23"/>
      <c r="N73" s="22"/>
      <c r="O73" s="22"/>
      <c r="P73" s="16"/>
      <c r="Q73" s="16"/>
    </row>
    <row r="74" spans="1:17" hidden="1">
      <c r="A74" s="12"/>
      <c r="B74" s="19"/>
      <c r="C74" s="24"/>
      <c r="D74" s="23"/>
      <c r="E74" s="22"/>
      <c r="F74" s="22"/>
      <c r="G74" s="16"/>
      <c r="H74" s="16"/>
      <c r="J74" s="12"/>
      <c r="K74" s="19"/>
      <c r="L74" s="24"/>
      <c r="M74" s="23"/>
      <c r="N74" s="22"/>
      <c r="O74" s="22"/>
      <c r="P74" s="16"/>
      <c r="Q74" s="16"/>
    </row>
    <row r="75" spans="1:17">
      <c r="A75" s="25"/>
      <c r="B75" s="19"/>
      <c r="C75" s="26" t="s">
        <v>31</v>
      </c>
      <c r="D75" s="27">
        <f>SUM(D54:D74)</f>
        <v>38500</v>
      </c>
      <c r="E75" s="27"/>
      <c r="F75" s="27"/>
      <c r="G75" s="27"/>
      <c r="H75" s="27"/>
      <c r="J75" s="25"/>
      <c r="K75" s="19"/>
      <c r="L75" s="26" t="s">
        <v>31</v>
      </c>
      <c r="M75" s="27">
        <f>SUM(M54:M74)</f>
        <v>38500</v>
      </c>
      <c r="N75" s="27"/>
      <c r="O75" s="27"/>
      <c r="P75" s="27"/>
      <c r="Q75" s="27"/>
    </row>
    <row r="76" spans="1:17">
      <c r="A76" s="20"/>
      <c r="B76" s="19"/>
      <c r="C76" s="82" t="s">
        <v>21</v>
      </c>
      <c r="D76" s="10"/>
      <c r="E76" s="530">
        <f>D75</f>
        <v>38500</v>
      </c>
      <c r="F76" s="530"/>
      <c r="G76" s="530"/>
      <c r="H76" s="530"/>
      <c r="J76" s="20"/>
      <c r="K76" s="19"/>
      <c r="L76" s="89" t="s">
        <v>21</v>
      </c>
      <c r="M76" s="10"/>
      <c r="N76" s="530">
        <f>M75</f>
        <v>38500</v>
      </c>
      <c r="O76" s="530"/>
      <c r="P76" s="530"/>
      <c r="Q76" s="530"/>
    </row>
    <row r="77" spans="1:17">
      <c r="A77" s="527" t="s">
        <v>32</v>
      </c>
      <c r="B77" s="528"/>
      <c r="C77" s="528"/>
      <c r="D77" s="528"/>
      <c r="E77" s="528"/>
      <c r="F77" s="528"/>
      <c r="G77" s="528"/>
      <c r="H77" s="529"/>
      <c r="J77" s="527" t="s">
        <v>32</v>
      </c>
      <c r="K77" s="528"/>
      <c r="L77" s="528"/>
      <c r="M77" s="528"/>
      <c r="N77" s="528"/>
      <c r="O77" s="528"/>
      <c r="P77" s="528"/>
      <c r="Q77" s="529"/>
    </row>
    <row r="78" spans="1:17">
      <c r="A78" s="12"/>
      <c r="B78" s="13" t="s">
        <v>128</v>
      </c>
      <c r="C78" s="22" t="s">
        <v>127</v>
      </c>
      <c r="D78" s="22">
        <v>54000</v>
      </c>
      <c r="E78" s="82"/>
      <c r="F78" s="82"/>
      <c r="G78" s="82"/>
      <c r="H78" s="82"/>
      <c r="J78" s="12"/>
      <c r="K78" s="13" t="s">
        <v>128</v>
      </c>
      <c r="L78" s="22" t="s">
        <v>127</v>
      </c>
      <c r="M78" s="22">
        <v>54000</v>
      </c>
      <c r="N78" s="89"/>
      <c r="O78" s="89"/>
      <c r="P78" s="89"/>
      <c r="Q78" s="89"/>
    </row>
    <row r="79" spans="1:17">
      <c r="A79" s="12"/>
      <c r="B79" s="13"/>
      <c r="C79" s="22"/>
      <c r="D79" s="29"/>
      <c r="E79" s="82"/>
      <c r="F79" s="82"/>
      <c r="G79" s="82"/>
      <c r="H79" s="82"/>
      <c r="J79" s="12"/>
      <c r="K79" s="13"/>
      <c r="L79" s="22"/>
      <c r="M79" s="29"/>
      <c r="N79" s="89"/>
      <c r="O79" s="89"/>
      <c r="P79" s="89"/>
      <c r="Q79" s="89"/>
    </row>
    <row r="80" spans="1:17">
      <c r="A80" s="12"/>
      <c r="B80" s="13"/>
      <c r="C80" s="26" t="s">
        <v>34</v>
      </c>
      <c r="D80" s="27">
        <f>SUM(D78:D79)</f>
        <v>54000</v>
      </c>
      <c r="E80" s="27">
        <v>0</v>
      </c>
      <c r="F80" s="27">
        <v>0</v>
      </c>
      <c r="G80" s="27"/>
      <c r="H80" s="27"/>
      <c r="J80" s="12"/>
      <c r="K80" s="13"/>
      <c r="L80" s="26" t="s">
        <v>34</v>
      </c>
      <c r="M80" s="27">
        <f>SUM(M78:M79)</f>
        <v>54000</v>
      </c>
      <c r="N80" s="27">
        <v>0</v>
      </c>
      <c r="O80" s="27">
        <v>0</v>
      </c>
      <c r="P80" s="27"/>
      <c r="Q80" s="27"/>
    </row>
    <row r="81" spans="1:17">
      <c r="A81" s="20"/>
      <c r="B81" s="19"/>
      <c r="C81" s="82" t="s">
        <v>21</v>
      </c>
      <c r="D81" s="10"/>
      <c r="E81" s="531">
        <f>D80</f>
        <v>54000</v>
      </c>
      <c r="F81" s="532"/>
      <c r="G81" s="532"/>
      <c r="H81" s="533"/>
      <c r="J81" s="20"/>
      <c r="K81" s="19"/>
      <c r="L81" s="89" t="s">
        <v>21</v>
      </c>
      <c r="M81" s="10"/>
      <c r="N81" s="531">
        <f>M80</f>
        <v>54000</v>
      </c>
      <c r="O81" s="532"/>
      <c r="P81" s="532"/>
      <c r="Q81" s="533"/>
    </row>
    <row r="82" spans="1:17">
      <c r="A82" s="525" t="s">
        <v>35</v>
      </c>
      <c r="B82" s="525"/>
      <c r="C82" s="525"/>
      <c r="D82" s="80"/>
      <c r="E82" s="526">
        <f>E40+E45+E76+E81+E52</f>
        <v>8242000</v>
      </c>
      <c r="F82" s="526"/>
      <c r="G82" s="526"/>
      <c r="H82" s="526"/>
      <c r="J82" s="525" t="s">
        <v>35</v>
      </c>
      <c r="K82" s="525"/>
      <c r="L82" s="525"/>
      <c r="M82" s="86"/>
      <c r="N82" s="526">
        <f>N40+N45+N76+N81+N52</f>
        <v>9242000</v>
      </c>
      <c r="O82" s="526"/>
      <c r="P82" s="526"/>
      <c r="Q82" s="526"/>
    </row>
    <row r="83" spans="1:17">
      <c r="A83" s="522" t="s">
        <v>36</v>
      </c>
      <c r="B83" s="522"/>
      <c r="C83" s="522"/>
      <c r="D83" s="79"/>
      <c r="E83" s="523">
        <f>+E30+E82</f>
        <v>11312000</v>
      </c>
      <c r="F83" s="523"/>
      <c r="G83" s="523"/>
      <c r="H83" s="523"/>
      <c r="J83" s="522" t="s">
        <v>36</v>
      </c>
      <c r="K83" s="522"/>
      <c r="L83" s="522"/>
      <c r="M83" s="88"/>
      <c r="N83" s="523">
        <f>+N30+N82</f>
        <v>12312000</v>
      </c>
      <c r="O83" s="523"/>
      <c r="P83" s="523"/>
      <c r="Q83" s="523"/>
    </row>
    <row r="84" spans="1:17">
      <c r="A84" s="524" t="s">
        <v>32</v>
      </c>
      <c r="B84" s="524"/>
      <c r="C84" s="524"/>
      <c r="D84" s="524"/>
      <c r="E84" s="524"/>
      <c r="F84" s="524"/>
      <c r="G84" s="524"/>
      <c r="H84" s="524"/>
      <c r="J84" s="524" t="s">
        <v>32</v>
      </c>
      <c r="K84" s="524"/>
      <c r="L84" s="524"/>
      <c r="M84" s="524"/>
      <c r="N84" s="524"/>
      <c r="O84" s="524"/>
      <c r="P84" s="524"/>
      <c r="Q84" s="524"/>
    </row>
    <row r="85" spans="1:17">
      <c r="A85" s="33"/>
      <c r="B85" s="13"/>
      <c r="C85" s="22"/>
      <c r="D85" s="22"/>
      <c r="E85" s="22"/>
      <c r="F85" s="22"/>
      <c r="G85" s="16"/>
      <c r="H85" s="16"/>
      <c r="J85" s="33"/>
      <c r="K85" s="13"/>
      <c r="L85" s="22"/>
      <c r="M85" s="22"/>
      <c r="N85" s="22"/>
      <c r="O85" s="22"/>
      <c r="P85" s="16"/>
      <c r="Q85" s="16"/>
    </row>
    <row r="86" spans="1:17">
      <c r="A86" s="33"/>
      <c r="B86" s="13"/>
      <c r="C86" s="22"/>
      <c r="D86" s="22"/>
      <c r="E86" s="22"/>
      <c r="F86" s="22"/>
      <c r="G86" s="16"/>
      <c r="H86" s="16"/>
      <c r="J86" s="33"/>
      <c r="K86" s="13"/>
      <c r="L86" s="22"/>
      <c r="M86" s="22"/>
      <c r="N86" s="22"/>
      <c r="O86" s="22"/>
      <c r="P86" s="16"/>
      <c r="Q86" s="16"/>
    </row>
    <row r="87" spans="1:17">
      <c r="A87" s="33"/>
      <c r="B87" s="13"/>
      <c r="C87" s="22"/>
      <c r="D87" s="22"/>
      <c r="E87" s="22"/>
      <c r="F87" s="22"/>
      <c r="G87" s="16"/>
      <c r="H87" s="16"/>
      <c r="J87" s="33"/>
      <c r="K87" s="13"/>
      <c r="L87" s="22"/>
      <c r="M87" s="22"/>
      <c r="N87" s="22"/>
      <c r="O87" s="22"/>
      <c r="P87" s="16"/>
      <c r="Q87" s="16"/>
    </row>
    <row r="88" spans="1:17">
      <c r="A88" s="20"/>
      <c r="B88" s="13"/>
      <c r="C88" s="22"/>
      <c r="D88" s="22"/>
      <c r="E88" s="22"/>
      <c r="F88" s="16"/>
      <c r="G88" s="16"/>
      <c r="H88" s="16"/>
      <c r="J88" s="20"/>
      <c r="K88" s="13"/>
      <c r="L88" s="22"/>
      <c r="M88" s="22"/>
      <c r="N88" s="22"/>
      <c r="O88" s="16"/>
      <c r="P88" s="16"/>
      <c r="Q88" s="16"/>
    </row>
    <row r="89" spans="1:17">
      <c r="A89" s="20"/>
      <c r="B89" s="13"/>
      <c r="C89" s="22"/>
      <c r="D89" s="22"/>
      <c r="E89" s="22"/>
      <c r="F89" s="16"/>
      <c r="G89" s="16"/>
      <c r="H89" s="16"/>
      <c r="J89" s="20"/>
      <c r="K89" s="13"/>
      <c r="L89" s="22"/>
      <c r="M89" s="22"/>
      <c r="N89" s="22"/>
      <c r="O89" s="16"/>
      <c r="P89" s="16"/>
      <c r="Q89" s="16"/>
    </row>
    <row r="90" spans="1:17">
      <c r="A90" s="525" t="s">
        <v>37</v>
      </c>
      <c r="B90" s="525"/>
      <c r="C90" s="525"/>
      <c r="D90" s="80">
        <f>SUM(D85:D89)</f>
        <v>0</v>
      </c>
      <c r="E90" s="526"/>
      <c r="F90" s="526"/>
      <c r="G90" s="526"/>
      <c r="H90" s="526"/>
      <c r="J90" s="525" t="s">
        <v>37</v>
      </c>
      <c r="K90" s="525"/>
      <c r="L90" s="525"/>
      <c r="M90" s="86">
        <f>SUM(M85:M89)</f>
        <v>0</v>
      </c>
      <c r="N90" s="526"/>
      <c r="O90" s="526"/>
      <c r="P90" s="526"/>
      <c r="Q90" s="526"/>
    </row>
    <row r="91" spans="1:17">
      <c r="A91" s="34" t="s">
        <v>38</v>
      </c>
      <c r="B91" s="35"/>
      <c r="C91" s="80"/>
      <c r="D91" s="80"/>
      <c r="E91" s="81"/>
      <c r="F91" s="81"/>
      <c r="G91" s="526"/>
      <c r="H91" s="526"/>
      <c r="J91" s="34" t="s">
        <v>38</v>
      </c>
      <c r="K91" s="35"/>
      <c r="L91" s="86"/>
      <c r="M91" s="86"/>
      <c r="N91" s="87"/>
      <c r="O91" s="87"/>
      <c r="P91" s="526"/>
      <c r="Q91" s="526"/>
    </row>
    <row r="92" spans="1:17">
      <c r="A92" s="37"/>
      <c r="B92" s="38"/>
      <c r="C92" s="39"/>
      <c r="D92" s="39"/>
      <c r="E92" s="39"/>
      <c r="F92" s="39"/>
      <c r="G92" s="39"/>
      <c r="H92" s="39"/>
      <c r="J92" s="37"/>
      <c r="K92" s="38"/>
      <c r="L92" s="39"/>
      <c r="M92" s="39"/>
      <c r="N92" s="39"/>
      <c r="O92" s="39"/>
      <c r="P92" s="39"/>
      <c r="Q92" s="39"/>
    </row>
    <row r="93" spans="1:17">
      <c r="A93" s="519" t="s">
        <v>13</v>
      </c>
      <c r="B93" s="520"/>
      <c r="C93" s="520"/>
      <c r="D93" s="520"/>
      <c r="E93" s="521"/>
      <c r="F93" s="39"/>
      <c r="G93" s="39"/>
      <c r="H93" s="40"/>
      <c r="J93" s="519" t="s">
        <v>13</v>
      </c>
      <c r="K93" s="520"/>
      <c r="L93" s="520"/>
      <c r="M93" s="520"/>
      <c r="N93" s="521"/>
      <c r="O93" s="39"/>
      <c r="P93" s="39"/>
      <c r="Q93" s="40"/>
    </row>
    <row r="94" spans="1:17">
      <c r="A94" s="41" t="s">
        <v>39</v>
      </c>
      <c r="B94" s="42" t="s">
        <v>40</v>
      </c>
      <c r="C94" s="43" t="s">
        <v>41</v>
      </c>
      <c r="D94" s="43" t="s">
        <v>42</v>
      </c>
      <c r="E94" s="43" t="s">
        <v>43</v>
      </c>
      <c r="F94" s="39"/>
      <c r="G94" s="39"/>
      <c r="H94" s="39"/>
      <c r="J94" s="41" t="s">
        <v>39</v>
      </c>
      <c r="K94" s="42" t="s">
        <v>40</v>
      </c>
      <c r="L94" s="43" t="s">
        <v>41</v>
      </c>
      <c r="M94" s="43" t="s">
        <v>42</v>
      </c>
      <c r="N94" s="43" t="s">
        <v>43</v>
      </c>
      <c r="O94" s="39"/>
      <c r="P94" s="39"/>
      <c r="Q94" s="39"/>
    </row>
    <row r="95" spans="1:17">
      <c r="A95" s="41"/>
      <c r="B95" s="44"/>
      <c r="C95" s="45"/>
      <c r="D95" s="46"/>
      <c r="E95" s="46"/>
      <c r="F95" s="39"/>
      <c r="G95" s="39"/>
      <c r="H95" s="39"/>
      <c r="J95" s="41"/>
      <c r="K95" s="44"/>
      <c r="L95" s="45" t="s">
        <v>131</v>
      </c>
      <c r="M95" s="46">
        <v>10000000</v>
      </c>
      <c r="N95" s="46"/>
      <c r="O95" s="90" t="s">
        <v>97</v>
      </c>
      <c r="P95" s="91">
        <f>M100-N83</f>
        <v>-12000</v>
      </c>
      <c r="Q95" s="39"/>
    </row>
    <row r="96" spans="1:17">
      <c r="A96" s="41"/>
      <c r="B96" s="44"/>
      <c r="C96" s="45"/>
      <c r="D96" s="46"/>
      <c r="E96" s="46"/>
      <c r="F96" s="39"/>
      <c r="G96" s="39"/>
      <c r="H96" s="39"/>
      <c r="J96" s="41"/>
      <c r="K96" s="44"/>
      <c r="L96" s="45" t="s">
        <v>132</v>
      </c>
      <c r="M96" s="46">
        <f>1000000+1300000</f>
        <v>2300000</v>
      </c>
      <c r="N96" s="46"/>
      <c r="O96" s="39"/>
      <c r="P96" s="39"/>
      <c r="Q96" s="39"/>
    </row>
    <row r="97" spans="1:17">
      <c r="A97" s="41"/>
      <c r="B97" s="44"/>
      <c r="C97" s="45"/>
      <c r="D97" s="46"/>
      <c r="E97" s="46"/>
      <c r="F97" s="39"/>
      <c r="G97" s="39"/>
      <c r="H97" s="39"/>
      <c r="J97" s="41"/>
      <c r="K97" s="44"/>
      <c r="L97" s="45"/>
      <c r="M97" s="46"/>
      <c r="N97" s="46"/>
      <c r="O97" s="39"/>
      <c r="P97" s="39"/>
      <c r="Q97" s="39"/>
    </row>
    <row r="98" spans="1:17">
      <c r="A98" s="41"/>
      <c r="B98" s="44"/>
      <c r="C98" s="47"/>
      <c r="D98" s="46"/>
      <c r="E98" s="46"/>
      <c r="F98" s="39"/>
      <c r="G98" s="39"/>
      <c r="H98" s="39"/>
      <c r="J98" s="41"/>
      <c r="K98" s="44"/>
      <c r="L98" s="47"/>
      <c r="M98" s="46"/>
      <c r="N98" s="46"/>
      <c r="O98" s="39"/>
      <c r="P98" s="39"/>
      <c r="Q98" s="39"/>
    </row>
    <row r="99" spans="1:17">
      <c r="A99" s="41"/>
      <c r="B99" s="44"/>
      <c r="C99" s="46"/>
      <c r="D99" s="48"/>
      <c r="E99" s="46"/>
      <c r="F99" s="39"/>
      <c r="G99" s="39"/>
      <c r="H99" s="39"/>
      <c r="J99" s="41"/>
      <c r="K99" s="44"/>
      <c r="L99" s="46"/>
      <c r="M99" s="48"/>
      <c r="N99" s="46"/>
      <c r="O99" s="39"/>
      <c r="P99" s="39"/>
      <c r="Q99" s="39"/>
    </row>
    <row r="100" spans="1:17">
      <c r="A100" s="49"/>
      <c r="B100" s="50"/>
      <c r="C100" s="51" t="s">
        <v>44</v>
      </c>
      <c r="D100" s="51">
        <f>SUM(D95:D99)</f>
        <v>0</v>
      </c>
      <c r="E100" s="52"/>
      <c r="F100" s="39"/>
      <c r="G100" s="39"/>
      <c r="H100" s="39"/>
      <c r="J100" s="49"/>
      <c r="K100" s="50"/>
      <c r="L100" s="51" t="s">
        <v>44</v>
      </c>
      <c r="M100" s="51">
        <f>SUM(M95:M99)</f>
        <v>12300000</v>
      </c>
      <c r="N100" s="52"/>
      <c r="O100" s="39"/>
      <c r="P100" s="39"/>
      <c r="Q100" s="39"/>
    </row>
    <row r="101" spans="1:17">
      <c r="A101" s="53"/>
      <c r="B101" s="54"/>
      <c r="C101" s="55"/>
      <c r="D101" s="56"/>
      <c r="E101" s="3"/>
      <c r="F101" s="39"/>
      <c r="G101" s="39"/>
      <c r="H101" s="39"/>
      <c r="J101" s="53"/>
      <c r="K101" s="54"/>
      <c r="L101" s="55"/>
      <c r="M101" s="56"/>
      <c r="N101" s="3"/>
      <c r="O101" s="39"/>
      <c r="P101" s="39"/>
      <c r="Q101" s="39"/>
    </row>
  </sheetData>
  <mergeCells count="60">
    <mergeCell ref="P91:Q91"/>
    <mergeCell ref="J93:N93"/>
    <mergeCell ref="J83:L83"/>
    <mergeCell ref="N83:Q83"/>
    <mergeCell ref="J84:Q84"/>
    <mergeCell ref="J90:L90"/>
    <mergeCell ref="N90:Q90"/>
    <mergeCell ref="N76:Q76"/>
    <mergeCell ref="J77:Q77"/>
    <mergeCell ref="N81:Q81"/>
    <mergeCell ref="J82:L82"/>
    <mergeCell ref="N82:Q82"/>
    <mergeCell ref="J41:Q41"/>
    <mergeCell ref="N45:Q45"/>
    <mergeCell ref="J46:Q46"/>
    <mergeCell ref="N52:Q52"/>
    <mergeCell ref="J53:Q53"/>
    <mergeCell ref="K29:P29"/>
    <mergeCell ref="J30:M30"/>
    <mergeCell ref="N30:Q30"/>
    <mergeCell ref="J31:Q31"/>
    <mergeCell ref="N40:Q40"/>
    <mergeCell ref="J3:Q3"/>
    <mergeCell ref="J11:P11"/>
    <mergeCell ref="J12:Q12"/>
    <mergeCell ref="J13:J14"/>
    <mergeCell ref="K13:K14"/>
    <mergeCell ref="L13:L14"/>
    <mergeCell ref="M13:M14"/>
    <mergeCell ref="N13:Q13"/>
    <mergeCell ref="B29:G29"/>
    <mergeCell ref="A3:H3"/>
    <mergeCell ref="A12:H12"/>
    <mergeCell ref="A13:A14"/>
    <mergeCell ref="B13:B14"/>
    <mergeCell ref="C13:C14"/>
    <mergeCell ref="D13:D14"/>
    <mergeCell ref="E13:H13"/>
    <mergeCell ref="A11:G11"/>
    <mergeCell ref="E81:H81"/>
    <mergeCell ref="A30:D30"/>
    <mergeCell ref="E30:H30"/>
    <mergeCell ref="A31:H31"/>
    <mergeCell ref="E40:H40"/>
    <mergeCell ref="A41:H41"/>
    <mergeCell ref="E45:H45"/>
    <mergeCell ref="A46:H46"/>
    <mergeCell ref="E52:H52"/>
    <mergeCell ref="A53:H53"/>
    <mergeCell ref="E76:H76"/>
    <mergeCell ref="A77:H77"/>
    <mergeCell ref="G91:H91"/>
    <mergeCell ref="A93:E93"/>
    <mergeCell ref="A82:C82"/>
    <mergeCell ref="E82:H82"/>
    <mergeCell ref="A83:C83"/>
    <mergeCell ref="E83:H83"/>
    <mergeCell ref="A84:H84"/>
    <mergeCell ref="A90:C90"/>
    <mergeCell ref="E90:H90"/>
  </mergeCells>
  <pageMargins left="0.68" right="0.19685039370078741" top="0.11811023622047245" bottom="0.74803149606299213" header="0.11811023622047245" footer="0.31496062992125984"/>
  <pageSetup paperSize="9" scale="78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workbookViewId="0"/>
  </sheetViews>
  <sheetFormatPr defaultRowHeight="15"/>
  <cols>
    <col min="3" max="3" width="44.140625" customWidth="1"/>
    <col min="4" max="4" width="11" bestFit="1" customWidth="1"/>
    <col min="5" max="5" width="7.28515625" bestFit="1" customWidth="1"/>
    <col min="6" max="6" width="8.7109375" customWidth="1"/>
    <col min="7" max="7" width="8.28515625" customWidth="1"/>
    <col min="8" max="8" width="11" bestFit="1" customWidth="1"/>
    <col min="11" max="12" width="10.5703125" bestFit="1" customWidth="1"/>
  </cols>
  <sheetData>
    <row r="1" spans="1:8">
      <c r="A1" s="1" t="s">
        <v>0</v>
      </c>
      <c r="B1" s="2"/>
      <c r="C1" s="3"/>
      <c r="D1" s="3"/>
      <c r="E1" s="3"/>
      <c r="F1" s="3"/>
      <c r="G1" s="3"/>
      <c r="H1" s="3"/>
    </row>
    <row r="2" spans="1:8">
      <c r="A2" s="1" t="s">
        <v>119</v>
      </c>
      <c r="B2" s="2"/>
      <c r="C2" s="3"/>
      <c r="D2" s="3"/>
      <c r="E2" s="3"/>
      <c r="F2" s="3"/>
      <c r="G2" s="3"/>
      <c r="H2" s="3"/>
    </row>
    <row r="3" spans="1:8">
      <c r="A3" s="534" t="s">
        <v>1</v>
      </c>
      <c r="B3" s="534"/>
      <c r="C3" s="534"/>
      <c r="D3" s="534"/>
      <c r="E3" s="534"/>
      <c r="F3" s="534"/>
      <c r="G3" s="534"/>
      <c r="H3" s="534"/>
    </row>
    <row r="4" spans="1:8">
      <c r="A4" s="4"/>
      <c r="B4" s="5"/>
      <c r="C4" s="6" t="s">
        <v>2</v>
      </c>
      <c r="D4" s="7">
        <f>34774000</f>
        <v>34774000</v>
      </c>
      <c r="E4" s="6"/>
      <c r="F4" s="6"/>
      <c r="G4" s="6"/>
      <c r="H4" s="6"/>
    </row>
    <row r="5" spans="1:8">
      <c r="A5" s="4"/>
      <c r="B5" s="5"/>
      <c r="C5" s="6" t="s">
        <v>3</v>
      </c>
      <c r="D5" s="8"/>
      <c r="E5" s="6"/>
      <c r="F5" s="6"/>
      <c r="G5" s="6"/>
      <c r="H5" s="6"/>
    </row>
    <row r="6" spans="1:8">
      <c r="A6" s="4"/>
      <c r="B6" s="5"/>
      <c r="C6" s="6" t="s">
        <v>4</v>
      </c>
      <c r="D6" s="9"/>
      <c r="E6" s="6"/>
      <c r="F6" s="6"/>
      <c r="G6" s="6"/>
      <c r="H6" s="6"/>
    </row>
    <row r="7" spans="1:8">
      <c r="A7" s="4"/>
      <c r="B7" s="5"/>
      <c r="C7" s="6" t="s">
        <v>5</v>
      </c>
      <c r="D7" s="6"/>
      <c r="E7" s="6"/>
      <c r="F7" s="6"/>
      <c r="G7" s="6"/>
      <c r="H7" s="6"/>
    </row>
    <row r="8" spans="1:8">
      <c r="A8" s="4"/>
      <c r="B8" s="5"/>
      <c r="C8" s="6" t="s">
        <v>6</v>
      </c>
      <c r="D8" s="6"/>
      <c r="E8" s="6"/>
      <c r="F8" s="6"/>
      <c r="G8" s="6"/>
      <c r="H8" s="6"/>
    </row>
    <row r="9" spans="1:8">
      <c r="A9" s="4"/>
      <c r="B9" s="5"/>
      <c r="C9" s="6" t="s">
        <v>7</v>
      </c>
      <c r="D9" s="6"/>
      <c r="E9" s="6"/>
      <c r="F9" s="6"/>
      <c r="G9" s="6"/>
      <c r="H9" s="6"/>
    </row>
    <row r="10" spans="1:8">
      <c r="A10" s="4"/>
      <c r="B10" s="5"/>
      <c r="C10" s="6"/>
      <c r="D10" s="6"/>
      <c r="E10" s="6"/>
      <c r="F10" s="6"/>
      <c r="G10" s="6"/>
      <c r="H10" s="6"/>
    </row>
    <row r="11" spans="1:8">
      <c r="A11" s="530" t="s">
        <v>113</v>
      </c>
      <c r="B11" s="530"/>
      <c r="C11" s="530"/>
      <c r="D11" s="10"/>
      <c r="E11" s="10"/>
      <c r="F11" s="10"/>
      <c r="G11" s="10"/>
      <c r="H11" s="10">
        <f>SUM(D4:D9)</f>
        <v>34774000</v>
      </c>
    </row>
    <row r="12" spans="1:8">
      <c r="A12" s="524" t="s">
        <v>109</v>
      </c>
      <c r="B12" s="524"/>
      <c r="C12" s="524"/>
      <c r="D12" s="524"/>
      <c r="E12" s="524"/>
      <c r="F12" s="524"/>
      <c r="G12" s="524"/>
      <c r="H12" s="524"/>
    </row>
    <row r="13" spans="1:8">
      <c r="A13" s="12"/>
      <c r="B13" s="13" t="s">
        <v>129</v>
      </c>
      <c r="C13" s="15" t="s">
        <v>111</v>
      </c>
      <c r="D13" s="22">
        <v>1280000</v>
      </c>
      <c r="E13" s="22"/>
      <c r="F13" s="22"/>
      <c r="G13" s="16"/>
      <c r="H13" s="16"/>
    </row>
    <row r="14" spans="1:8">
      <c r="A14" s="12"/>
      <c r="B14" s="13" t="s">
        <v>129</v>
      </c>
      <c r="C14" s="15" t="s">
        <v>110</v>
      </c>
      <c r="D14" s="22">
        <f>220000*2</f>
        <v>440000</v>
      </c>
      <c r="E14" s="22"/>
      <c r="F14" s="22"/>
      <c r="G14" s="16"/>
      <c r="H14" s="16"/>
    </row>
    <row r="15" spans="1:8">
      <c r="A15" s="12"/>
      <c r="B15" s="13" t="s">
        <v>129</v>
      </c>
      <c r="C15" s="15" t="s">
        <v>112</v>
      </c>
      <c r="D15" s="22">
        <f>150000*4</f>
        <v>600000</v>
      </c>
      <c r="E15" s="22"/>
      <c r="F15" s="22"/>
      <c r="G15" s="16"/>
      <c r="H15" s="16"/>
    </row>
    <row r="16" spans="1:8">
      <c r="A16" s="12"/>
      <c r="B16" s="13" t="s">
        <v>129</v>
      </c>
      <c r="C16" s="15" t="s">
        <v>130</v>
      </c>
      <c r="D16" s="22">
        <v>2120000</v>
      </c>
      <c r="E16" s="22"/>
      <c r="F16" s="22"/>
      <c r="G16" s="16"/>
      <c r="H16" s="16"/>
    </row>
    <row r="17" spans="1:12">
      <c r="A17" s="12"/>
      <c r="B17" s="13"/>
      <c r="C17" s="15"/>
      <c r="D17" s="23"/>
      <c r="E17" s="22"/>
      <c r="F17" s="22"/>
      <c r="G17" s="16"/>
      <c r="H17" s="16"/>
      <c r="K17" s="72"/>
    </row>
    <row r="18" spans="1:12" ht="18.75" customHeight="1">
      <c r="A18" s="25"/>
      <c r="B18" s="19"/>
      <c r="C18" s="26" t="s">
        <v>107</v>
      </c>
      <c r="D18" s="27">
        <f>SUM(D13:D17)</f>
        <v>4440000</v>
      </c>
      <c r="E18" s="27"/>
      <c r="F18" s="27"/>
      <c r="G18" s="27"/>
      <c r="H18" s="27"/>
      <c r="L18" s="72"/>
    </row>
    <row r="19" spans="1:12" ht="14.25" customHeight="1">
      <c r="A19" s="20"/>
      <c r="B19" s="19"/>
      <c r="C19" s="85" t="s">
        <v>21</v>
      </c>
      <c r="D19" s="10"/>
      <c r="E19" s="530">
        <f>D18</f>
        <v>4440000</v>
      </c>
      <c r="F19" s="530"/>
      <c r="G19" s="530"/>
      <c r="H19" s="530"/>
    </row>
    <row r="20" spans="1:12">
      <c r="A20" s="524" t="s">
        <v>114</v>
      </c>
      <c r="B20" s="524"/>
      <c r="C20" s="524"/>
      <c r="D20" s="524"/>
      <c r="E20" s="524"/>
      <c r="F20" s="524"/>
      <c r="G20" s="524"/>
      <c r="H20" s="524"/>
    </row>
    <row r="21" spans="1:12">
      <c r="A21" s="12"/>
      <c r="B21" s="19" t="s">
        <v>100</v>
      </c>
      <c r="C21" s="24" t="s">
        <v>101</v>
      </c>
      <c r="D21" s="22">
        <v>130000</v>
      </c>
      <c r="E21" s="22"/>
      <c r="F21" s="22"/>
      <c r="G21" s="16"/>
      <c r="H21" s="16"/>
    </row>
    <row r="22" spans="1:12">
      <c r="A22" s="12"/>
      <c r="B22" s="13"/>
      <c r="C22" s="15"/>
      <c r="D22" s="22"/>
      <c r="E22" s="22"/>
      <c r="F22" s="22"/>
      <c r="G22" s="16"/>
      <c r="H22" s="16"/>
    </row>
    <row r="23" spans="1:12" hidden="1">
      <c r="A23" s="12"/>
      <c r="B23" s="13"/>
      <c r="C23" s="15"/>
      <c r="D23" s="22"/>
      <c r="E23" s="22"/>
      <c r="F23" s="22"/>
      <c r="G23" s="16"/>
      <c r="H23" s="16"/>
    </row>
    <row r="24" spans="1:12" hidden="1">
      <c r="A24" s="12"/>
      <c r="B24" s="13"/>
      <c r="C24" s="15"/>
      <c r="D24" s="22"/>
      <c r="E24" s="22"/>
      <c r="F24" s="22"/>
      <c r="G24" s="16"/>
      <c r="H24" s="16"/>
    </row>
    <row r="25" spans="1:12" hidden="1">
      <c r="A25" s="12"/>
      <c r="B25" s="13"/>
      <c r="C25" s="15"/>
      <c r="D25" s="23"/>
      <c r="E25" s="22"/>
      <c r="F25" s="22"/>
      <c r="G25" s="16"/>
      <c r="H25" s="16"/>
    </row>
    <row r="26" spans="1:12" ht="18.75" customHeight="1">
      <c r="A26" s="25"/>
      <c r="B26" s="19"/>
      <c r="C26" s="26" t="s">
        <v>107</v>
      </c>
      <c r="D26" s="27">
        <f>SUM(D21:D25)</f>
        <v>130000</v>
      </c>
      <c r="E26" s="27"/>
      <c r="F26" s="27"/>
      <c r="G26" s="27"/>
      <c r="H26" s="27"/>
    </row>
    <row r="27" spans="1:12" ht="14.25" customHeight="1">
      <c r="A27" s="20"/>
      <c r="B27" s="19"/>
      <c r="C27" s="85" t="s">
        <v>21</v>
      </c>
      <c r="D27" s="10"/>
      <c r="E27" s="530">
        <f>D26</f>
        <v>130000</v>
      </c>
      <c r="F27" s="530"/>
      <c r="G27" s="530"/>
      <c r="H27" s="530"/>
    </row>
    <row r="28" spans="1:12">
      <c r="A28" s="525" t="s">
        <v>115</v>
      </c>
      <c r="B28" s="525"/>
      <c r="C28" s="525"/>
      <c r="D28" s="83"/>
      <c r="E28" s="526">
        <f>E19+E27</f>
        <v>4570000</v>
      </c>
      <c r="F28" s="526"/>
      <c r="G28" s="526"/>
      <c r="H28" s="526"/>
    </row>
    <row r="29" spans="1:12">
      <c r="A29" s="524" t="s">
        <v>32</v>
      </c>
      <c r="B29" s="524"/>
      <c r="C29" s="524"/>
      <c r="D29" s="524"/>
      <c r="E29" s="524"/>
      <c r="F29" s="524"/>
      <c r="G29" s="524"/>
      <c r="H29" s="524"/>
    </row>
    <row r="30" spans="1:12">
      <c r="A30" s="33"/>
      <c r="B30" s="13"/>
      <c r="C30" s="22"/>
      <c r="D30" s="22"/>
      <c r="E30" s="22"/>
      <c r="F30" s="22"/>
      <c r="G30" s="16"/>
      <c r="H30" s="16"/>
    </row>
    <row r="31" spans="1:12">
      <c r="A31" s="33"/>
      <c r="B31" s="13"/>
      <c r="C31" s="22"/>
      <c r="D31" s="22"/>
      <c r="E31" s="22"/>
      <c r="F31" s="22"/>
      <c r="G31" s="16"/>
      <c r="H31" s="16"/>
    </row>
    <row r="32" spans="1:12">
      <c r="A32" s="33"/>
      <c r="B32" s="13"/>
      <c r="C32" s="22"/>
      <c r="D32" s="22"/>
      <c r="E32" s="22"/>
      <c r="F32" s="22"/>
      <c r="G32" s="16"/>
      <c r="H32" s="16"/>
    </row>
    <row r="33" spans="1:8">
      <c r="A33" s="20"/>
      <c r="B33" s="13"/>
      <c r="C33" s="22"/>
      <c r="D33" s="22"/>
      <c r="E33" s="22"/>
      <c r="F33" s="16"/>
      <c r="G33" s="16"/>
      <c r="H33" s="16"/>
    </row>
    <row r="34" spans="1:8">
      <c r="A34" s="20"/>
      <c r="B34" s="13"/>
      <c r="C34" s="22"/>
      <c r="D34" s="22"/>
      <c r="E34" s="22"/>
      <c r="F34" s="16"/>
      <c r="G34" s="16"/>
      <c r="H34" s="16"/>
    </row>
    <row r="35" spans="1:8">
      <c r="A35" s="525" t="s">
        <v>37</v>
      </c>
      <c r="B35" s="525"/>
      <c r="C35" s="525"/>
      <c r="D35" s="83">
        <f>SUM(D30:D34)</f>
        <v>0</v>
      </c>
      <c r="E35" s="526"/>
      <c r="F35" s="526"/>
      <c r="G35" s="526"/>
      <c r="H35" s="526"/>
    </row>
    <row r="36" spans="1:8">
      <c r="A36" s="34" t="s">
        <v>38</v>
      </c>
      <c r="B36" s="35"/>
      <c r="C36" s="83"/>
      <c r="D36" s="83"/>
      <c r="E36" s="84"/>
      <c r="F36" s="84"/>
      <c r="G36" s="526"/>
      <c r="H36" s="526"/>
    </row>
    <row r="37" spans="1:8">
      <c r="A37" s="37"/>
      <c r="B37" s="38"/>
      <c r="C37" s="39"/>
      <c r="D37" s="39"/>
      <c r="E37" s="39"/>
      <c r="F37" s="39"/>
      <c r="G37" s="39"/>
      <c r="H37" s="39"/>
    </row>
    <row r="38" spans="1:8">
      <c r="A38" s="519" t="s">
        <v>13</v>
      </c>
      <c r="B38" s="520"/>
      <c r="C38" s="520"/>
      <c r="D38" s="520"/>
      <c r="E38" s="521"/>
      <c r="F38" s="39"/>
      <c r="G38" s="39"/>
      <c r="H38" s="40"/>
    </row>
    <row r="39" spans="1:8">
      <c r="A39" s="41" t="s">
        <v>39</v>
      </c>
      <c r="B39" s="42" t="s">
        <v>40</v>
      </c>
      <c r="C39" s="43" t="s">
        <v>41</v>
      </c>
      <c r="D39" s="43" t="s">
        <v>42</v>
      </c>
      <c r="E39" s="43" t="s">
        <v>43</v>
      </c>
      <c r="F39" s="39"/>
      <c r="G39" s="39"/>
      <c r="H39" s="39"/>
    </row>
    <row r="40" spans="1:8">
      <c r="A40" s="41"/>
      <c r="B40" s="44"/>
      <c r="C40" s="45"/>
      <c r="D40" s="46"/>
      <c r="E40" s="46"/>
      <c r="F40" s="39"/>
      <c r="G40" s="39"/>
      <c r="H40" s="39"/>
    </row>
    <row r="41" spans="1:8">
      <c r="A41" s="41"/>
      <c r="B41" s="44"/>
      <c r="C41" s="45"/>
      <c r="D41" s="46"/>
      <c r="E41" s="46"/>
      <c r="F41" s="39"/>
      <c r="G41" s="39"/>
      <c r="H41" s="39"/>
    </row>
    <row r="42" spans="1:8">
      <c r="A42" s="41"/>
      <c r="B42" s="44"/>
      <c r="C42" s="45"/>
      <c r="D42" s="46"/>
      <c r="E42" s="46"/>
      <c r="F42" s="39"/>
      <c r="G42" s="39"/>
      <c r="H42" s="39"/>
    </row>
    <row r="43" spans="1:8">
      <c r="A43" s="41"/>
      <c r="B43" s="44"/>
      <c r="C43" s="47"/>
      <c r="D43" s="46"/>
      <c r="E43" s="46"/>
      <c r="F43" s="39"/>
      <c r="G43" s="39"/>
      <c r="H43" s="39"/>
    </row>
    <row r="44" spans="1:8">
      <c r="A44" s="41"/>
      <c r="B44" s="44"/>
      <c r="C44" s="46"/>
      <c r="D44" s="48"/>
      <c r="E44" s="46"/>
      <c r="F44" s="39"/>
      <c r="G44" s="39"/>
      <c r="H44" s="39"/>
    </row>
    <row r="45" spans="1:8">
      <c r="A45" s="49"/>
      <c r="B45" s="50"/>
      <c r="C45" s="51" t="s">
        <v>44</v>
      </c>
      <c r="D45" s="51">
        <f>SUM(D40:D44)</f>
        <v>0</v>
      </c>
      <c r="E45" s="52"/>
      <c r="F45" s="39"/>
      <c r="G45" s="39"/>
      <c r="H45" s="39"/>
    </row>
    <row r="46" spans="1:8">
      <c r="A46" s="53"/>
      <c r="B46" s="54"/>
      <c r="C46" s="55"/>
      <c r="D46" s="56"/>
      <c r="E46" s="3"/>
      <c r="F46" s="39"/>
      <c r="G46" s="39"/>
      <c r="H46" s="39"/>
    </row>
  </sheetData>
  <mergeCells count="13">
    <mergeCell ref="A38:E38"/>
    <mergeCell ref="A20:H20"/>
    <mergeCell ref="E27:H27"/>
    <mergeCell ref="A28:C28"/>
    <mergeCell ref="E28:H28"/>
    <mergeCell ref="A35:C35"/>
    <mergeCell ref="E35:H35"/>
    <mergeCell ref="G36:H36"/>
    <mergeCell ref="A12:H12"/>
    <mergeCell ref="E19:H19"/>
    <mergeCell ref="A29:H29"/>
    <mergeCell ref="A3:H3"/>
    <mergeCell ref="A11:C11"/>
  </mergeCells>
  <pageMargins left="0.7" right="0.7" top="0.75" bottom="0.75" header="0.3" footer="0.3"/>
  <pageSetup paperSize="9" scale="8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"/>
  <sheetViews>
    <sheetView workbookViewId="0"/>
  </sheetViews>
  <sheetFormatPr defaultRowHeight="15"/>
  <cols>
    <col min="1" max="1" width="36.42578125" bestFit="1" customWidth="1"/>
    <col min="2" max="2" width="11.5703125" bestFit="1" customWidth="1"/>
    <col min="3" max="3" width="26.7109375" bestFit="1" customWidth="1"/>
    <col min="4" max="4" width="10.5703125" bestFit="1" customWidth="1"/>
    <col min="5" max="5" width="71.28515625" bestFit="1" customWidth="1"/>
    <col min="6" max="6" width="10.5703125" bestFit="1" customWidth="1"/>
    <col min="7" max="7" width="63.140625" bestFit="1" customWidth="1"/>
    <col min="8" max="8" width="11.5703125" bestFit="1" customWidth="1"/>
    <col min="9" max="9" width="29" bestFit="1" customWidth="1"/>
    <col min="10" max="10" width="10.5703125" bestFit="1" customWidth="1"/>
  </cols>
  <sheetData>
    <row r="1" spans="1:13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  <c r="K1" s="539" t="s">
        <v>52</v>
      </c>
      <c r="L1" s="539"/>
    </row>
    <row r="2" spans="1:13">
      <c r="A2" s="15" t="s">
        <v>64</v>
      </c>
      <c r="B2" s="23">
        <v>220000</v>
      </c>
      <c r="C2" s="14" t="s">
        <v>108</v>
      </c>
      <c r="D2" s="15">
        <v>270000</v>
      </c>
      <c r="E2" s="15" t="s">
        <v>122</v>
      </c>
      <c r="F2" s="22">
        <v>1110000</v>
      </c>
      <c r="G2" s="14" t="s">
        <v>104</v>
      </c>
      <c r="H2" s="15">
        <v>500000</v>
      </c>
      <c r="I2" s="15" t="s">
        <v>105</v>
      </c>
      <c r="J2" s="22">
        <v>2000000</v>
      </c>
      <c r="K2" s="22"/>
      <c r="L2" s="29"/>
    </row>
    <row r="3" spans="1:13" ht="15.75">
      <c r="A3" s="15" t="s">
        <v>58</v>
      </c>
      <c r="B3" s="23">
        <v>660000</v>
      </c>
      <c r="C3" s="15" t="s">
        <v>68</v>
      </c>
      <c r="D3" s="23">
        <v>300000</v>
      </c>
      <c r="E3" s="15" t="s">
        <v>125</v>
      </c>
      <c r="F3" s="23">
        <v>2480000</v>
      </c>
      <c r="G3" s="14" t="s">
        <v>106</v>
      </c>
      <c r="H3" s="15">
        <v>4068000</v>
      </c>
      <c r="I3" s="15" t="s">
        <v>118</v>
      </c>
      <c r="J3" s="22">
        <v>300000</v>
      </c>
      <c r="K3" s="60"/>
      <c r="L3" s="60"/>
    </row>
    <row r="4" spans="1:13">
      <c r="A4" s="23" t="s">
        <v>127</v>
      </c>
      <c r="B4" s="23">
        <v>54000</v>
      </c>
      <c r="C4" s="23" t="s">
        <v>112</v>
      </c>
      <c r="D4" s="23">
        <v>600000</v>
      </c>
      <c r="E4" s="15" t="s">
        <v>111</v>
      </c>
      <c r="F4" s="23">
        <v>1280000</v>
      </c>
      <c r="G4" s="14" t="s">
        <v>102</v>
      </c>
      <c r="H4" s="15">
        <v>311500</v>
      </c>
      <c r="I4" s="15"/>
      <c r="J4" s="22"/>
      <c r="K4" s="61"/>
      <c r="L4" s="61"/>
    </row>
    <row r="5" spans="1:13">
      <c r="A5" s="22" t="s">
        <v>110</v>
      </c>
      <c r="B5" s="22">
        <v>440000</v>
      </c>
      <c r="C5" s="22"/>
      <c r="D5" s="29"/>
      <c r="E5" s="15"/>
      <c r="F5" s="22"/>
      <c r="G5" s="14" t="s">
        <v>117</v>
      </c>
      <c r="H5" s="15">
        <v>38500</v>
      </c>
      <c r="I5" s="14"/>
      <c r="J5" s="15"/>
      <c r="K5" s="62"/>
      <c r="L5" s="62"/>
    </row>
    <row r="6" spans="1:13">
      <c r="A6" s="22"/>
      <c r="B6" s="29"/>
      <c r="C6" s="15"/>
      <c r="D6" s="22"/>
      <c r="E6" s="15"/>
      <c r="F6" s="22"/>
      <c r="G6" s="14" t="s">
        <v>130</v>
      </c>
      <c r="H6" s="15">
        <v>2120000</v>
      </c>
      <c r="I6" s="14"/>
      <c r="J6" s="15"/>
      <c r="K6" s="62"/>
      <c r="L6" s="62"/>
    </row>
    <row r="7" spans="1:13">
      <c r="A7" s="63"/>
      <c r="B7" s="63"/>
      <c r="C7" s="22"/>
      <c r="D7" s="29"/>
      <c r="E7" s="15"/>
      <c r="F7" s="22"/>
      <c r="G7" s="14" t="s">
        <v>101</v>
      </c>
      <c r="H7" s="15">
        <v>130000</v>
      </c>
      <c r="I7" s="14"/>
      <c r="J7" s="15"/>
      <c r="K7" s="62"/>
      <c r="L7" s="62"/>
    </row>
    <row r="8" spans="1:13">
      <c r="A8" s="63"/>
      <c r="B8" s="63"/>
      <c r="C8" s="22"/>
      <c r="D8" s="29"/>
      <c r="E8" s="22"/>
      <c r="F8" s="29"/>
      <c r="G8" s="14"/>
      <c r="H8" s="15"/>
      <c r="I8" s="22"/>
      <c r="J8" s="29"/>
      <c r="K8" s="62"/>
      <c r="L8" s="62"/>
    </row>
    <row r="9" spans="1:13">
      <c r="A9" s="64"/>
      <c r="B9" s="61"/>
      <c r="C9" s="22"/>
      <c r="D9" s="29"/>
      <c r="E9" s="61"/>
      <c r="F9" s="65"/>
      <c r="G9" s="14"/>
      <c r="H9" s="15"/>
      <c r="I9" s="22"/>
      <c r="J9" s="29"/>
      <c r="K9" s="62"/>
      <c r="L9" s="62"/>
    </row>
    <row r="10" spans="1:13">
      <c r="A10" s="64"/>
      <c r="B10" s="61"/>
      <c r="C10" s="66"/>
      <c r="D10" s="66"/>
      <c r="E10" s="61"/>
      <c r="F10" s="65"/>
      <c r="G10" s="14"/>
      <c r="H10" s="15"/>
      <c r="I10" s="22"/>
      <c r="J10" s="29"/>
      <c r="K10" s="62"/>
      <c r="L10" s="62"/>
    </row>
    <row r="11" spans="1:13">
      <c r="A11" s="64"/>
      <c r="B11" s="61"/>
      <c r="C11" s="66"/>
      <c r="D11" s="66"/>
      <c r="E11" s="61"/>
      <c r="F11" s="65"/>
      <c r="G11" s="15"/>
      <c r="H11" s="22"/>
      <c r="I11" s="22"/>
      <c r="J11" s="29"/>
      <c r="K11" s="62"/>
      <c r="L11" s="62"/>
    </row>
    <row r="12" spans="1:13">
      <c r="A12" s="64"/>
      <c r="B12" s="61"/>
      <c r="C12" s="66"/>
      <c r="D12" s="66"/>
      <c r="E12" s="61"/>
      <c r="F12" s="65"/>
      <c r="G12" s="15"/>
      <c r="H12" s="22"/>
      <c r="I12" s="62"/>
      <c r="J12" s="67"/>
      <c r="K12" s="62"/>
      <c r="L12" s="62"/>
    </row>
    <row r="13" spans="1:13">
      <c r="A13" s="68"/>
      <c r="B13" s="69"/>
      <c r="C13" s="69"/>
      <c r="D13" s="69"/>
      <c r="E13" s="69"/>
      <c r="F13" s="69"/>
      <c r="G13" s="15"/>
      <c r="H13" s="22"/>
      <c r="I13" s="68"/>
      <c r="J13" s="69"/>
      <c r="K13" s="68"/>
      <c r="L13" s="68"/>
    </row>
    <row r="14" spans="1:13">
      <c r="A14" s="68"/>
      <c r="B14" s="69"/>
      <c r="C14" s="69"/>
      <c r="D14" s="69"/>
      <c r="E14" s="69"/>
      <c r="F14" s="69"/>
      <c r="G14" s="14"/>
      <c r="H14" s="15"/>
      <c r="I14" s="68"/>
      <c r="J14" s="69"/>
      <c r="K14" s="68"/>
      <c r="L14" s="68"/>
    </row>
    <row r="15" spans="1:13">
      <c r="A15" s="70"/>
      <c r="B15" s="71">
        <f>SUM(B2:B14)</f>
        <v>1374000</v>
      </c>
      <c r="C15" s="71"/>
      <c r="D15" s="71">
        <f t="shared" ref="D15:L15" si="0">SUM(D2:D14)</f>
        <v>1170000</v>
      </c>
      <c r="E15" s="71"/>
      <c r="F15" s="71">
        <f t="shared" si="0"/>
        <v>4870000</v>
      </c>
      <c r="G15" s="71"/>
      <c r="H15" s="71">
        <f t="shared" si="0"/>
        <v>7168000</v>
      </c>
      <c r="I15" s="71"/>
      <c r="J15" s="71">
        <f t="shared" si="0"/>
        <v>2300000</v>
      </c>
      <c r="K15" s="71">
        <f t="shared" si="0"/>
        <v>0</v>
      </c>
      <c r="L15" s="71">
        <f t="shared" si="0"/>
        <v>0</v>
      </c>
      <c r="M15" s="72"/>
    </row>
    <row r="16" spans="1:13">
      <c r="C16" t="s">
        <v>98</v>
      </c>
      <c r="D16" s="77">
        <v>100000</v>
      </c>
    </row>
    <row r="17" spans="2:6">
      <c r="B17" s="77"/>
      <c r="F17" s="72">
        <f>F15-F4</f>
        <v>3590000</v>
      </c>
    </row>
    <row r="18" spans="2:6">
      <c r="D18" s="72">
        <f>D15-D16</f>
        <v>1070000</v>
      </c>
    </row>
    <row r="19" spans="2:6">
      <c r="D19" s="77"/>
    </row>
    <row r="20" spans="2:6">
      <c r="B20" s="72"/>
      <c r="C20" s="72"/>
    </row>
    <row r="22" spans="2:6">
      <c r="B22" s="72"/>
    </row>
  </sheetData>
  <mergeCells count="1"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6"/>
  <sheetViews>
    <sheetView workbookViewId="0"/>
  </sheetViews>
  <sheetFormatPr defaultRowHeight="15"/>
  <cols>
    <col min="1" max="1" width="7.7109375" customWidth="1"/>
    <col min="2" max="2" width="11" customWidth="1"/>
    <col min="3" max="3" width="69.42578125" customWidth="1"/>
    <col min="4" max="4" width="12.28515625" bestFit="1" customWidth="1"/>
    <col min="5" max="5" width="7.5703125" bestFit="1" customWidth="1"/>
    <col min="6" max="6" width="6.28515625" bestFit="1" customWidth="1"/>
    <col min="7" max="7" width="6" bestFit="1" customWidth="1"/>
    <col min="8" max="8" width="12" bestFit="1" customWidth="1"/>
    <col min="10" max="10" width="10.5703125" bestFit="1" customWidth="1"/>
    <col min="12" max="12" width="63.7109375" bestFit="1" customWidth="1"/>
    <col min="13" max="13" width="12.285156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133</v>
      </c>
      <c r="B2" s="2"/>
      <c r="C2" s="3"/>
      <c r="D2" s="3"/>
      <c r="E2" s="3"/>
      <c r="F2" s="3"/>
      <c r="G2" s="3"/>
      <c r="H2" s="3"/>
      <c r="J2" s="1" t="s">
        <v>133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0</v>
      </c>
      <c r="E4" s="6"/>
      <c r="F4" s="6"/>
      <c r="G4" s="6"/>
      <c r="H4" s="6"/>
      <c r="J4" s="4"/>
      <c r="K4" s="5"/>
      <c r="L4" s="6" t="s">
        <v>2</v>
      </c>
      <c r="M4" s="7">
        <v>0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65618079.200000003</v>
      </c>
      <c r="E5" s="6"/>
      <c r="F5" s="6"/>
      <c r="G5" s="6"/>
      <c r="H5" s="6"/>
      <c r="J5" s="4"/>
      <c r="K5" s="5"/>
      <c r="L5" s="6" t="s">
        <v>3</v>
      </c>
      <c r="M5" s="8">
        <v>65618079.200000003</v>
      </c>
      <c r="N5" s="6"/>
      <c r="O5" s="6"/>
      <c r="P5" s="6"/>
      <c r="Q5" s="6"/>
    </row>
    <row r="6" spans="1:17">
      <c r="A6" s="4"/>
      <c r="B6" s="5"/>
      <c r="C6" s="6" t="s">
        <v>161</v>
      </c>
      <c r="D6" s="9">
        <v>346369459</v>
      </c>
      <c r="E6" s="6"/>
      <c r="F6" s="6"/>
      <c r="G6" s="6"/>
      <c r="H6" s="6"/>
      <c r="J6" s="4"/>
      <c r="K6" s="5"/>
      <c r="L6" s="6" t="s">
        <v>161</v>
      </c>
      <c r="M6" s="9">
        <v>346369459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154</v>
      </c>
      <c r="B11" s="532"/>
      <c r="C11" s="532"/>
      <c r="D11" s="532"/>
      <c r="E11" s="532"/>
      <c r="F11" s="532"/>
      <c r="G11" s="533"/>
      <c r="H11" s="10">
        <f>SUM(D4:D9)</f>
        <v>419058084.19999999</v>
      </c>
      <c r="J11" s="531" t="s">
        <v>154</v>
      </c>
      <c r="K11" s="532"/>
      <c r="L11" s="532"/>
      <c r="M11" s="532"/>
      <c r="N11" s="532"/>
      <c r="O11" s="532"/>
      <c r="P11" s="533"/>
      <c r="Q11" s="10">
        <f>SUM(M4:M9)</f>
        <v>419058084.19999999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95" t="s">
        <v>14</v>
      </c>
      <c r="F14" s="95" t="s">
        <v>15</v>
      </c>
      <c r="G14" s="95" t="s">
        <v>16</v>
      </c>
      <c r="H14" s="95" t="s">
        <v>17</v>
      </c>
      <c r="J14" s="536"/>
      <c r="K14" s="537"/>
      <c r="L14" s="538"/>
      <c r="M14" s="538"/>
      <c r="N14" s="99" t="s">
        <v>14</v>
      </c>
      <c r="O14" s="99" t="s">
        <v>15</v>
      </c>
      <c r="P14" s="99" t="s">
        <v>16</v>
      </c>
      <c r="Q14" s="99" t="s">
        <v>17</v>
      </c>
    </row>
    <row r="15" spans="1:17">
      <c r="A15" s="12"/>
      <c r="B15" s="13" t="s">
        <v>103</v>
      </c>
      <c r="C15" s="14" t="s">
        <v>172</v>
      </c>
      <c r="D15" s="15">
        <v>500000</v>
      </c>
      <c r="E15" s="16"/>
      <c r="F15" s="16"/>
      <c r="G15" s="16"/>
      <c r="H15" s="16"/>
      <c r="J15" s="12"/>
      <c r="K15" s="13" t="s">
        <v>103</v>
      </c>
      <c r="L15" s="14" t="s">
        <v>172</v>
      </c>
      <c r="M15" s="15">
        <v>500000</v>
      </c>
      <c r="N15" s="16"/>
      <c r="O15" s="16"/>
      <c r="P15" s="16"/>
      <c r="Q15" s="16"/>
    </row>
    <row r="16" spans="1:17">
      <c r="A16" s="12"/>
      <c r="B16" s="13" t="s">
        <v>134</v>
      </c>
      <c r="C16" s="14" t="s">
        <v>135</v>
      </c>
      <c r="D16" s="15">
        <v>34000</v>
      </c>
      <c r="E16" s="16"/>
      <c r="F16" s="16"/>
      <c r="G16" s="16"/>
      <c r="H16" s="16"/>
      <c r="J16" s="12"/>
      <c r="K16" s="13" t="s">
        <v>134</v>
      </c>
      <c r="L16" s="14" t="s">
        <v>135</v>
      </c>
      <c r="M16" s="15">
        <v>34000</v>
      </c>
      <c r="N16" s="16"/>
      <c r="O16" s="16"/>
      <c r="P16" s="16"/>
      <c r="Q16" s="16"/>
    </row>
    <row r="17" spans="1:17">
      <c r="A17" s="12"/>
      <c r="B17" s="13" t="s">
        <v>134</v>
      </c>
      <c r="C17" s="14" t="s">
        <v>136</v>
      </c>
      <c r="D17" s="15">
        <v>30000</v>
      </c>
      <c r="E17" s="16"/>
      <c r="F17" s="16"/>
      <c r="G17" s="16"/>
      <c r="H17" s="16"/>
      <c r="J17" s="12"/>
      <c r="K17" s="13" t="s">
        <v>134</v>
      </c>
      <c r="L17" s="14" t="s">
        <v>136</v>
      </c>
      <c r="M17" s="15">
        <v>30000</v>
      </c>
      <c r="N17" s="16"/>
      <c r="O17" s="16"/>
      <c r="P17" s="16"/>
      <c r="Q17" s="16"/>
    </row>
    <row r="18" spans="1:17">
      <c r="A18" s="12"/>
      <c r="B18" s="13" t="s">
        <v>134</v>
      </c>
      <c r="C18" s="14" t="s">
        <v>160</v>
      </c>
      <c r="D18" s="15">
        <v>50000</v>
      </c>
      <c r="E18" s="16"/>
      <c r="F18" s="16"/>
      <c r="G18" s="16"/>
      <c r="H18" s="16"/>
      <c r="J18" s="12"/>
      <c r="K18" s="13" t="s">
        <v>134</v>
      </c>
      <c r="L18" s="14" t="s">
        <v>160</v>
      </c>
      <c r="M18" s="15">
        <v>50000</v>
      </c>
      <c r="N18" s="16"/>
      <c r="O18" s="16"/>
      <c r="P18" s="16"/>
      <c r="Q18" s="16"/>
    </row>
    <row r="19" spans="1:17">
      <c r="A19" s="12"/>
      <c r="B19" s="13"/>
      <c r="C19" s="14"/>
      <c r="D19" s="15"/>
      <c r="E19" s="16"/>
      <c r="F19" s="16"/>
      <c r="G19" s="16"/>
      <c r="H19" s="16"/>
      <c r="J19" s="12"/>
      <c r="K19" s="13"/>
      <c r="L19" s="14"/>
      <c r="M19" s="15"/>
      <c r="N19" s="16"/>
      <c r="O19" s="16"/>
      <c r="P19" s="16"/>
      <c r="Q19" s="16"/>
    </row>
    <row r="20" spans="1:17">
      <c r="A20" s="18"/>
      <c r="B20" s="19"/>
      <c r="C20" s="95" t="s">
        <v>20</v>
      </c>
      <c r="D20" s="10">
        <f>SUM(D15:D19)</f>
        <v>614000</v>
      </c>
      <c r="E20" s="10"/>
      <c r="F20" s="10"/>
      <c r="G20" s="10"/>
      <c r="H20" s="10"/>
      <c r="J20" s="18"/>
      <c r="K20" s="19"/>
      <c r="L20" s="99" t="s">
        <v>20</v>
      </c>
      <c r="M20" s="10">
        <f>SUM(M15:M19)</f>
        <v>614000</v>
      </c>
      <c r="N20" s="10"/>
      <c r="O20" s="10"/>
      <c r="P20" s="10"/>
      <c r="Q20" s="10"/>
    </row>
    <row r="21" spans="1:17">
      <c r="A21" s="20"/>
      <c r="B21" s="531" t="s">
        <v>21</v>
      </c>
      <c r="C21" s="532"/>
      <c r="D21" s="532"/>
      <c r="E21" s="532"/>
      <c r="F21" s="532"/>
      <c r="G21" s="533"/>
      <c r="H21" s="21">
        <f>+D20</f>
        <v>614000</v>
      </c>
      <c r="J21" s="20"/>
      <c r="K21" s="531" t="s">
        <v>21</v>
      </c>
      <c r="L21" s="532"/>
      <c r="M21" s="532"/>
      <c r="N21" s="532"/>
      <c r="O21" s="532"/>
      <c r="P21" s="533"/>
      <c r="Q21" s="21">
        <f>+M20</f>
        <v>614000</v>
      </c>
    </row>
    <row r="22" spans="1:17">
      <c r="A22" s="526" t="s">
        <v>22</v>
      </c>
      <c r="B22" s="526"/>
      <c r="C22" s="526"/>
      <c r="D22" s="526"/>
      <c r="E22" s="526">
        <f>+H21</f>
        <v>614000</v>
      </c>
      <c r="F22" s="526"/>
      <c r="G22" s="526"/>
      <c r="H22" s="526"/>
      <c r="J22" s="526" t="s">
        <v>22</v>
      </c>
      <c r="K22" s="526"/>
      <c r="L22" s="526"/>
      <c r="M22" s="526"/>
      <c r="N22" s="526">
        <f>+Q21</f>
        <v>614000</v>
      </c>
      <c r="O22" s="526"/>
      <c r="P22" s="526"/>
      <c r="Q22" s="526"/>
    </row>
    <row r="23" spans="1:17">
      <c r="A23" s="524" t="s">
        <v>23</v>
      </c>
      <c r="B23" s="524"/>
      <c r="C23" s="524"/>
      <c r="D23" s="524"/>
      <c r="E23" s="524"/>
      <c r="F23" s="524"/>
      <c r="G23" s="524"/>
      <c r="H23" s="524"/>
      <c r="J23" s="524" t="s">
        <v>23</v>
      </c>
      <c r="K23" s="524"/>
      <c r="L23" s="524"/>
      <c r="M23" s="524"/>
      <c r="N23" s="524"/>
      <c r="O23" s="524"/>
      <c r="P23" s="524"/>
      <c r="Q23" s="524"/>
    </row>
    <row r="24" spans="1:17">
      <c r="A24" s="12"/>
      <c r="B24" s="13" t="s">
        <v>140</v>
      </c>
      <c r="C24" s="15" t="s">
        <v>142</v>
      </c>
      <c r="D24" s="22">
        <v>642000</v>
      </c>
      <c r="E24" s="22"/>
      <c r="F24" s="22"/>
      <c r="G24" s="16"/>
      <c r="H24" s="16"/>
      <c r="J24" s="12"/>
      <c r="K24" s="13" t="s">
        <v>140</v>
      </c>
      <c r="L24" s="15" t="s">
        <v>142</v>
      </c>
      <c r="M24" s="22">
        <v>642000</v>
      </c>
      <c r="N24" s="22"/>
      <c r="O24" s="22"/>
      <c r="P24" s="16"/>
      <c r="Q24" s="16"/>
    </row>
    <row r="25" spans="1:17">
      <c r="A25" s="12"/>
      <c r="B25" s="13" t="s">
        <v>143</v>
      </c>
      <c r="C25" s="15" t="s">
        <v>168</v>
      </c>
      <c r="D25" s="22">
        <f>490000+1120000+15000</f>
        <v>1625000</v>
      </c>
      <c r="E25" s="22"/>
      <c r="F25" s="22"/>
      <c r="G25" s="16"/>
      <c r="H25" s="16"/>
      <c r="J25" s="12"/>
      <c r="K25" s="13" t="s">
        <v>143</v>
      </c>
      <c r="L25" s="15" t="s">
        <v>168</v>
      </c>
      <c r="M25" s="22"/>
      <c r="N25" s="22"/>
      <c r="O25" s="22"/>
      <c r="P25" s="16"/>
      <c r="Q25" s="16"/>
    </row>
    <row r="26" spans="1:17">
      <c r="A26" s="12"/>
      <c r="B26" s="13" t="s">
        <v>143</v>
      </c>
      <c r="C26" s="15" t="s">
        <v>173</v>
      </c>
      <c r="D26" s="22">
        <v>280000</v>
      </c>
      <c r="E26" s="22"/>
      <c r="F26" s="22"/>
      <c r="G26" s="16"/>
      <c r="H26" s="16"/>
      <c r="J26" s="12"/>
      <c r="K26" s="13" t="s">
        <v>143</v>
      </c>
      <c r="L26" s="15" t="s">
        <v>173</v>
      </c>
      <c r="M26" s="22"/>
      <c r="N26" s="22"/>
      <c r="O26" s="22"/>
      <c r="P26" s="16"/>
      <c r="Q26" s="16"/>
    </row>
    <row r="27" spans="1:17">
      <c r="A27" s="12"/>
      <c r="B27" s="13" t="s">
        <v>148</v>
      </c>
      <c r="C27" s="15" t="s">
        <v>149</v>
      </c>
      <c r="D27" s="22">
        <v>2100000</v>
      </c>
      <c r="E27" s="22"/>
      <c r="F27" s="22"/>
      <c r="G27" s="16"/>
      <c r="H27" s="16"/>
      <c r="J27" s="12"/>
      <c r="K27" s="13" t="s">
        <v>148</v>
      </c>
      <c r="L27" s="15" t="s">
        <v>149</v>
      </c>
      <c r="M27" s="22">
        <v>2100000</v>
      </c>
      <c r="N27" s="22"/>
      <c r="O27" s="22"/>
      <c r="P27" s="16"/>
      <c r="Q27" s="16"/>
    </row>
    <row r="28" spans="1:17">
      <c r="A28" s="12"/>
      <c r="B28" s="13" t="s">
        <v>153</v>
      </c>
      <c r="C28" s="15" t="s">
        <v>169</v>
      </c>
      <c r="D28" s="22">
        <v>100000</v>
      </c>
      <c r="E28" s="22"/>
      <c r="F28" s="22"/>
      <c r="G28" s="16"/>
      <c r="H28" s="16"/>
      <c r="J28" s="12"/>
      <c r="K28" s="13" t="s">
        <v>153</v>
      </c>
      <c r="L28" s="15" t="s">
        <v>169</v>
      </c>
      <c r="M28" s="22">
        <v>100000</v>
      </c>
      <c r="N28" s="22"/>
      <c r="O28" s="22"/>
      <c r="P28" s="16"/>
      <c r="Q28" s="16"/>
    </row>
    <row r="29" spans="1:17">
      <c r="A29" s="12"/>
      <c r="B29" s="13" t="s">
        <v>158</v>
      </c>
      <c r="C29" s="15" t="s">
        <v>159</v>
      </c>
      <c r="D29" s="23">
        <v>1010000</v>
      </c>
      <c r="E29" s="22"/>
      <c r="F29" s="22"/>
      <c r="G29" s="16"/>
      <c r="H29" s="16"/>
      <c r="J29" s="12"/>
      <c r="K29" s="13" t="s">
        <v>158</v>
      </c>
      <c r="L29" s="15" t="s">
        <v>159</v>
      </c>
      <c r="M29" s="23">
        <v>1010000</v>
      </c>
      <c r="N29" s="22"/>
      <c r="O29" s="22"/>
      <c r="P29" s="16"/>
      <c r="Q29" s="16"/>
    </row>
    <row r="30" spans="1:17">
      <c r="A30" s="12"/>
      <c r="B30" s="13" t="s">
        <v>158</v>
      </c>
      <c r="C30" s="15" t="s">
        <v>150</v>
      </c>
      <c r="D30" s="23">
        <v>150000</v>
      </c>
      <c r="E30" s="22"/>
      <c r="F30" s="22"/>
      <c r="G30" s="16"/>
      <c r="H30" s="16"/>
      <c r="J30" s="12"/>
      <c r="K30" s="13" t="s">
        <v>158</v>
      </c>
      <c r="L30" s="15" t="s">
        <v>150</v>
      </c>
      <c r="M30" s="23">
        <v>150000</v>
      </c>
      <c r="N30" s="22"/>
      <c r="O30" s="22"/>
      <c r="P30" s="16"/>
      <c r="Q30" s="16"/>
    </row>
    <row r="31" spans="1:17">
      <c r="A31" s="12"/>
      <c r="B31" s="13" t="s">
        <v>158</v>
      </c>
      <c r="C31" s="15" t="s">
        <v>170</v>
      </c>
      <c r="D31" s="23">
        <v>25000</v>
      </c>
      <c r="E31" s="22"/>
      <c r="F31" s="22"/>
      <c r="G31" s="16"/>
      <c r="H31" s="16"/>
      <c r="J31" s="12"/>
      <c r="K31" s="13" t="s">
        <v>158</v>
      </c>
      <c r="L31" s="15" t="s">
        <v>170</v>
      </c>
      <c r="M31" s="23">
        <v>25000</v>
      </c>
      <c r="N31" s="22"/>
      <c r="O31" s="22"/>
      <c r="P31" s="16"/>
      <c r="Q31" s="16"/>
    </row>
    <row r="32" spans="1:17">
      <c r="A32" s="12"/>
      <c r="B32" s="13" t="s">
        <v>158</v>
      </c>
      <c r="C32" s="15" t="s">
        <v>156</v>
      </c>
      <c r="D32" s="23">
        <v>150000</v>
      </c>
      <c r="E32" s="22"/>
      <c r="F32" s="22"/>
      <c r="G32" s="16"/>
      <c r="H32" s="16"/>
      <c r="J32" s="12"/>
      <c r="K32" s="13" t="s">
        <v>158</v>
      </c>
      <c r="L32" s="15" t="s">
        <v>156</v>
      </c>
      <c r="M32" s="23">
        <v>150000</v>
      </c>
      <c r="N32" s="22"/>
      <c r="O32" s="22"/>
      <c r="P32" s="16"/>
      <c r="Q32" s="16"/>
    </row>
    <row r="33" spans="1:17">
      <c r="A33" s="12"/>
      <c r="B33" s="13" t="s">
        <v>158</v>
      </c>
      <c r="C33" s="15" t="s">
        <v>162</v>
      </c>
      <c r="D33" s="23">
        <v>220000</v>
      </c>
      <c r="E33" s="22"/>
      <c r="F33" s="22"/>
      <c r="G33" s="16"/>
      <c r="H33" s="16"/>
      <c r="J33" s="12"/>
      <c r="K33" s="13" t="s">
        <v>158</v>
      </c>
      <c r="L33" s="15" t="s">
        <v>162</v>
      </c>
      <c r="M33" s="23">
        <v>220000</v>
      </c>
      <c r="N33" s="22"/>
      <c r="O33" s="22"/>
      <c r="P33" s="16"/>
      <c r="Q33" s="16"/>
    </row>
    <row r="34" spans="1:17">
      <c r="A34" s="12"/>
      <c r="B34" s="13" t="s">
        <v>157</v>
      </c>
      <c r="C34" s="15" t="s">
        <v>155</v>
      </c>
      <c r="D34" s="23">
        <v>150000</v>
      </c>
      <c r="E34" s="22"/>
      <c r="F34" s="22"/>
      <c r="G34" s="16"/>
      <c r="H34" s="16"/>
      <c r="J34" s="12"/>
      <c r="K34" s="13" t="s">
        <v>157</v>
      </c>
      <c r="L34" s="15" t="s">
        <v>155</v>
      </c>
      <c r="M34" s="23">
        <v>150000</v>
      </c>
      <c r="N34" s="22"/>
      <c r="O34" s="22"/>
      <c r="P34" s="16"/>
      <c r="Q34" s="16"/>
    </row>
    <row r="35" spans="1:17">
      <c r="A35" s="12"/>
      <c r="B35" s="13" t="s">
        <v>157</v>
      </c>
      <c r="C35" s="15" t="s">
        <v>163</v>
      </c>
      <c r="D35" s="23">
        <f>220000</f>
        <v>220000</v>
      </c>
      <c r="E35" s="22"/>
      <c r="F35" s="22"/>
      <c r="G35" s="16"/>
      <c r="H35" s="16"/>
      <c r="J35" s="12"/>
      <c r="K35" s="13" t="s">
        <v>157</v>
      </c>
      <c r="L35" s="15" t="s">
        <v>163</v>
      </c>
      <c r="M35" s="23">
        <f>220000</f>
        <v>220000</v>
      </c>
      <c r="N35" s="22"/>
      <c r="O35" s="22"/>
      <c r="P35" s="16"/>
      <c r="Q35" s="16"/>
    </row>
    <row r="36" spans="1:17">
      <c r="A36" s="12"/>
      <c r="B36" s="13" t="s">
        <v>164</v>
      </c>
      <c r="C36" s="15" t="s">
        <v>165</v>
      </c>
      <c r="D36" s="22">
        <v>220000</v>
      </c>
      <c r="E36" s="22"/>
      <c r="F36" s="22"/>
      <c r="G36" s="16"/>
      <c r="H36" s="16"/>
      <c r="J36" s="12"/>
      <c r="K36" s="13" t="s">
        <v>164</v>
      </c>
      <c r="L36" s="15" t="s">
        <v>165</v>
      </c>
      <c r="M36" s="22">
        <v>220000</v>
      </c>
      <c r="N36" s="22"/>
      <c r="O36" s="22"/>
      <c r="P36" s="16"/>
      <c r="Q36" s="16"/>
    </row>
    <row r="37" spans="1:17">
      <c r="A37" s="12"/>
      <c r="B37" s="13" t="s">
        <v>171</v>
      </c>
      <c r="C37" s="15" t="s">
        <v>174</v>
      </c>
      <c r="D37" s="22">
        <v>1000000</v>
      </c>
      <c r="E37" s="22"/>
      <c r="F37" s="22"/>
      <c r="G37" s="16"/>
      <c r="H37" s="16"/>
      <c r="J37" s="12"/>
      <c r="K37" s="13" t="s">
        <v>171</v>
      </c>
      <c r="L37" s="15" t="s">
        <v>174</v>
      </c>
      <c r="M37" s="22">
        <v>1000000</v>
      </c>
      <c r="N37" s="22"/>
      <c r="O37" s="22"/>
      <c r="P37" s="16"/>
      <c r="Q37" s="16"/>
    </row>
    <row r="38" spans="1:17">
      <c r="A38" s="12"/>
      <c r="B38" s="13"/>
      <c r="C38" s="15"/>
      <c r="D38" s="22"/>
      <c r="E38" s="22"/>
      <c r="F38" s="22"/>
      <c r="G38" s="16"/>
      <c r="H38" s="16"/>
      <c r="J38" s="12"/>
      <c r="K38" s="13"/>
      <c r="L38" s="15"/>
      <c r="M38" s="22"/>
      <c r="N38" s="22"/>
      <c r="O38" s="22"/>
      <c r="P38" s="16"/>
      <c r="Q38" s="16"/>
    </row>
    <row r="39" spans="1:17">
      <c r="A39" s="25"/>
      <c r="B39" s="19"/>
      <c r="C39" s="26" t="s">
        <v>24</v>
      </c>
      <c r="D39" s="27">
        <f>SUM(D24:D37)</f>
        <v>7892000</v>
      </c>
      <c r="E39" s="27"/>
      <c r="F39" s="27"/>
      <c r="G39" s="27"/>
      <c r="H39" s="27"/>
      <c r="J39" s="25"/>
      <c r="K39" s="19"/>
      <c r="L39" s="26" t="s">
        <v>24</v>
      </c>
      <c r="M39" s="27">
        <f>SUM(M24:M37)</f>
        <v>5987000</v>
      </c>
      <c r="N39" s="27"/>
      <c r="O39" s="27"/>
      <c r="P39" s="27"/>
      <c r="Q39" s="27"/>
    </row>
    <row r="40" spans="1:17">
      <c r="A40" s="20"/>
      <c r="B40" s="19"/>
      <c r="C40" s="95" t="s">
        <v>21</v>
      </c>
      <c r="D40" s="10"/>
      <c r="E40" s="530">
        <f>D39</f>
        <v>7892000</v>
      </c>
      <c r="F40" s="530"/>
      <c r="G40" s="530"/>
      <c r="H40" s="530"/>
      <c r="J40" s="20"/>
      <c r="K40" s="19"/>
      <c r="L40" s="99" t="s">
        <v>21</v>
      </c>
      <c r="M40" s="10"/>
      <c r="N40" s="530">
        <f>M39</f>
        <v>5987000</v>
      </c>
      <c r="O40" s="530"/>
      <c r="P40" s="530"/>
      <c r="Q40" s="530"/>
    </row>
    <row r="41" spans="1:17">
      <c r="A41" s="524" t="s">
        <v>87</v>
      </c>
      <c r="B41" s="524"/>
      <c r="C41" s="524"/>
      <c r="D41" s="524"/>
      <c r="E41" s="524"/>
      <c r="F41" s="524"/>
      <c r="G41" s="524"/>
      <c r="H41" s="524"/>
      <c r="J41" s="524" t="s">
        <v>87</v>
      </c>
      <c r="K41" s="524"/>
      <c r="L41" s="524"/>
      <c r="M41" s="524"/>
      <c r="N41" s="524"/>
      <c r="O41" s="524"/>
      <c r="P41" s="524"/>
      <c r="Q41" s="524"/>
    </row>
    <row r="42" spans="1:17">
      <c r="A42" s="28"/>
      <c r="B42" s="23" t="s">
        <v>137</v>
      </c>
      <c r="C42" s="23" t="s">
        <v>138</v>
      </c>
      <c r="D42" s="23">
        <v>380000</v>
      </c>
      <c r="E42" s="28"/>
      <c r="F42" s="28"/>
      <c r="G42" s="28"/>
      <c r="H42" s="28"/>
      <c r="J42" s="28"/>
      <c r="K42" s="23" t="s">
        <v>137</v>
      </c>
      <c r="L42" s="23" t="s">
        <v>138</v>
      </c>
      <c r="M42" s="23">
        <v>380000</v>
      </c>
      <c r="N42" s="28"/>
      <c r="O42" s="28"/>
      <c r="P42" s="28"/>
      <c r="Q42" s="28"/>
    </row>
    <row r="43" spans="1:17">
      <c r="A43" s="28"/>
      <c r="B43" s="23" t="s">
        <v>139</v>
      </c>
      <c r="C43" s="23" t="s">
        <v>141</v>
      </c>
      <c r="D43" s="23">
        <v>92500</v>
      </c>
      <c r="E43" s="28"/>
      <c r="F43" s="28"/>
      <c r="G43" s="28"/>
      <c r="H43" s="28"/>
      <c r="J43" s="28"/>
      <c r="K43" s="23" t="s">
        <v>139</v>
      </c>
      <c r="L43" s="23" t="s">
        <v>141</v>
      </c>
      <c r="M43" s="23">
        <v>92500</v>
      </c>
      <c r="N43" s="28"/>
      <c r="O43" s="28"/>
      <c r="P43" s="28"/>
      <c r="Q43" s="28"/>
    </row>
    <row r="44" spans="1:17">
      <c r="A44" s="28"/>
      <c r="B44" s="23" t="s">
        <v>171</v>
      </c>
      <c r="C44" s="23" t="s">
        <v>167</v>
      </c>
      <c r="D44" s="23">
        <v>220000</v>
      </c>
      <c r="E44" s="28"/>
      <c r="F44" s="28"/>
      <c r="G44" s="28"/>
      <c r="H44" s="28"/>
      <c r="J44" s="28"/>
      <c r="K44" s="23" t="s">
        <v>171</v>
      </c>
      <c r="L44" s="23" t="s">
        <v>167</v>
      </c>
      <c r="M44" s="23">
        <v>220000</v>
      </c>
      <c r="N44" s="28"/>
      <c r="O44" s="28"/>
      <c r="P44" s="28"/>
      <c r="Q44" s="28"/>
    </row>
    <row r="45" spans="1:17">
      <c r="A45" s="28"/>
      <c r="B45" s="23"/>
      <c r="C45" s="23"/>
      <c r="D45" s="23"/>
      <c r="E45" s="28"/>
      <c r="F45" s="28"/>
      <c r="G45" s="28"/>
      <c r="H45" s="28"/>
      <c r="J45" s="28"/>
      <c r="K45" s="23"/>
      <c r="L45" s="23"/>
      <c r="M45" s="23"/>
      <c r="N45" s="28"/>
      <c r="O45" s="28"/>
      <c r="P45" s="28"/>
      <c r="Q45" s="28"/>
    </row>
    <row r="46" spans="1:17">
      <c r="A46" s="12"/>
      <c r="B46" s="13"/>
      <c r="C46" s="26" t="s">
        <v>166</v>
      </c>
      <c r="D46" s="27">
        <f>SUM(D42:D44)</f>
        <v>692500</v>
      </c>
      <c r="E46" s="27">
        <v>0</v>
      </c>
      <c r="F46" s="27">
        <v>0</v>
      </c>
      <c r="G46" s="27"/>
      <c r="H46" s="27"/>
      <c r="J46" s="12"/>
      <c r="K46" s="13"/>
      <c r="L46" s="26" t="s">
        <v>166</v>
      </c>
      <c r="M46" s="27">
        <f>SUM(M42:M44)</f>
        <v>692500</v>
      </c>
      <c r="N46" s="27">
        <v>0</v>
      </c>
      <c r="O46" s="27">
        <v>0</v>
      </c>
      <c r="P46" s="27"/>
      <c r="Q46" s="27"/>
    </row>
    <row r="47" spans="1:17">
      <c r="A47" s="20"/>
      <c r="B47" s="19"/>
      <c r="C47" s="95" t="s">
        <v>21</v>
      </c>
      <c r="D47" s="10"/>
      <c r="E47" s="530">
        <f>D46</f>
        <v>692500</v>
      </c>
      <c r="F47" s="530"/>
      <c r="G47" s="530"/>
      <c r="H47" s="530"/>
      <c r="J47" s="20"/>
      <c r="K47" s="19"/>
      <c r="L47" s="99" t="s">
        <v>21</v>
      </c>
      <c r="M47" s="10"/>
      <c r="N47" s="530">
        <f>M46</f>
        <v>692500</v>
      </c>
      <c r="O47" s="530"/>
      <c r="P47" s="530"/>
      <c r="Q47" s="530"/>
    </row>
    <row r="48" spans="1:17" hidden="1">
      <c r="A48" s="524" t="s">
        <v>54</v>
      </c>
      <c r="B48" s="524"/>
      <c r="C48" s="524"/>
      <c r="D48" s="524"/>
      <c r="E48" s="524"/>
      <c r="F48" s="524"/>
      <c r="G48" s="524"/>
      <c r="H48" s="524"/>
      <c r="J48" s="524" t="s">
        <v>54</v>
      </c>
      <c r="K48" s="524"/>
      <c r="L48" s="524"/>
      <c r="M48" s="524"/>
      <c r="N48" s="524"/>
      <c r="O48" s="524"/>
      <c r="P48" s="524"/>
      <c r="Q48" s="524"/>
    </row>
    <row r="49" spans="1:17" hidden="1">
      <c r="A49" s="28"/>
      <c r="B49" s="23" t="s">
        <v>126</v>
      </c>
      <c r="C49" s="23" t="s">
        <v>58</v>
      </c>
      <c r="D49" s="23"/>
      <c r="E49" s="28"/>
      <c r="F49" s="28"/>
      <c r="G49" s="28"/>
      <c r="H49" s="28"/>
      <c r="J49" s="28"/>
      <c r="K49" s="23" t="s">
        <v>126</v>
      </c>
      <c r="L49" s="23" t="s">
        <v>58</v>
      </c>
      <c r="M49" s="23"/>
      <c r="N49" s="28"/>
      <c r="O49" s="28"/>
      <c r="P49" s="28"/>
      <c r="Q49" s="28"/>
    </row>
    <row r="50" spans="1:17" hidden="1">
      <c r="A50" s="28"/>
      <c r="B50" s="23"/>
      <c r="C50" s="23"/>
      <c r="D50" s="23"/>
      <c r="E50" s="28"/>
      <c r="F50" s="28"/>
      <c r="G50" s="28"/>
      <c r="H50" s="28"/>
      <c r="J50" s="28"/>
      <c r="K50" s="23"/>
      <c r="L50" s="23"/>
      <c r="M50" s="23"/>
      <c r="N50" s="28"/>
      <c r="O50" s="28"/>
      <c r="P50" s="28"/>
      <c r="Q50" s="28"/>
    </row>
    <row r="51" spans="1:17" hidden="1">
      <c r="A51" s="12"/>
      <c r="B51" s="13"/>
      <c r="C51" s="22"/>
      <c r="D51" s="29"/>
      <c r="E51" s="95"/>
      <c r="F51" s="95"/>
      <c r="G51" s="95"/>
      <c r="H51" s="95"/>
      <c r="J51" s="12"/>
      <c r="K51" s="13"/>
      <c r="L51" s="22"/>
      <c r="M51" s="29"/>
      <c r="N51" s="99"/>
      <c r="O51" s="99"/>
      <c r="P51" s="99"/>
      <c r="Q51" s="99"/>
    </row>
    <row r="52" spans="1:17" hidden="1">
      <c r="A52" s="12"/>
      <c r="B52" s="19"/>
      <c r="C52" s="24"/>
      <c r="D52" s="23"/>
      <c r="E52" s="95"/>
      <c r="F52" s="95"/>
      <c r="G52" s="95"/>
      <c r="H52" s="95"/>
      <c r="J52" s="12"/>
      <c r="K52" s="19"/>
      <c r="L52" s="24"/>
      <c r="M52" s="23"/>
      <c r="N52" s="99"/>
      <c r="O52" s="99"/>
      <c r="P52" s="99"/>
      <c r="Q52" s="99"/>
    </row>
    <row r="53" spans="1:17" hidden="1">
      <c r="A53" s="12"/>
      <c r="B53" s="13"/>
      <c r="C53" s="26" t="s">
        <v>55</v>
      </c>
      <c r="D53" s="27">
        <f>SUM(D49:D52)</f>
        <v>0</v>
      </c>
      <c r="E53" s="27">
        <v>0</v>
      </c>
      <c r="F53" s="27">
        <v>0</v>
      </c>
      <c r="G53" s="27"/>
      <c r="H53" s="27"/>
      <c r="J53" s="12"/>
      <c r="K53" s="13"/>
      <c r="L53" s="26" t="s">
        <v>55</v>
      </c>
      <c r="M53" s="27">
        <f>SUM(M49:M52)</f>
        <v>0</v>
      </c>
      <c r="N53" s="27">
        <v>0</v>
      </c>
      <c r="O53" s="27">
        <v>0</v>
      </c>
      <c r="P53" s="27"/>
      <c r="Q53" s="27"/>
    </row>
    <row r="54" spans="1:17" hidden="1">
      <c r="A54" s="20"/>
      <c r="B54" s="19"/>
      <c r="C54" s="95" t="s">
        <v>21</v>
      </c>
      <c r="D54" s="10"/>
      <c r="E54" s="530">
        <f>D53</f>
        <v>0</v>
      </c>
      <c r="F54" s="530"/>
      <c r="G54" s="530"/>
      <c r="H54" s="530"/>
      <c r="J54" s="20"/>
      <c r="K54" s="19"/>
      <c r="L54" s="99" t="s">
        <v>21</v>
      </c>
      <c r="M54" s="10"/>
      <c r="N54" s="530">
        <f>M53</f>
        <v>0</v>
      </c>
      <c r="O54" s="530"/>
      <c r="P54" s="530"/>
      <c r="Q54" s="530"/>
    </row>
    <row r="55" spans="1:17" hidden="1">
      <c r="A55" s="524" t="s">
        <v>144</v>
      </c>
      <c r="B55" s="524"/>
      <c r="C55" s="524"/>
      <c r="D55" s="524"/>
      <c r="E55" s="524"/>
      <c r="F55" s="524"/>
      <c r="G55" s="524"/>
      <c r="H55" s="524"/>
      <c r="J55" s="524" t="s">
        <v>144</v>
      </c>
      <c r="K55" s="524"/>
      <c r="L55" s="524"/>
      <c r="M55" s="524"/>
      <c r="N55" s="524"/>
      <c r="O55" s="524"/>
      <c r="P55" s="524"/>
      <c r="Q55" s="524"/>
    </row>
    <row r="56" spans="1:17" hidden="1">
      <c r="A56" s="28"/>
      <c r="B56" s="23" t="s">
        <v>145</v>
      </c>
      <c r="C56" s="23" t="s">
        <v>146</v>
      </c>
      <c r="D56" s="23"/>
      <c r="E56" s="28"/>
      <c r="F56" s="28"/>
      <c r="G56" s="28"/>
      <c r="H56" s="28"/>
      <c r="J56" s="28"/>
      <c r="K56" s="23" t="s">
        <v>145</v>
      </c>
      <c r="L56" s="23" t="s">
        <v>146</v>
      </c>
      <c r="M56" s="23"/>
      <c r="N56" s="28"/>
      <c r="O56" s="28"/>
      <c r="P56" s="28"/>
      <c r="Q56" s="28"/>
    </row>
    <row r="57" spans="1:17" hidden="1">
      <c r="A57" s="28"/>
      <c r="B57" s="23" t="s">
        <v>145</v>
      </c>
      <c r="C57" s="23" t="s">
        <v>147</v>
      </c>
      <c r="D57" s="23"/>
      <c r="E57" s="28"/>
      <c r="F57" s="28"/>
      <c r="G57" s="28"/>
      <c r="H57" s="28"/>
      <c r="J57" s="28"/>
      <c r="K57" s="23" t="s">
        <v>145</v>
      </c>
      <c r="L57" s="23" t="s">
        <v>147</v>
      </c>
      <c r="M57" s="23"/>
      <c r="N57" s="28"/>
      <c r="O57" s="28"/>
      <c r="P57" s="28"/>
      <c r="Q57" s="28"/>
    </row>
    <row r="58" spans="1:17" hidden="1">
      <c r="A58" s="12"/>
      <c r="B58" s="13" t="s">
        <v>145</v>
      </c>
      <c r="C58" s="22" t="s">
        <v>151</v>
      </c>
      <c r="D58" s="29"/>
      <c r="E58" s="95"/>
      <c r="F58" s="95"/>
      <c r="G58" s="95"/>
      <c r="H58" s="95"/>
      <c r="J58" s="12"/>
      <c r="K58" s="13" t="s">
        <v>145</v>
      </c>
      <c r="L58" s="22" t="s">
        <v>151</v>
      </c>
      <c r="M58" s="29"/>
      <c r="N58" s="99"/>
      <c r="O58" s="99"/>
      <c r="P58" s="99"/>
      <c r="Q58" s="99"/>
    </row>
    <row r="59" spans="1:17" hidden="1">
      <c r="A59" s="12"/>
      <c r="B59" s="19" t="s">
        <v>145</v>
      </c>
      <c r="C59" s="24" t="s">
        <v>152</v>
      </c>
      <c r="D59" s="23"/>
      <c r="E59" s="95"/>
      <c r="F59" s="95"/>
      <c r="G59" s="95"/>
      <c r="H59" s="95"/>
      <c r="J59" s="12"/>
      <c r="K59" s="19" t="s">
        <v>145</v>
      </c>
      <c r="L59" s="24" t="s">
        <v>152</v>
      </c>
      <c r="M59" s="23"/>
      <c r="N59" s="99"/>
      <c r="O59" s="99"/>
      <c r="P59" s="99"/>
      <c r="Q59" s="99"/>
    </row>
    <row r="60" spans="1:17" hidden="1">
      <c r="A60" s="12"/>
      <c r="B60" s="13"/>
      <c r="C60" s="26" t="s">
        <v>55</v>
      </c>
      <c r="D60" s="27">
        <f>SUM(D56:D59)</f>
        <v>0</v>
      </c>
      <c r="E60" s="27">
        <v>0</v>
      </c>
      <c r="F60" s="27">
        <v>0</v>
      </c>
      <c r="G60" s="27"/>
      <c r="H60" s="27"/>
      <c r="J60" s="12"/>
      <c r="K60" s="13"/>
      <c r="L60" s="26" t="s">
        <v>55</v>
      </c>
      <c r="M60" s="27">
        <f>SUM(M56:M59)</f>
        <v>0</v>
      </c>
      <c r="N60" s="27">
        <v>0</v>
      </c>
      <c r="O60" s="27">
        <v>0</v>
      </c>
      <c r="P60" s="27"/>
      <c r="Q60" s="27"/>
    </row>
    <row r="61" spans="1:17" hidden="1">
      <c r="A61" s="20"/>
      <c r="B61" s="19"/>
      <c r="C61" s="95" t="s">
        <v>21</v>
      </c>
      <c r="D61" s="10"/>
      <c r="E61" s="530">
        <f>D60</f>
        <v>0</v>
      </c>
      <c r="F61" s="530"/>
      <c r="G61" s="530"/>
      <c r="H61" s="530"/>
      <c r="J61" s="20"/>
      <c r="K61" s="19"/>
      <c r="L61" s="99" t="s">
        <v>21</v>
      </c>
      <c r="M61" s="10"/>
      <c r="N61" s="530">
        <f>M60</f>
        <v>0</v>
      </c>
      <c r="O61" s="530"/>
      <c r="P61" s="530"/>
      <c r="Q61" s="530"/>
    </row>
    <row r="62" spans="1:17">
      <c r="A62" s="527" t="s">
        <v>26</v>
      </c>
      <c r="B62" s="528"/>
      <c r="C62" s="528"/>
      <c r="D62" s="528"/>
      <c r="E62" s="528"/>
      <c r="F62" s="528"/>
      <c r="G62" s="528"/>
      <c r="H62" s="529"/>
      <c r="J62" s="527" t="s">
        <v>26</v>
      </c>
      <c r="K62" s="528"/>
      <c r="L62" s="528"/>
      <c r="M62" s="528"/>
      <c r="N62" s="528"/>
      <c r="O62" s="528"/>
      <c r="P62" s="528"/>
      <c r="Q62" s="529"/>
    </row>
    <row r="63" spans="1:17">
      <c r="A63" s="12"/>
      <c r="B63" s="19"/>
      <c r="C63" s="24"/>
      <c r="D63" s="23"/>
      <c r="E63" s="22"/>
      <c r="F63" s="22"/>
      <c r="G63" s="16"/>
      <c r="H63" s="16"/>
      <c r="J63" s="12"/>
      <c r="K63" s="19"/>
      <c r="L63" s="24"/>
      <c r="M63" s="23"/>
      <c r="N63" s="22"/>
      <c r="O63" s="22"/>
      <c r="P63" s="16"/>
      <c r="Q63" s="16"/>
    </row>
    <row r="64" spans="1:17">
      <c r="A64" s="12"/>
      <c r="B64" s="19"/>
      <c r="C64" s="24"/>
      <c r="D64" s="23"/>
      <c r="E64" s="22"/>
      <c r="F64" s="22"/>
      <c r="G64" s="16"/>
      <c r="H64" s="16"/>
      <c r="J64" s="12"/>
      <c r="K64" s="19"/>
      <c r="L64" s="24"/>
      <c r="M64" s="23"/>
      <c r="N64" s="22"/>
      <c r="O64" s="22"/>
      <c r="P64" s="16"/>
      <c r="Q64" s="16"/>
    </row>
    <row r="65" spans="1:17">
      <c r="A65" s="12"/>
      <c r="B65" s="19"/>
      <c r="C65" s="23"/>
      <c r="D65" s="23"/>
      <c r="E65" s="22"/>
      <c r="F65" s="22"/>
      <c r="G65" s="16"/>
      <c r="H65" s="16"/>
      <c r="J65" s="12"/>
      <c r="K65" s="19"/>
      <c r="L65" s="23"/>
      <c r="M65" s="23"/>
      <c r="N65" s="22"/>
      <c r="O65" s="22"/>
      <c r="P65" s="16"/>
      <c r="Q65" s="16"/>
    </row>
    <row r="66" spans="1:17">
      <c r="A66" s="12"/>
      <c r="B66" s="19"/>
      <c r="C66" s="24"/>
      <c r="D66" s="23"/>
      <c r="E66" s="22"/>
      <c r="F66" s="22"/>
      <c r="G66" s="16"/>
      <c r="H66" s="16"/>
      <c r="J66" s="12"/>
      <c r="K66" s="19"/>
      <c r="L66" s="24"/>
      <c r="M66" s="23"/>
      <c r="N66" s="22"/>
      <c r="O66" s="22"/>
      <c r="P66" s="16"/>
      <c r="Q66" s="16"/>
    </row>
    <row r="67" spans="1:17" hidden="1">
      <c r="A67" s="12"/>
      <c r="B67" s="19"/>
      <c r="C67" s="24"/>
      <c r="D67" s="23"/>
      <c r="E67" s="22"/>
      <c r="F67" s="22"/>
      <c r="G67" s="16"/>
      <c r="H67" s="16"/>
      <c r="J67" s="12"/>
      <c r="K67" s="19"/>
      <c r="L67" s="24"/>
      <c r="M67" s="23"/>
      <c r="N67" s="22"/>
      <c r="O67" s="22"/>
      <c r="P67" s="16"/>
      <c r="Q67" s="16"/>
    </row>
    <row r="68" spans="1:17" hidden="1">
      <c r="A68" s="12"/>
      <c r="B68" s="19"/>
      <c r="C68" s="23"/>
      <c r="D68" s="23"/>
      <c r="E68" s="22"/>
      <c r="F68" s="22"/>
      <c r="G68" s="16"/>
      <c r="H68" s="16"/>
      <c r="J68" s="12"/>
      <c r="K68" s="19"/>
      <c r="L68" s="23"/>
      <c r="M68" s="23"/>
      <c r="N68" s="22"/>
      <c r="O68" s="22"/>
      <c r="P68" s="16"/>
      <c r="Q68" s="16"/>
    </row>
    <row r="69" spans="1:17" hidden="1">
      <c r="A69" s="12"/>
      <c r="B69" s="19"/>
      <c r="C69" s="24"/>
      <c r="D69" s="23"/>
      <c r="E69" s="22"/>
      <c r="F69" s="22"/>
      <c r="G69" s="16"/>
      <c r="H69" s="16"/>
      <c r="J69" s="12"/>
      <c r="K69" s="19"/>
      <c r="L69" s="24"/>
      <c r="M69" s="23"/>
      <c r="N69" s="22"/>
      <c r="O69" s="22"/>
      <c r="P69" s="16"/>
      <c r="Q69" s="16"/>
    </row>
    <row r="70" spans="1:17">
      <c r="A70" s="25"/>
      <c r="B70" s="19"/>
      <c r="C70" s="26" t="s">
        <v>31</v>
      </c>
      <c r="D70" s="27">
        <f>SUM(D63:D69)</f>
        <v>0</v>
      </c>
      <c r="E70" s="27"/>
      <c r="F70" s="27"/>
      <c r="G70" s="27"/>
      <c r="H70" s="27"/>
      <c r="J70" s="25"/>
      <c r="K70" s="19"/>
      <c r="L70" s="26" t="s">
        <v>31</v>
      </c>
      <c r="M70" s="27">
        <f>SUM(M63:M69)</f>
        <v>0</v>
      </c>
      <c r="N70" s="27"/>
      <c r="O70" s="27"/>
      <c r="P70" s="27"/>
      <c r="Q70" s="27"/>
    </row>
    <row r="71" spans="1:17">
      <c r="A71" s="20"/>
      <c r="B71" s="19"/>
      <c r="C71" s="95" t="s">
        <v>21</v>
      </c>
      <c r="D71" s="10"/>
      <c r="E71" s="530">
        <f>D70</f>
        <v>0</v>
      </c>
      <c r="F71" s="530"/>
      <c r="G71" s="530"/>
      <c r="H71" s="530"/>
      <c r="J71" s="20"/>
      <c r="K71" s="19"/>
      <c r="L71" s="99" t="s">
        <v>21</v>
      </c>
      <c r="M71" s="10"/>
      <c r="N71" s="530">
        <f>M70</f>
        <v>0</v>
      </c>
      <c r="O71" s="530"/>
      <c r="P71" s="530"/>
      <c r="Q71" s="530"/>
    </row>
    <row r="72" spans="1:17">
      <c r="A72" s="527" t="s">
        <v>32</v>
      </c>
      <c r="B72" s="528"/>
      <c r="C72" s="528"/>
      <c r="D72" s="528"/>
      <c r="E72" s="528"/>
      <c r="F72" s="528"/>
      <c r="G72" s="528"/>
      <c r="H72" s="529"/>
      <c r="J72" s="527" t="s">
        <v>32</v>
      </c>
      <c r="K72" s="528"/>
      <c r="L72" s="528"/>
      <c r="M72" s="528"/>
      <c r="N72" s="528"/>
      <c r="O72" s="528"/>
      <c r="P72" s="528"/>
      <c r="Q72" s="529"/>
    </row>
    <row r="73" spans="1:17">
      <c r="A73" s="12"/>
      <c r="B73" s="13"/>
      <c r="C73" s="22"/>
      <c r="D73" s="22"/>
      <c r="E73" s="95"/>
      <c r="F73" s="95"/>
      <c r="G73" s="95"/>
      <c r="H73" s="95"/>
      <c r="J73" s="12"/>
      <c r="K73" s="13"/>
      <c r="L73" s="22"/>
      <c r="M73" s="22"/>
      <c r="N73" s="99"/>
      <c r="O73" s="99"/>
      <c r="P73" s="99"/>
      <c r="Q73" s="99"/>
    </row>
    <row r="74" spans="1:17">
      <c r="A74" s="12"/>
      <c r="B74" s="13"/>
      <c r="C74" s="22"/>
      <c r="D74" s="29"/>
      <c r="E74" s="95"/>
      <c r="F74" s="95"/>
      <c r="G74" s="95"/>
      <c r="H74" s="95"/>
      <c r="J74" s="12"/>
      <c r="K74" s="13"/>
      <c r="L74" s="22"/>
      <c r="M74" s="29"/>
      <c r="N74" s="99"/>
      <c r="O74" s="99"/>
      <c r="P74" s="99"/>
      <c r="Q74" s="99"/>
    </row>
    <row r="75" spans="1:17">
      <c r="A75" s="12"/>
      <c r="B75" s="13"/>
      <c r="C75" s="26" t="s">
        <v>34</v>
      </c>
      <c r="D75" s="27">
        <f>SUM(D73:D74)</f>
        <v>0</v>
      </c>
      <c r="E75" s="27">
        <v>0</v>
      </c>
      <c r="F75" s="27">
        <v>0</v>
      </c>
      <c r="G75" s="27"/>
      <c r="H75" s="27"/>
      <c r="J75" s="12"/>
      <c r="K75" s="13"/>
      <c r="L75" s="26" t="s">
        <v>34</v>
      </c>
      <c r="M75" s="27">
        <f>SUM(M73:M74)</f>
        <v>0</v>
      </c>
      <c r="N75" s="27">
        <v>0</v>
      </c>
      <c r="O75" s="27">
        <v>0</v>
      </c>
      <c r="P75" s="27"/>
      <c r="Q75" s="27"/>
    </row>
    <row r="76" spans="1:17">
      <c r="A76" s="20"/>
      <c r="B76" s="19"/>
      <c r="C76" s="95" t="s">
        <v>21</v>
      </c>
      <c r="D76" s="10"/>
      <c r="E76" s="531">
        <f>D75</f>
        <v>0</v>
      </c>
      <c r="F76" s="532"/>
      <c r="G76" s="532"/>
      <c r="H76" s="533"/>
      <c r="J76" s="20"/>
      <c r="K76" s="19"/>
      <c r="L76" s="99" t="s">
        <v>21</v>
      </c>
      <c r="M76" s="10"/>
      <c r="N76" s="531">
        <f>M75</f>
        <v>0</v>
      </c>
      <c r="O76" s="532"/>
      <c r="P76" s="532"/>
      <c r="Q76" s="533"/>
    </row>
    <row r="77" spans="1:17">
      <c r="A77" s="525" t="s">
        <v>35</v>
      </c>
      <c r="B77" s="525"/>
      <c r="C77" s="525"/>
      <c r="D77" s="93"/>
      <c r="E77" s="526">
        <f>E40+E47+E71+E76+E54+E61</f>
        <v>8584500</v>
      </c>
      <c r="F77" s="526"/>
      <c r="G77" s="526"/>
      <c r="H77" s="526"/>
      <c r="J77" s="525" t="s">
        <v>35</v>
      </c>
      <c r="K77" s="525"/>
      <c r="L77" s="525"/>
      <c r="M77" s="97"/>
      <c r="N77" s="526">
        <f>N40+N47+N71+N76+N54+N61</f>
        <v>6679500</v>
      </c>
      <c r="O77" s="526"/>
      <c r="P77" s="526"/>
      <c r="Q77" s="526"/>
    </row>
    <row r="78" spans="1:17">
      <c r="A78" s="522" t="s">
        <v>36</v>
      </c>
      <c r="B78" s="522"/>
      <c r="C78" s="522"/>
      <c r="D78" s="92"/>
      <c r="E78" s="523">
        <f>+E22+E77</f>
        <v>9198500</v>
      </c>
      <c r="F78" s="523"/>
      <c r="G78" s="523"/>
      <c r="H78" s="523"/>
      <c r="J78" s="522" t="s">
        <v>36</v>
      </c>
      <c r="K78" s="522"/>
      <c r="L78" s="522"/>
      <c r="M78" s="96"/>
      <c r="N78" s="523">
        <f>+N22+N77</f>
        <v>7293500</v>
      </c>
      <c r="O78" s="523"/>
      <c r="P78" s="523"/>
      <c r="Q78" s="523"/>
    </row>
    <row r="79" spans="1:17">
      <c r="A79" s="524" t="s">
        <v>32</v>
      </c>
      <c r="B79" s="524"/>
      <c r="C79" s="524"/>
      <c r="D79" s="524"/>
      <c r="E79" s="524"/>
      <c r="F79" s="524"/>
      <c r="G79" s="524"/>
      <c r="H79" s="524"/>
      <c r="J79" s="524" t="s">
        <v>32</v>
      </c>
      <c r="K79" s="524"/>
      <c r="L79" s="524"/>
      <c r="M79" s="524"/>
      <c r="N79" s="524"/>
      <c r="O79" s="524"/>
      <c r="P79" s="524"/>
      <c r="Q79" s="524"/>
    </row>
    <row r="80" spans="1:17">
      <c r="A80" s="33"/>
      <c r="B80" s="13"/>
      <c r="C80" s="22"/>
      <c r="D80" s="22"/>
      <c r="E80" s="22"/>
      <c r="F80" s="22"/>
      <c r="G80" s="16"/>
      <c r="H80" s="16"/>
      <c r="J80" s="33"/>
      <c r="K80" s="13"/>
      <c r="L80" s="22"/>
      <c r="M80" s="22"/>
      <c r="N80" s="22"/>
      <c r="O80" s="22"/>
      <c r="P80" s="16"/>
      <c r="Q80" s="16"/>
    </row>
    <row r="81" spans="1:17">
      <c r="A81" s="33"/>
      <c r="B81" s="13"/>
      <c r="C81" s="22"/>
      <c r="D81" s="22"/>
      <c r="E81" s="22"/>
      <c r="F81" s="22"/>
      <c r="G81" s="16"/>
      <c r="H81" s="16"/>
      <c r="J81" s="33"/>
      <c r="K81" s="13"/>
      <c r="L81" s="22"/>
      <c r="M81" s="22"/>
      <c r="N81" s="22"/>
      <c r="O81" s="22"/>
      <c r="P81" s="16"/>
      <c r="Q81" s="16"/>
    </row>
    <row r="82" spans="1:17">
      <c r="A82" s="33"/>
      <c r="B82" s="13"/>
      <c r="C82" s="22"/>
      <c r="D82" s="22"/>
      <c r="E82" s="22"/>
      <c r="F82" s="22"/>
      <c r="G82" s="16"/>
      <c r="H82" s="16"/>
      <c r="J82" s="33"/>
      <c r="K82" s="13"/>
      <c r="L82" s="22"/>
      <c r="M82" s="22"/>
      <c r="N82" s="22"/>
      <c r="O82" s="22"/>
      <c r="P82" s="16"/>
      <c r="Q82" s="16"/>
    </row>
    <row r="83" spans="1:17">
      <c r="A83" s="20"/>
      <c r="B83" s="13"/>
      <c r="C83" s="22"/>
      <c r="D83" s="22"/>
      <c r="E83" s="22"/>
      <c r="F83" s="16"/>
      <c r="G83" s="16"/>
      <c r="H83" s="16"/>
      <c r="J83" s="20"/>
      <c r="K83" s="13"/>
      <c r="L83" s="22"/>
      <c r="M83" s="22"/>
      <c r="N83" s="22"/>
      <c r="O83" s="16"/>
      <c r="P83" s="16"/>
      <c r="Q83" s="16"/>
    </row>
    <row r="84" spans="1:17">
      <c r="A84" s="20"/>
      <c r="B84" s="13"/>
      <c r="C84" s="22"/>
      <c r="D84" s="22"/>
      <c r="E84" s="22"/>
      <c r="F84" s="16"/>
      <c r="G84" s="16"/>
      <c r="H84" s="16"/>
      <c r="J84" s="20"/>
      <c r="K84" s="13"/>
      <c r="L84" s="22"/>
      <c r="M84" s="22"/>
      <c r="N84" s="22"/>
      <c r="O84" s="16"/>
      <c r="P84" s="16"/>
      <c r="Q84" s="16"/>
    </row>
    <row r="85" spans="1:17">
      <c r="A85" s="525" t="s">
        <v>37</v>
      </c>
      <c r="B85" s="525"/>
      <c r="C85" s="525"/>
      <c r="D85" s="93">
        <f>SUM(D80:D84)</f>
        <v>0</v>
      </c>
      <c r="E85" s="526"/>
      <c r="F85" s="526"/>
      <c r="G85" s="526"/>
      <c r="H85" s="526"/>
      <c r="J85" s="525" t="s">
        <v>37</v>
      </c>
      <c r="K85" s="525"/>
      <c r="L85" s="525"/>
      <c r="M85" s="97">
        <f>SUM(M80:M84)</f>
        <v>0</v>
      </c>
      <c r="N85" s="526"/>
      <c r="O85" s="526"/>
      <c r="P85" s="526"/>
      <c r="Q85" s="526"/>
    </row>
    <row r="86" spans="1:17">
      <c r="A86" s="34" t="s">
        <v>38</v>
      </c>
      <c r="B86" s="35"/>
      <c r="C86" s="93"/>
      <c r="D86" s="93"/>
      <c r="E86" s="94"/>
      <c r="F86" s="94"/>
      <c r="G86" s="526"/>
      <c r="H86" s="526"/>
      <c r="J86" s="34" t="s">
        <v>38</v>
      </c>
      <c r="K86" s="35"/>
      <c r="L86" s="97"/>
      <c r="M86" s="97"/>
      <c r="N86" s="98"/>
      <c r="O86" s="98"/>
      <c r="P86" s="526"/>
      <c r="Q86" s="526"/>
    </row>
    <row r="87" spans="1:17">
      <c r="A87" s="37"/>
      <c r="B87" s="38"/>
      <c r="C87" s="39"/>
      <c r="D87" s="39"/>
      <c r="E87" s="39"/>
      <c r="F87" s="39"/>
      <c r="G87" s="39"/>
      <c r="H87" s="39"/>
      <c r="J87" s="37"/>
      <c r="K87" s="38"/>
      <c r="L87" s="39"/>
      <c r="M87" s="39"/>
      <c r="N87" s="39"/>
      <c r="O87" s="39"/>
      <c r="P87" s="39"/>
      <c r="Q87" s="39"/>
    </row>
    <row r="88" spans="1:17">
      <c r="A88" s="519" t="s">
        <v>13</v>
      </c>
      <c r="B88" s="520"/>
      <c r="C88" s="520"/>
      <c r="D88" s="520"/>
      <c r="E88" s="521"/>
      <c r="F88" s="39"/>
      <c r="G88" s="39"/>
      <c r="H88" s="40"/>
      <c r="J88" s="519" t="s">
        <v>13</v>
      </c>
      <c r="K88" s="520"/>
      <c r="L88" s="520"/>
      <c r="M88" s="520"/>
      <c r="N88" s="521"/>
      <c r="O88" s="39"/>
      <c r="P88" s="39"/>
      <c r="Q88" s="40"/>
    </row>
    <row r="89" spans="1:17">
      <c r="A89" s="41" t="s">
        <v>39</v>
      </c>
      <c r="B89" s="42" t="s">
        <v>40</v>
      </c>
      <c r="C89" s="43" t="s">
        <v>41</v>
      </c>
      <c r="D89" s="43" t="s">
        <v>42</v>
      </c>
      <c r="E89" s="43" t="s">
        <v>43</v>
      </c>
      <c r="F89" s="39"/>
      <c r="G89" s="39"/>
      <c r="H89" s="39"/>
      <c r="J89" s="41" t="s">
        <v>39</v>
      </c>
      <c r="K89" s="42" t="s">
        <v>40</v>
      </c>
      <c r="L89" s="43" t="s">
        <v>41</v>
      </c>
      <c r="M89" s="43" t="s">
        <v>42</v>
      </c>
      <c r="N89" s="43" t="s">
        <v>43</v>
      </c>
      <c r="O89" s="39"/>
      <c r="P89" s="39"/>
      <c r="Q89" s="39"/>
    </row>
    <row r="90" spans="1:17">
      <c r="A90" s="41"/>
      <c r="B90" s="44"/>
      <c r="C90" s="45"/>
      <c r="D90" s="46"/>
      <c r="E90" s="46"/>
      <c r="F90" s="39"/>
      <c r="G90" s="39"/>
      <c r="H90" s="39"/>
      <c r="J90" s="41"/>
      <c r="K90" s="44"/>
      <c r="L90" s="45"/>
      <c r="M90" s="46"/>
      <c r="N90" s="46"/>
      <c r="O90" s="39"/>
      <c r="P90" s="39"/>
      <c r="Q90" s="39"/>
    </row>
    <row r="91" spans="1:17">
      <c r="A91" s="41"/>
      <c r="B91" s="44"/>
      <c r="C91" s="45"/>
      <c r="D91" s="46"/>
      <c r="E91" s="46"/>
      <c r="F91" s="39"/>
      <c r="G91" s="39"/>
      <c r="H91" s="39"/>
      <c r="J91" s="41"/>
      <c r="K91" s="44"/>
      <c r="L91" s="45"/>
      <c r="M91" s="46"/>
      <c r="N91" s="46"/>
      <c r="O91" s="39"/>
      <c r="P91" s="39"/>
      <c r="Q91" s="39"/>
    </row>
    <row r="92" spans="1:17">
      <c r="A92" s="41"/>
      <c r="B92" s="44"/>
      <c r="C92" s="45"/>
      <c r="D92" s="46"/>
      <c r="E92" s="46"/>
      <c r="F92" s="39"/>
      <c r="G92" s="39"/>
      <c r="H92" s="39"/>
      <c r="J92" s="41"/>
      <c r="K92" s="44"/>
      <c r="L92" s="45"/>
      <c r="M92" s="46"/>
      <c r="N92" s="46"/>
      <c r="O92" s="39"/>
      <c r="P92" s="39"/>
      <c r="Q92" s="39"/>
    </row>
    <row r="93" spans="1:17">
      <c r="A93" s="41"/>
      <c r="B93" s="44"/>
      <c r="C93" s="47"/>
      <c r="D93" s="46"/>
      <c r="E93" s="46"/>
      <c r="F93" s="39"/>
      <c r="G93" s="39"/>
      <c r="H93" s="39"/>
      <c r="J93" s="41"/>
      <c r="K93" s="44"/>
      <c r="L93" s="47"/>
      <c r="M93" s="46"/>
      <c r="N93" s="46"/>
      <c r="O93" s="39"/>
      <c r="P93" s="39"/>
      <c r="Q93" s="39"/>
    </row>
    <row r="94" spans="1:17">
      <c r="A94" s="41"/>
      <c r="B94" s="44"/>
      <c r="C94" s="46"/>
      <c r="D94" s="48"/>
      <c r="E94" s="46"/>
      <c r="F94" s="39"/>
      <c r="G94" s="39"/>
      <c r="H94" s="39"/>
      <c r="J94" s="41"/>
      <c r="K94" s="44"/>
      <c r="L94" s="46"/>
      <c r="M94" s="48"/>
      <c r="N94" s="46"/>
      <c r="O94" s="39"/>
      <c r="P94" s="39"/>
      <c r="Q94" s="39"/>
    </row>
    <row r="95" spans="1:17">
      <c r="A95" s="49"/>
      <c r="B95" s="50"/>
      <c r="C95" s="51" t="s">
        <v>44</v>
      </c>
      <c r="D95" s="51">
        <f>SUM(D90:D94)</f>
        <v>0</v>
      </c>
      <c r="E95" s="52"/>
      <c r="F95" s="39"/>
      <c r="G95" s="39"/>
      <c r="H95" s="39"/>
      <c r="J95" s="49"/>
      <c r="K95" s="50"/>
      <c r="L95" s="51" t="s">
        <v>44</v>
      </c>
      <c r="M95" s="51">
        <f>SUM(M90:M94)</f>
        <v>0</v>
      </c>
      <c r="N95" s="52"/>
      <c r="O95" s="39"/>
      <c r="P95" s="39"/>
      <c r="Q95" s="39"/>
    </row>
    <row r="96" spans="1:17">
      <c r="A96" s="53"/>
      <c r="B96" s="54"/>
      <c r="C96" s="55"/>
      <c r="D96" s="56"/>
      <c r="E96" s="3"/>
      <c r="F96" s="39"/>
      <c r="G96" s="39"/>
      <c r="H96" s="39"/>
      <c r="J96" s="53"/>
      <c r="K96" s="54"/>
      <c r="L96" s="55"/>
      <c r="M96" s="56"/>
      <c r="N96" s="3"/>
      <c r="O96" s="39"/>
      <c r="P96" s="39"/>
      <c r="Q96" s="39"/>
    </row>
  </sheetData>
  <mergeCells count="64">
    <mergeCell ref="A41:H41"/>
    <mergeCell ref="A3:H3"/>
    <mergeCell ref="A11:G11"/>
    <mergeCell ref="A12:H12"/>
    <mergeCell ref="A13:A14"/>
    <mergeCell ref="B13:B14"/>
    <mergeCell ref="C13:C14"/>
    <mergeCell ref="D13:D14"/>
    <mergeCell ref="E13:H13"/>
    <mergeCell ref="B21:G21"/>
    <mergeCell ref="A22:D22"/>
    <mergeCell ref="E22:H22"/>
    <mergeCell ref="A23:H23"/>
    <mergeCell ref="E40:H40"/>
    <mergeCell ref="E47:H47"/>
    <mergeCell ref="A48:H48"/>
    <mergeCell ref="E54:H54"/>
    <mergeCell ref="A62:H62"/>
    <mergeCell ref="E71:H71"/>
    <mergeCell ref="A85:C85"/>
    <mergeCell ref="E85:H85"/>
    <mergeCell ref="G86:H86"/>
    <mergeCell ref="A88:E88"/>
    <mergeCell ref="A55:H55"/>
    <mergeCell ref="E61:H61"/>
    <mergeCell ref="E76:H76"/>
    <mergeCell ref="A77:C77"/>
    <mergeCell ref="E77:H77"/>
    <mergeCell ref="A78:C78"/>
    <mergeCell ref="E78:H78"/>
    <mergeCell ref="A79:H79"/>
    <mergeCell ref="A72:H72"/>
    <mergeCell ref="J3:Q3"/>
    <mergeCell ref="J11:P11"/>
    <mergeCell ref="J12:Q12"/>
    <mergeCell ref="J13:J14"/>
    <mergeCell ref="K13:K14"/>
    <mergeCell ref="L13:L14"/>
    <mergeCell ref="M13:M14"/>
    <mergeCell ref="N13:Q13"/>
    <mergeCell ref="K21:P21"/>
    <mergeCell ref="J22:M22"/>
    <mergeCell ref="N22:Q22"/>
    <mergeCell ref="J23:Q23"/>
    <mergeCell ref="N40:Q40"/>
    <mergeCell ref="J41:Q41"/>
    <mergeCell ref="N47:Q47"/>
    <mergeCell ref="J48:Q48"/>
    <mergeCell ref="N54:Q54"/>
    <mergeCell ref="J55:Q55"/>
    <mergeCell ref="N61:Q61"/>
    <mergeCell ref="J62:Q62"/>
    <mergeCell ref="N71:Q71"/>
    <mergeCell ref="J72:Q72"/>
    <mergeCell ref="N76:Q76"/>
    <mergeCell ref="J85:L85"/>
    <mergeCell ref="N85:Q85"/>
    <mergeCell ref="P86:Q86"/>
    <mergeCell ref="J88:N88"/>
    <mergeCell ref="J77:L77"/>
    <mergeCell ref="N77:Q77"/>
    <mergeCell ref="J78:L78"/>
    <mergeCell ref="N78:Q78"/>
    <mergeCell ref="J79:Q79"/>
  </mergeCells>
  <pageMargins left="0.27559055118110237" right="0.11811023622047245" top="0.11811023622047245" bottom="0.3" header="0.11811023622047245" footer="0.31496062992125984"/>
  <pageSetup paperSize="9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workbookViewId="0"/>
  </sheetViews>
  <sheetFormatPr defaultRowHeight="15"/>
  <cols>
    <col min="2" max="2" width="9.7109375" bestFit="1" customWidth="1"/>
    <col min="3" max="3" width="36.85546875" customWidth="1"/>
    <col min="4" max="4" width="11" bestFit="1" customWidth="1"/>
    <col min="8" max="8" width="11" bestFit="1" customWidth="1"/>
    <col min="10" max="10" width="11" bestFit="1" customWidth="1"/>
    <col min="11" max="11" width="11.5703125" bestFit="1" customWidth="1"/>
  </cols>
  <sheetData>
    <row r="1" spans="1:14">
      <c r="A1" s="1" t="s">
        <v>0</v>
      </c>
      <c r="B1" s="2"/>
      <c r="C1" s="3"/>
      <c r="D1" s="3"/>
      <c r="E1" s="3"/>
      <c r="F1" s="3"/>
      <c r="G1" s="3"/>
      <c r="H1" s="3"/>
    </row>
    <row r="2" spans="1:14">
      <c r="A2" s="1" t="s">
        <v>133</v>
      </c>
      <c r="B2" s="2"/>
      <c r="C2" s="3"/>
      <c r="D2" s="3"/>
      <c r="E2" s="3"/>
      <c r="F2" s="3"/>
      <c r="G2" s="3"/>
      <c r="H2" s="3"/>
      <c r="J2" s="6"/>
    </row>
    <row r="3" spans="1:14">
      <c r="A3" s="534" t="s">
        <v>1</v>
      </c>
      <c r="B3" s="534"/>
      <c r="C3" s="534"/>
      <c r="D3" s="534"/>
      <c r="E3" s="534"/>
      <c r="F3" s="534"/>
      <c r="G3" s="534"/>
      <c r="H3" s="534"/>
    </row>
    <row r="4" spans="1:14">
      <c r="A4" s="4"/>
      <c r="B4" s="5"/>
      <c r="C4" s="6" t="s">
        <v>2</v>
      </c>
      <c r="D4" s="7">
        <v>28060000</v>
      </c>
      <c r="E4" s="6"/>
      <c r="F4" s="6"/>
      <c r="G4" s="6"/>
      <c r="H4" s="6"/>
      <c r="K4" s="77"/>
      <c r="M4" s="72"/>
    </row>
    <row r="5" spans="1:14">
      <c r="A5" s="4"/>
      <c r="B5" s="5"/>
      <c r="C5" s="6" t="s">
        <v>3</v>
      </c>
      <c r="D5" s="8"/>
      <c r="E5" s="6"/>
      <c r="F5" s="6"/>
      <c r="G5" s="6"/>
      <c r="H5" s="6"/>
    </row>
    <row r="6" spans="1:14">
      <c r="A6" s="4"/>
      <c r="B6" s="5"/>
      <c r="C6" s="6" t="s">
        <v>4</v>
      </c>
      <c r="D6" s="9"/>
      <c r="E6" s="6"/>
      <c r="F6" s="6"/>
      <c r="G6" s="6"/>
      <c r="H6" s="6"/>
      <c r="N6" s="72"/>
    </row>
    <row r="7" spans="1:14">
      <c r="A7" s="4"/>
      <c r="B7" s="5"/>
      <c r="C7" s="6" t="s">
        <v>5</v>
      </c>
      <c r="D7" s="6"/>
      <c r="E7" s="6"/>
      <c r="F7" s="6"/>
      <c r="G7" s="6"/>
      <c r="H7" s="6"/>
    </row>
    <row r="8" spans="1:14">
      <c r="A8" s="4"/>
      <c r="B8" s="5"/>
      <c r="C8" s="6" t="s">
        <v>6</v>
      </c>
      <c r="D8" s="6"/>
      <c r="E8" s="6"/>
      <c r="F8" s="6"/>
      <c r="G8" s="6"/>
      <c r="H8" s="6"/>
    </row>
    <row r="9" spans="1:14">
      <c r="A9" s="4"/>
      <c r="B9" s="5"/>
      <c r="C9" s="6" t="s">
        <v>7</v>
      </c>
      <c r="D9" s="6"/>
      <c r="E9" s="6"/>
      <c r="F9" s="6"/>
      <c r="G9" s="6"/>
      <c r="H9" s="6"/>
    </row>
    <row r="10" spans="1:14">
      <c r="A10" s="4"/>
      <c r="B10" s="5"/>
      <c r="C10" s="6"/>
      <c r="D10" s="6"/>
      <c r="E10" s="6"/>
      <c r="F10" s="6"/>
      <c r="G10" s="6"/>
      <c r="H10" s="6"/>
    </row>
    <row r="11" spans="1:14">
      <c r="A11" s="530" t="s">
        <v>154</v>
      </c>
      <c r="B11" s="530"/>
      <c r="C11" s="530"/>
      <c r="D11" s="10"/>
      <c r="E11" s="10"/>
      <c r="F11" s="10"/>
      <c r="G11" s="10"/>
      <c r="H11" s="10">
        <f>SUM(D4:D9)</f>
        <v>28060000</v>
      </c>
    </row>
    <row r="12" spans="1:14">
      <c r="A12" s="524" t="s">
        <v>109</v>
      </c>
      <c r="B12" s="524"/>
      <c r="C12" s="524"/>
      <c r="D12" s="524"/>
      <c r="E12" s="524"/>
      <c r="F12" s="524"/>
      <c r="G12" s="524"/>
      <c r="H12" s="524"/>
    </row>
    <row r="13" spans="1:14">
      <c r="A13" s="12"/>
      <c r="B13" s="13" t="s">
        <v>129</v>
      </c>
      <c r="C13" s="15" t="s">
        <v>111</v>
      </c>
      <c r="D13" s="22">
        <v>2978000</v>
      </c>
      <c r="E13" s="22"/>
      <c r="F13" s="22"/>
      <c r="G13" s="16"/>
      <c r="H13" s="16"/>
    </row>
    <row r="14" spans="1:14">
      <c r="A14" s="12"/>
      <c r="B14" s="13" t="s">
        <v>129</v>
      </c>
      <c r="C14" s="15" t="s">
        <v>110</v>
      </c>
      <c r="D14" s="22">
        <f>220000*2</f>
        <v>440000</v>
      </c>
      <c r="E14" s="22"/>
      <c r="F14" s="22"/>
      <c r="G14" s="16"/>
      <c r="H14" s="16"/>
    </row>
    <row r="15" spans="1:14">
      <c r="A15" s="12"/>
      <c r="B15" s="13" t="s">
        <v>129</v>
      </c>
      <c r="C15" s="15" t="s">
        <v>112</v>
      </c>
      <c r="D15" s="22">
        <f>150000*6</f>
        <v>900000</v>
      </c>
      <c r="E15" s="22"/>
      <c r="F15" s="22"/>
      <c r="G15" s="16"/>
      <c r="H15" s="16"/>
    </row>
    <row r="16" spans="1:14">
      <c r="A16" s="12"/>
      <c r="B16" s="13"/>
      <c r="C16" s="15"/>
      <c r="D16" s="22"/>
      <c r="E16" s="22"/>
      <c r="F16" s="22"/>
      <c r="G16" s="16"/>
      <c r="H16" s="16"/>
    </row>
    <row r="17" spans="1:8">
      <c r="A17" s="12"/>
      <c r="B17" s="13"/>
      <c r="C17" s="15"/>
      <c r="D17" s="23"/>
      <c r="E17" s="22"/>
      <c r="F17" s="22"/>
      <c r="G17" s="16"/>
      <c r="H17" s="16"/>
    </row>
    <row r="18" spans="1:8">
      <c r="A18" s="25"/>
      <c r="B18" s="19"/>
      <c r="C18" s="26" t="s">
        <v>107</v>
      </c>
      <c r="D18" s="27">
        <f>SUM(D13:D17)</f>
        <v>4318000</v>
      </c>
      <c r="E18" s="27"/>
      <c r="F18" s="27"/>
      <c r="G18" s="27"/>
      <c r="H18" s="27"/>
    </row>
    <row r="19" spans="1:8">
      <c r="A19" s="20"/>
      <c r="B19" s="19"/>
      <c r="C19" s="95" t="s">
        <v>21</v>
      </c>
      <c r="D19" s="10"/>
      <c r="E19" s="530">
        <f>D18</f>
        <v>4318000</v>
      </c>
      <c r="F19" s="530"/>
      <c r="G19" s="530"/>
      <c r="H19" s="530"/>
    </row>
    <row r="20" spans="1:8">
      <c r="A20" s="524" t="s">
        <v>114</v>
      </c>
      <c r="B20" s="524"/>
      <c r="C20" s="524"/>
      <c r="D20" s="524"/>
      <c r="E20" s="524"/>
      <c r="F20" s="524"/>
      <c r="G20" s="524"/>
      <c r="H20" s="524"/>
    </row>
    <row r="21" spans="1:8">
      <c r="A21" s="12"/>
      <c r="B21" s="19"/>
      <c r="C21" s="24"/>
      <c r="D21" s="22"/>
      <c r="E21" s="22"/>
      <c r="F21" s="22"/>
      <c r="G21" s="16"/>
      <c r="H21" s="16"/>
    </row>
    <row r="22" spans="1:8">
      <c r="A22" s="12"/>
      <c r="B22" s="13"/>
      <c r="C22" s="15"/>
      <c r="D22" s="22"/>
      <c r="E22" s="22"/>
      <c r="F22" s="22"/>
      <c r="G22" s="16"/>
      <c r="H22" s="16"/>
    </row>
    <row r="23" spans="1:8">
      <c r="A23" s="12"/>
      <c r="B23" s="13"/>
      <c r="C23" s="15"/>
      <c r="D23" s="22"/>
      <c r="E23" s="22"/>
      <c r="F23" s="22"/>
      <c r="G23" s="16"/>
      <c r="H23" s="16"/>
    </row>
    <row r="24" spans="1:8">
      <c r="A24" s="12"/>
      <c r="B24" s="13"/>
      <c r="C24" s="15"/>
      <c r="D24" s="22"/>
      <c r="E24" s="22"/>
      <c r="F24" s="22"/>
      <c r="G24" s="16"/>
      <c r="H24" s="16"/>
    </row>
    <row r="25" spans="1:8">
      <c r="A25" s="12"/>
      <c r="B25" s="13"/>
      <c r="C25" s="15"/>
      <c r="D25" s="23"/>
      <c r="E25" s="22"/>
      <c r="F25" s="22"/>
      <c r="G25" s="16"/>
      <c r="H25" s="16"/>
    </row>
    <row r="26" spans="1:8">
      <c r="A26" s="25"/>
      <c r="B26" s="19"/>
      <c r="C26" s="26" t="s">
        <v>107</v>
      </c>
      <c r="D26" s="27">
        <f>SUM(D21:D25)</f>
        <v>0</v>
      </c>
      <c r="E26" s="27"/>
      <c r="F26" s="27"/>
      <c r="G26" s="27"/>
      <c r="H26" s="27"/>
    </row>
    <row r="27" spans="1:8">
      <c r="A27" s="20"/>
      <c r="B27" s="19"/>
      <c r="C27" s="95" t="s">
        <v>21</v>
      </c>
      <c r="D27" s="10"/>
      <c r="E27" s="530">
        <f>D26</f>
        <v>0</v>
      </c>
      <c r="F27" s="530"/>
      <c r="G27" s="530"/>
      <c r="H27" s="530"/>
    </row>
    <row r="28" spans="1:8">
      <c r="A28" s="525" t="s">
        <v>115</v>
      </c>
      <c r="B28" s="525"/>
      <c r="C28" s="525"/>
      <c r="D28" s="93"/>
      <c r="E28" s="526">
        <f>E19+E27</f>
        <v>4318000</v>
      </c>
      <c r="F28" s="526"/>
      <c r="G28" s="526"/>
      <c r="H28" s="526"/>
    </row>
    <row r="29" spans="1:8">
      <c r="A29" s="524" t="s">
        <v>32</v>
      </c>
      <c r="B29" s="524"/>
      <c r="C29" s="524"/>
      <c r="D29" s="524"/>
      <c r="E29" s="524"/>
      <c r="F29" s="524"/>
      <c r="G29" s="524"/>
      <c r="H29" s="524"/>
    </row>
    <row r="30" spans="1:8">
      <c r="A30" s="33"/>
      <c r="B30" s="13"/>
      <c r="C30" s="22"/>
      <c r="D30" s="22"/>
      <c r="E30" s="22"/>
      <c r="F30" s="22"/>
      <c r="G30" s="16"/>
      <c r="H30" s="16"/>
    </row>
    <row r="31" spans="1:8">
      <c r="A31" s="33"/>
      <c r="B31" s="13"/>
      <c r="C31" s="22"/>
      <c r="D31" s="22"/>
      <c r="E31" s="22"/>
      <c r="F31" s="22"/>
      <c r="G31" s="16"/>
      <c r="H31" s="16"/>
    </row>
    <row r="32" spans="1:8">
      <c r="A32" s="33"/>
      <c r="B32" s="13"/>
      <c r="C32" s="22"/>
      <c r="D32" s="22"/>
      <c r="E32" s="22"/>
      <c r="F32" s="22"/>
      <c r="G32" s="16"/>
      <c r="H32" s="16"/>
    </row>
    <row r="33" spans="1:8">
      <c r="A33" s="20"/>
      <c r="B33" s="13"/>
      <c r="C33" s="22"/>
      <c r="D33" s="22"/>
      <c r="E33" s="22"/>
      <c r="F33" s="16"/>
      <c r="G33" s="16"/>
      <c r="H33" s="16"/>
    </row>
    <row r="34" spans="1:8">
      <c r="A34" s="20"/>
      <c r="B34" s="13"/>
      <c r="C34" s="22"/>
      <c r="D34" s="22"/>
      <c r="E34" s="22"/>
      <c r="F34" s="16"/>
      <c r="G34" s="16"/>
      <c r="H34" s="16"/>
    </row>
    <row r="35" spans="1:8">
      <c r="A35" s="525" t="s">
        <v>37</v>
      </c>
      <c r="B35" s="525"/>
      <c r="C35" s="525"/>
      <c r="D35" s="93">
        <f>SUM(D30:D34)</f>
        <v>0</v>
      </c>
      <c r="E35" s="526"/>
      <c r="F35" s="526"/>
      <c r="G35" s="526"/>
      <c r="H35" s="526"/>
    </row>
    <row r="36" spans="1:8">
      <c r="A36" s="34" t="s">
        <v>38</v>
      </c>
      <c r="B36" s="35"/>
      <c r="C36" s="93"/>
      <c r="D36" s="93"/>
      <c r="E36" s="94"/>
      <c r="F36" s="94"/>
      <c r="G36" s="526"/>
      <c r="H36" s="526"/>
    </row>
    <row r="37" spans="1:8">
      <c r="A37" s="37"/>
      <c r="B37" s="38"/>
      <c r="C37" s="39"/>
      <c r="D37" s="39"/>
      <c r="E37" s="39"/>
      <c r="F37" s="39"/>
      <c r="G37" s="39"/>
      <c r="H37" s="39"/>
    </row>
    <row r="38" spans="1:8">
      <c r="A38" s="519" t="s">
        <v>13</v>
      </c>
      <c r="B38" s="520"/>
      <c r="C38" s="520"/>
      <c r="D38" s="520"/>
      <c r="E38" s="521"/>
      <c r="F38" s="39"/>
      <c r="G38" s="39"/>
      <c r="H38" s="40"/>
    </row>
    <row r="39" spans="1:8">
      <c r="A39" s="41" t="s">
        <v>39</v>
      </c>
      <c r="B39" s="42" t="s">
        <v>40</v>
      </c>
      <c r="C39" s="43" t="s">
        <v>41</v>
      </c>
      <c r="D39" s="43" t="s">
        <v>42</v>
      </c>
      <c r="E39" s="43" t="s">
        <v>43</v>
      </c>
      <c r="F39" s="39"/>
      <c r="G39" s="39"/>
      <c r="H39" s="39"/>
    </row>
    <row r="40" spans="1:8">
      <c r="A40" s="41"/>
      <c r="B40" s="44"/>
      <c r="C40" s="45"/>
      <c r="D40" s="46"/>
      <c r="E40" s="46"/>
      <c r="F40" s="39"/>
      <c r="G40" s="39"/>
      <c r="H40" s="39"/>
    </row>
    <row r="41" spans="1:8">
      <c r="A41" s="41"/>
      <c r="B41" s="44"/>
      <c r="C41" s="45"/>
      <c r="D41" s="46"/>
      <c r="E41" s="46"/>
      <c r="F41" s="39"/>
      <c r="G41" s="39"/>
      <c r="H41" s="39"/>
    </row>
    <row r="42" spans="1:8">
      <c r="A42" s="41"/>
      <c r="B42" s="44"/>
      <c r="C42" s="45"/>
      <c r="D42" s="46"/>
      <c r="E42" s="46"/>
      <c r="F42" s="39"/>
      <c r="G42" s="39"/>
      <c r="H42" s="39"/>
    </row>
    <row r="43" spans="1:8">
      <c r="A43" s="41"/>
      <c r="B43" s="44"/>
      <c r="C43" s="47"/>
      <c r="D43" s="46"/>
      <c r="E43" s="46"/>
      <c r="F43" s="39"/>
      <c r="G43" s="39"/>
      <c r="H43" s="39"/>
    </row>
    <row r="44" spans="1:8">
      <c r="A44" s="41"/>
      <c r="B44" s="44"/>
      <c r="C44" s="46"/>
      <c r="D44" s="48"/>
      <c r="E44" s="46"/>
      <c r="F44" s="39"/>
      <c r="G44" s="39"/>
      <c r="H44" s="39"/>
    </row>
    <row r="45" spans="1:8">
      <c r="A45" s="49"/>
      <c r="B45" s="50"/>
      <c r="C45" s="51" t="s">
        <v>44</v>
      </c>
      <c r="D45" s="51">
        <f>SUM(D40:D44)</f>
        <v>0</v>
      </c>
      <c r="E45" s="52"/>
      <c r="F45" s="39"/>
      <c r="G45" s="39"/>
      <c r="H45" s="39"/>
    </row>
    <row r="46" spans="1:8">
      <c r="A46" s="53"/>
      <c r="B46" s="54"/>
      <c r="C46" s="55"/>
      <c r="D46" s="56"/>
      <c r="E46" s="3"/>
      <c r="F46" s="39"/>
      <c r="G46" s="39"/>
      <c r="H46" s="39"/>
    </row>
  </sheetData>
  <mergeCells count="13">
    <mergeCell ref="E27:H27"/>
    <mergeCell ref="A3:H3"/>
    <mergeCell ref="A11:C11"/>
    <mergeCell ref="A12:H12"/>
    <mergeCell ref="E19:H19"/>
    <mergeCell ref="A20:H20"/>
    <mergeCell ref="A38:E38"/>
    <mergeCell ref="A28:C28"/>
    <mergeCell ref="E28:H28"/>
    <mergeCell ref="A29:H29"/>
    <mergeCell ref="A35:C35"/>
    <mergeCell ref="E35:H35"/>
    <mergeCell ref="G36:H36"/>
  </mergeCells>
  <pageMargins left="0.7" right="0.7" top="0.75" bottom="0.75" header="0.3" footer="0.3"/>
  <pageSetup paperSize="9" scale="8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8"/>
  <sheetViews>
    <sheetView workbookViewId="0"/>
  </sheetViews>
  <sheetFormatPr defaultRowHeight="15"/>
  <cols>
    <col min="1" max="1" width="22.42578125" bestFit="1" customWidth="1"/>
    <col min="2" max="2" width="10.5703125" bestFit="1" customWidth="1"/>
    <col min="3" max="3" width="26.7109375" bestFit="1" customWidth="1"/>
    <col min="4" max="4" width="10.5703125" bestFit="1" customWidth="1"/>
    <col min="5" max="5" width="55.7109375" bestFit="1" customWidth="1"/>
    <col min="6" max="6" width="10.5703125" bestFit="1" customWidth="1"/>
    <col min="7" max="7" width="35.140625" bestFit="1" customWidth="1"/>
    <col min="8" max="8" width="10.5703125" bestFit="1" customWidth="1"/>
    <col min="9" max="9" width="29" bestFit="1" customWidth="1"/>
    <col min="10" max="10" width="10.5703125" bestFit="1" customWidth="1"/>
    <col min="11" max="12" width="0" hidden="1" customWidth="1"/>
  </cols>
  <sheetData>
    <row r="1" spans="1:13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  <c r="K1" s="539" t="s">
        <v>52</v>
      </c>
      <c r="L1" s="539"/>
    </row>
    <row r="2" spans="1:13">
      <c r="A2" s="15" t="s">
        <v>64</v>
      </c>
      <c r="B2" s="23">
        <v>220000</v>
      </c>
      <c r="C2" s="14" t="s">
        <v>108</v>
      </c>
      <c r="D2" s="15">
        <v>270000</v>
      </c>
      <c r="E2" s="15" t="s">
        <v>122</v>
      </c>
      <c r="F2" s="22">
        <v>1110000</v>
      </c>
      <c r="G2" s="14" t="s">
        <v>104</v>
      </c>
      <c r="H2" s="15">
        <v>500000</v>
      </c>
      <c r="I2" s="15" t="s">
        <v>105</v>
      </c>
      <c r="J2" s="22">
        <v>2000000</v>
      </c>
      <c r="K2" s="22"/>
      <c r="L2" s="29"/>
    </row>
    <row r="3" spans="1:13" ht="15.75">
      <c r="A3" s="15" t="s">
        <v>58</v>
      </c>
      <c r="B3" s="23">
        <v>660000</v>
      </c>
      <c r="C3" s="15" t="s">
        <v>68</v>
      </c>
      <c r="D3" s="23">
        <v>300000</v>
      </c>
      <c r="E3" s="15" t="s">
        <v>125</v>
      </c>
      <c r="F3" s="23">
        <v>2480000</v>
      </c>
      <c r="G3" s="14" t="s">
        <v>106</v>
      </c>
      <c r="H3" s="15">
        <v>4068000</v>
      </c>
      <c r="I3" s="15" t="s">
        <v>118</v>
      </c>
      <c r="J3" s="22">
        <v>300000</v>
      </c>
      <c r="K3" s="60"/>
      <c r="L3" s="60"/>
    </row>
    <row r="4" spans="1:13">
      <c r="A4" s="23" t="s">
        <v>127</v>
      </c>
      <c r="B4" s="23">
        <v>54000</v>
      </c>
      <c r="C4" s="23" t="s">
        <v>112</v>
      </c>
      <c r="D4" s="23">
        <v>600000</v>
      </c>
      <c r="E4" s="15" t="s">
        <v>111</v>
      </c>
      <c r="F4" s="23">
        <v>1280000</v>
      </c>
      <c r="G4" s="14" t="s">
        <v>102</v>
      </c>
      <c r="H4" s="15">
        <v>311500</v>
      </c>
      <c r="I4" s="15"/>
      <c r="J4" s="22"/>
      <c r="K4" s="61"/>
      <c r="L4" s="61"/>
    </row>
    <row r="5" spans="1:13">
      <c r="A5" s="22" t="s">
        <v>110</v>
      </c>
      <c r="B5" s="22">
        <v>440000</v>
      </c>
      <c r="C5" s="22"/>
      <c r="D5" s="29"/>
      <c r="E5" s="15"/>
      <c r="F5" s="22"/>
      <c r="G5" s="14" t="s">
        <v>117</v>
      </c>
      <c r="H5" s="15">
        <v>38500</v>
      </c>
      <c r="I5" s="14"/>
      <c r="J5" s="15"/>
      <c r="K5" s="62"/>
      <c r="L5" s="62"/>
    </row>
    <row r="6" spans="1:13">
      <c r="A6" s="22"/>
      <c r="B6" s="29"/>
      <c r="C6" s="15"/>
      <c r="D6" s="22"/>
      <c r="E6" s="15"/>
      <c r="F6" s="22"/>
      <c r="G6" s="14" t="s">
        <v>130</v>
      </c>
      <c r="H6" s="15">
        <v>2120000</v>
      </c>
      <c r="I6" s="14"/>
      <c r="J6" s="15"/>
      <c r="K6" s="62"/>
      <c r="L6" s="62"/>
    </row>
    <row r="7" spans="1:13">
      <c r="A7" s="63"/>
      <c r="B7" s="63"/>
      <c r="C7" s="22"/>
      <c r="D7" s="29"/>
      <c r="E7" s="15"/>
      <c r="F7" s="22"/>
      <c r="G7" s="14" t="s">
        <v>101</v>
      </c>
      <c r="H7" s="15">
        <v>130000</v>
      </c>
      <c r="I7" s="14"/>
      <c r="J7" s="15"/>
      <c r="K7" s="62"/>
      <c r="L7" s="62"/>
    </row>
    <row r="8" spans="1:13">
      <c r="A8" s="63"/>
      <c r="B8" s="63"/>
      <c r="C8" s="22"/>
      <c r="D8" s="29"/>
      <c r="E8" s="22"/>
      <c r="F8" s="29"/>
      <c r="G8" s="14"/>
      <c r="H8" s="15"/>
      <c r="I8" s="22"/>
      <c r="J8" s="29"/>
      <c r="K8" s="62"/>
      <c r="L8" s="62"/>
    </row>
    <row r="9" spans="1:13">
      <c r="A9" s="64"/>
      <c r="B9" s="61"/>
      <c r="C9" s="22"/>
      <c r="D9" s="29"/>
      <c r="E9" s="61"/>
      <c r="F9" s="65"/>
      <c r="G9" s="14"/>
      <c r="H9" s="15"/>
      <c r="I9" s="22"/>
      <c r="J9" s="29"/>
      <c r="K9" s="62"/>
      <c r="L9" s="62"/>
    </row>
    <row r="10" spans="1:13">
      <c r="A10" s="64"/>
      <c r="B10" s="61"/>
      <c r="C10" s="66"/>
      <c r="D10" s="66"/>
      <c r="E10" s="61"/>
      <c r="F10" s="65"/>
      <c r="G10" s="14"/>
      <c r="H10" s="15"/>
      <c r="I10" s="22"/>
      <c r="J10" s="29"/>
      <c r="K10" s="62"/>
      <c r="L10" s="62"/>
    </row>
    <row r="11" spans="1:13">
      <c r="A11" s="64"/>
      <c r="B11" s="61"/>
      <c r="C11" s="66"/>
      <c r="D11" s="66"/>
      <c r="E11" s="61"/>
      <c r="F11" s="65"/>
      <c r="G11" s="15"/>
      <c r="H11" s="22"/>
      <c r="I11" s="22"/>
      <c r="J11" s="29"/>
      <c r="K11" s="62"/>
      <c r="L11" s="62"/>
    </row>
    <row r="12" spans="1:13">
      <c r="A12" s="64"/>
      <c r="B12" s="61"/>
      <c r="C12" s="66"/>
      <c r="D12" s="66"/>
      <c r="E12" s="61"/>
      <c r="F12" s="65"/>
      <c r="G12" s="15"/>
      <c r="H12" s="22"/>
      <c r="I12" s="62"/>
      <c r="J12" s="67"/>
      <c r="K12" s="62"/>
      <c r="L12" s="62"/>
    </row>
    <row r="13" spans="1:13">
      <c r="A13" s="68"/>
      <c r="B13" s="69"/>
      <c r="C13" s="69"/>
      <c r="D13" s="69"/>
      <c r="E13" s="69"/>
      <c r="F13" s="69"/>
      <c r="G13" s="15"/>
      <c r="H13" s="22"/>
      <c r="I13" s="68"/>
      <c r="J13" s="69"/>
      <c r="K13" s="68"/>
      <c r="L13" s="68"/>
    </row>
    <row r="14" spans="1:13">
      <c r="A14" s="68"/>
      <c r="B14" s="69"/>
      <c r="C14" s="69"/>
      <c r="D14" s="69"/>
      <c r="E14" s="69"/>
      <c r="F14" s="69"/>
      <c r="G14" s="14"/>
      <c r="H14" s="15"/>
      <c r="I14" s="68"/>
      <c r="J14" s="69"/>
      <c r="K14" s="68"/>
      <c r="L14" s="68"/>
    </row>
    <row r="15" spans="1:13">
      <c r="A15" s="70"/>
      <c r="B15" s="71">
        <f>SUM(B2:B14)</f>
        <v>1374000</v>
      </c>
      <c r="C15" s="71"/>
      <c r="D15" s="71">
        <f t="shared" ref="D15:L15" si="0">SUM(D2:D14)</f>
        <v>1170000</v>
      </c>
      <c r="E15" s="71"/>
      <c r="F15" s="71">
        <f t="shared" si="0"/>
        <v>4870000</v>
      </c>
      <c r="G15" s="71"/>
      <c r="H15" s="71">
        <f t="shared" si="0"/>
        <v>7168000</v>
      </c>
      <c r="I15" s="71"/>
      <c r="J15" s="71">
        <f t="shared" si="0"/>
        <v>2300000</v>
      </c>
      <c r="K15" s="71">
        <f t="shared" si="0"/>
        <v>0</v>
      </c>
      <c r="L15" s="71">
        <f t="shared" si="0"/>
        <v>0</v>
      </c>
      <c r="M15" s="72"/>
    </row>
    <row r="16" spans="1:13">
      <c r="C16" t="s">
        <v>98</v>
      </c>
      <c r="D16" s="77">
        <v>100000</v>
      </c>
    </row>
    <row r="17" spans="2:6">
      <c r="B17" s="77"/>
      <c r="F17" s="72">
        <f>F15-F4</f>
        <v>3590000</v>
      </c>
    </row>
    <row r="18" spans="2:6">
      <c r="D18" s="72">
        <f>D15-D16</f>
        <v>1070000</v>
      </c>
    </row>
  </sheetData>
  <mergeCells count="1">
    <mergeCell ref="K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05"/>
  <sheetViews>
    <sheetView workbookViewId="0"/>
  </sheetViews>
  <sheetFormatPr defaultRowHeight="15"/>
  <cols>
    <col min="3" max="3" width="71.28515625" bestFit="1" customWidth="1"/>
    <col min="4" max="4" width="12.28515625" bestFit="1" customWidth="1"/>
    <col min="5" max="5" width="6.42578125" customWidth="1"/>
    <col min="6" max="6" width="7" customWidth="1"/>
    <col min="7" max="7" width="6.7109375" customWidth="1"/>
    <col min="8" max="8" width="12" bestFit="1" customWidth="1"/>
    <col min="10" max="10" width="11.5703125" bestFit="1" customWidth="1"/>
    <col min="11" max="11" width="10.42578125" bestFit="1" customWidth="1"/>
    <col min="12" max="12" width="71.28515625" bestFit="1" customWidth="1"/>
    <col min="13" max="13" width="12.285156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175</v>
      </c>
      <c r="B2" s="2"/>
      <c r="C2" s="3"/>
      <c r="D2" s="3"/>
      <c r="E2" s="3"/>
      <c r="F2" s="3"/>
      <c r="G2" s="3"/>
      <c r="H2" s="3"/>
      <c r="J2" s="1" t="s">
        <v>175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0</v>
      </c>
      <c r="E4" s="6"/>
      <c r="F4" s="6"/>
      <c r="G4" s="6"/>
      <c r="H4" s="6"/>
      <c r="J4" s="4"/>
      <c r="K4" s="5"/>
      <c r="L4" s="6" t="s">
        <v>2</v>
      </c>
      <c r="M4" s="7">
        <v>0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48518079</v>
      </c>
      <c r="E5" s="6"/>
      <c r="F5" s="6"/>
      <c r="G5" s="6"/>
      <c r="H5" s="6"/>
      <c r="J5" s="4"/>
      <c r="K5" s="5"/>
      <c r="L5" s="6" t="s">
        <v>3</v>
      </c>
      <c r="M5" s="8">
        <v>48518079</v>
      </c>
      <c r="N5" s="6"/>
      <c r="O5" s="6"/>
      <c r="P5" s="6"/>
      <c r="Q5" s="6"/>
    </row>
    <row r="6" spans="1:17">
      <c r="A6" s="4"/>
      <c r="B6" s="5"/>
      <c r="C6" s="6" t="s">
        <v>4</v>
      </c>
      <c r="D6" s="9">
        <v>346369459</v>
      </c>
      <c r="E6" s="6"/>
      <c r="F6" s="6"/>
      <c r="G6" s="6"/>
      <c r="H6" s="6"/>
      <c r="J6" s="4"/>
      <c r="K6" s="5"/>
      <c r="L6" s="6" t="s">
        <v>4</v>
      </c>
      <c r="M6" s="9">
        <v>346369459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176</v>
      </c>
      <c r="B11" s="532"/>
      <c r="C11" s="532"/>
      <c r="D11" s="532"/>
      <c r="E11" s="532"/>
      <c r="F11" s="532"/>
      <c r="G11" s="533"/>
      <c r="H11" s="10">
        <f>SUM(D4:D9)</f>
        <v>401958084</v>
      </c>
      <c r="J11" s="531" t="s">
        <v>176</v>
      </c>
      <c r="K11" s="532"/>
      <c r="L11" s="532"/>
      <c r="M11" s="532"/>
      <c r="N11" s="532"/>
      <c r="O11" s="532"/>
      <c r="P11" s="533"/>
      <c r="Q11" s="10">
        <f>SUM(M4:M9)</f>
        <v>401958084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103" t="s">
        <v>14</v>
      </c>
      <c r="F14" s="103" t="s">
        <v>15</v>
      </c>
      <c r="G14" s="103" t="s">
        <v>16</v>
      </c>
      <c r="H14" s="103" t="s">
        <v>17</v>
      </c>
      <c r="J14" s="536"/>
      <c r="K14" s="537"/>
      <c r="L14" s="538"/>
      <c r="M14" s="538"/>
      <c r="N14" s="107" t="s">
        <v>14</v>
      </c>
      <c r="O14" s="107" t="s">
        <v>15</v>
      </c>
      <c r="P14" s="107" t="s">
        <v>16</v>
      </c>
      <c r="Q14" s="107" t="s">
        <v>17</v>
      </c>
    </row>
    <row r="15" spans="1:17">
      <c r="A15" s="12"/>
      <c r="B15" s="13" t="s">
        <v>177</v>
      </c>
      <c r="C15" s="14" t="s">
        <v>178</v>
      </c>
      <c r="D15" s="15">
        <v>350000</v>
      </c>
      <c r="E15" s="16"/>
      <c r="F15" s="16"/>
      <c r="G15" s="16"/>
      <c r="H15" s="16"/>
      <c r="J15" s="12"/>
      <c r="K15" s="13" t="s">
        <v>177</v>
      </c>
      <c r="L15" s="14" t="s">
        <v>178</v>
      </c>
      <c r="M15" s="15"/>
      <c r="N15" s="16"/>
      <c r="O15" s="16"/>
      <c r="P15" s="16"/>
      <c r="Q15" s="16"/>
    </row>
    <row r="16" spans="1:17">
      <c r="A16" s="12"/>
      <c r="B16" s="13" t="s">
        <v>177</v>
      </c>
      <c r="C16" s="14" t="s">
        <v>219</v>
      </c>
      <c r="D16" s="15">
        <v>300000</v>
      </c>
      <c r="E16" s="16"/>
      <c r="F16" s="16"/>
      <c r="G16" s="16"/>
      <c r="H16" s="16"/>
      <c r="J16" s="12"/>
      <c r="K16" s="13" t="s">
        <v>177</v>
      </c>
      <c r="L16" s="14" t="s">
        <v>219</v>
      </c>
      <c r="M16" s="15"/>
      <c r="N16" s="16"/>
      <c r="O16" s="16"/>
      <c r="P16" s="16"/>
      <c r="Q16" s="16"/>
    </row>
    <row r="17" spans="1:17">
      <c r="A17" s="12"/>
      <c r="B17" s="13" t="s">
        <v>177</v>
      </c>
      <c r="C17" s="14" t="s">
        <v>198</v>
      </c>
      <c r="D17" s="15">
        <v>150000</v>
      </c>
      <c r="E17" s="16"/>
      <c r="F17" s="16"/>
      <c r="G17" s="16"/>
      <c r="H17" s="16"/>
      <c r="J17" s="12"/>
      <c r="K17" s="13" t="s">
        <v>177</v>
      </c>
      <c r="L17" s="14" t="s">
        <v>198</v>
      </c>
      <c r="M17" s="15">
        <v>150000</v>
      </c>
      <c r="N17" s="16"/>
      <c r="O17" s="16"/>
      <c r="P17" s="16"/>
      <c r="Q17" s="16"/>
    </row>
    <row r="18" spans="1:17">
      <c r="A18" s="12"/>
      <c r="B18" s="13" t="s">
        <v>177</v>
      </c>
      <c r="C18" s="14" t="s">
        <v>199</v>
      </c>
      <c r="D18" s="15">
        <v>440000</v>
      </c>
      <c r="E18" s="16"/>
      <c r="F18" s="16"/>
      <c r="G18" s="16"/>
      <c r="H18" s="16"/>
      <c r="J18" s="12"/>
      <c r="K18" s="13" t="s">
        <v>177</v>
      </c>
      <c r="L18" s="14" t="s">
        <v>199</v>
      </c>
      <c r="M18" s="15">
        <v>440000</v>
      </c>
      <c r="N18" s="16"/>
      <c r="O18" s="16"/>
      <c r="P18" s="16"/>
      <c r="Q18" s="16"/>
    </row>
    <row r="19" spans="1:17">
      <c r="A19" s="12"/>
      <c r="B19" s="13" t="s">
        <v>179</v>
      </c>
      <c r="C19" s="14" t="s">
        <v>180</v>
      </c>
      <c r="D19" s="15">
        <v>1194312</v>
      </c>
      <c r="E19" s="16"/>
      <c r="F19" s="16"/>
      <c r="G19" s="16"/>
      <c r="H19" s="16"/>
      <c r="J19" s="12"/>
      <c r="K19" s="13" t="s">
        <v>179</v>
      </c>
      <c r="L19" s="14" t="s">
        <v>180</v>
      </c>
      <c r="M19" s="15"/>
      <c r="N19" s="16"/>
      <c r="O19" s="16"/>
      <c r="P19" s="16"/>
      <c r="Q19" s="16"/>
    </row>
    <row r="20" spans="1:17">
      <c r="A20" s="12"/>
      <c r="B20" s="13" t="s">
        <v>179</v>
      </c>
      <c r="C20" s="14" t="s">
        <v>181</v>
      </c>
      <c r="D20" s="15">
        <v>450000</v>
      </c>
      <c r="E20" s="16"/>
      <c r="F20" s="16"/>
      <c r="G20" s="16"/>
      <c r="H20" s="16"/>
      <c r="J20" s="12"/>
      <c r="K20" s="13" t="s">
        <v>179</v>
      </c>
      <c r="L20" s="14" t="s">
        <v>181</v>
      </c>
      <c r="M20" s="15"/>
      <c r="N20" s="16"/>
      <c r="O20" s="16"/>
      <c r="P20" s="16"/>
      <c r="Q20" s="16"/>
    </row>
    <row r="21" spans="1:17">
      <c r="A21" s="12"/>
      <c r="B21" s="13" t="s">
        <v>179</v>
      </c>
      <c r="C21" s="14" t="s">
        <v>182</v>
      </c>
      <c r="D21" s="15">
        <v>202500</v>
      </c>
      <c r="E21" s="16"/>
      <c r="F21" s="16"/>
      <c r="G21" s="16"/>
      <c r="H21" s="16"/>
      <c r="J21" s="12"/>
      <c r="K21" s="13" t="s">
        <v>179</v>
      </c>
      <c r="L21" s="14" t="s">
        <v>182</v>
      </c>
      <c r="M21" s="15"/>
      <c r="N21" s="16"/>
      <c r="O21" s="16"/>
      <c r="P21" s="16"/>
      <c r="Q21" s="16"/>
    </row>
    <row r="22" spans="1:17">
      <c r="A22" s="12"/>
      <c r="B22" s="13" t="s">
        <v>179</v>
      </c>
      <c r="C22" s="14" t="s">
        <v>183</v>
      </c>
      <c r="D22" s="15">
        <v>250000</v>
      </c>
      <c r="E22" s="16"/>
      <c r="F22" s="16"/>
      <c r="G22" s="16"/>
      <c r="H22" s="16"/>
      <c r="J22" s="12"/>
      <c r="K22" s="13" t="s">
        <v>179</v>
      </c>
      <c r="L22" s="14" t="s">
        <v>183</v>
      </c>
      <c r="M22" s="15"/>
      <c r="N22" s="16"/>
      <c r="O22" s="16"/>
      <c r="P22" s="16"/>
      <c r="Q22" s="16"/>
    </row>
    <row r="23" spans="1:17">
      <c r="A23" s="12"/>
      <c r="B23" s="13" t="s">
        <v>179</v>
      </c>
      <c r="C23" s="14" t="s">
        <v>73</v>
      </c>
      <c r="D23" s="15">
        <v>503500</v>
      </c>
      <c r="E23" s="16"/>
      <c r="F23" s="16"/>
      <c r="G23" s="16"/>
      <c r="H23" s="16"/>
      <c r="J23" s="12"/>
      <c r="K23" s="13" t="s">
        <v>179</v>
      </c>
      <c r="L23" s="14" t="s">
        <v>73</v>
      </c>
      <c r="M23" s="15"/>
      <c r="N23" s="16"/>
      <c r="O23" s="16"/>
      <c r="P23" s="16"/>
      <c r="Q23" s="16"/>
    </row>
    <row r="24" spans="1:17">
      <c r="A24" s="12"/>
      <c r="B24" s="13" t="s">
        <v>179</v>
      </c>
      <c r="C24" s="14" t="s">
        <v>19</v>
      </c>
      <c r="D24" s="15">
        <v>503500</v>
      </c>
      <c r="E24" s="16"/>
      <c r="F24" s="16"/>
      <c r="G24" s="16"/>
      <c r="H24" s="16"/>
      <c r="J24" s="12"/>
      <c r="K24" s="13" t="s">
        <v>179</v>
      </c>
      <c r="L24" s="14" t="s">
        <v>19</v>
      </c>
      <c r="M24" s="15"/>
      <c r="N24" s="16"/>
      <c r="O24" s="16"/>
      <c r="P24" s="16"/>
      <c r="Q24" s="16"/>
    </row>
    <row r="25" spans="1:17">
      <c r="A25" s="12"/>
      <c r="B25" s="13" t="s">
        <v>179</v>
      </c>
      <c r="C25" s="14" t="s">
        <v>184</v>
      </c>
      <c r="D25" s="15">
        <v>350000</v>
      </c>
      <c r="E25" s="16"/>
      <c r="F25" s="16"/>
      <c r="G25" s="16"/>
      <c r="H25" s="16"/>
      <c r="J25" s="12"/>
      <c r="K25" s="13" t="s">
        <v>179</v>
      </c>
      <c r="L25" s="14" t="s">
        <v>184</v>
      </c>
      <c r="M25" s="15">
        <v>350000</v>
      </c>
      <c r="N25" s="16"/>
      <c r="O25" s="16"/>
      <c r="P25" s="16"/>
      <c r="Q25" s="16"/>
    </row>
    <row r="26" spans="1:17">
      <c r="A26" s="12"/>
      <c r="B26" s="13" t="s">
        <v>179</v>
      </c>
      <c r="C26" s="14" t="s">
        <v>185</v>
      </c>
      <c r="D26" s="15">
        <v>100000</v>
      </c>
      <c r="E26" s="16"/>
      <c r="F26" s="16"/>
      <c r="G26" s="16"/>
      <c r="H26" s="16"/>
      <c r="J26" s="12"/>
      <c r="K26" s="13" t="s">
        <v>179</v>
      </c>
      <c r="L26" s="14" t="s">
        <v>185</v>
      </c>
      <c r="M26" s="15"/>
      <c r="N26" s="16"/>
      <c r="O26" s="16"/>
      <c r="P26" s="16"/>
      <c r="Q26" s="16"/>
    </row>
    <row r="27" spans="1:17">
      <c r="A27" s="12"/>
      <c r="B27" s="13"/>
      <c r="C27" s="14"/>
      <c r="D27" s="15"/>
      <c r="E27" s="16"/>
      <c r="F27" s="16"/>
      <c r="G27" s="16"/>
      <c r="H27" s="16"/>
      <c r="J27" s="12"/>
      <c r="K27" s="13"/>
      <c r="L27" s="14"/>
      <c r="M27" s="15"/>
      <c r="N27" s="16"/>
      <c r="O27" s="16"/>
      <c r="P27" s="16"/>
      <c r="Q27" s="16"/>
    </row>
    <row r="28" spans="1:17">
      <c r="A28" s="18"/>
      <c r="B28" s="19"/>
      <c r="C28" s="103" t="s">
        <v>20</v>
      </c>
      <c r="D28" s="10">
        <f>SUM(D15:D27)</f>
        <v>4793812</v>
      </c>
      <c r="E28" s="10"/>
      <c r="F28" s="10"/>
      <c r="G28" s="10"/>
      <c r="H28" s="10"/>
      <c r="J28" s="18"/>
      <c r="K28" s="19"/>
      <c r="L28" s="107" t="s">
        <v>20</v>
      </c>
      <c r="M28" s="10">
        <f>SUM(M15:M27)</f>
        <v>940000</v>
      </c>
      <c r="N28" s="10"/>
      <c r="O28" s="10"/>
      <c r="P28" s="10"/>
      <c r="Q28" s="10"/>
    </row>
    <row r="29" spans="1:17">
      <c r="A29" s="20"/>
      <c r="B29" s="531" t="s">
        <v>21</v>
      </c>
      <c r="C29" s="532"/>
      <c r="D29" s="532"/>
      <c r="E29" s="532"/>
      <c r="F29" s="532"/>
      <c r="G29" s="533"/>
      <c r="H29" s="21">
        <f>+D28</f>
        <v>4793812</v>
      </c>
      <c r="J29" s="20"/>
      <c r="K29" s="531" t="s">
        <v>21</v>
      </c>
      <c r="L29" s="532"/>
      <c r="M29" s="532"/>
      <c r="N29" s="532"/>
      <c r="O29" s="532"/>
      <c r="P29" s="533"/>
      <c r="Q29" s="21">
        <f>+M28</f>
        <v>940000</v>
      </c>
    </row>
    <row r="30" spans="1:17">
      <c r="A30" s="526" t="s">
        <v>22</v>
      </c>
      <c r="B30" s="526"/>
      <c r="C30" s="526"/>
      <c r="D30" s="526"/>
      <c r="E30" s="526">
        <f>+H29</f>
        <v>4793812</v>
      </c>
      <c r="F30" s="526"/>
      <c r="G30" s="526"/>
      <c r="H30" s="526"/>
      <c r="J30" s="526" t="s">
        <v>22</v>
      </c>
      <c r="K30" s="526"/>
      <c r="L30" s="526"/>
      <c r="M30" s="526"/>
      <c r="N30" s="526">
        <f>+Q29</f>
        <v>940000</v>
      </c>
      <c r="O30" s="526"/>
      <c r="P30" s="526"/>
      <c r="Q30" s="526"/>
    </row>
    <row r="31" spans="1:17">
      <c r="A31" s="524" t="s">
        <v>23</v>
      </c>
      <c r="B31" s="524"/>
      <c r="C31" s="524"/>
      <c r="D31" s="524"/>
      <c r="E31" s="524"/>
      <c r="F31" s="524"/>
      <c r="G31" s="524"/>
      <c r="H31" s="524"/>
      <c r="J31" s="524" t="s">
        <v>23</v>
      </c>
      <c r="K31" s="524"/>
      <c r="L31" s="524"/>
      <c r="M31" s="524"/>
      <c r="N31" s="524"/>
      <c r="O31" s="524"/>
      <c r="P31" s="524"/>
      <c r="Q31" s="524"/>
    </row>
    <row r="32" spans="1:17">
      <c r="A32" s="12"/>
      <c r="B32" s="13" t="s">
        <v>143</v>
      </c>
      <c r="C32" s="15" t="s">
        <v>200</v>
      </c>
      <c r="D32" s="22">
        <v>320000</v>
      </c>
      <c r="E32" s="22"/>
      <c r="F32" s="22"/>
      <c r="G32" s="16"/>
      <c r="H32" s="16"/>
      <c r="J32" s="12"/>
      <c r="K32" s="13" t="s">
        <v>143</v>
      </c>
      <c r="L32" s="15" t="s">
        <v>200</v>
      </c>
      <c r="M32" s="22">
        <v>320000</v>
      </c>
      <c r="N32" s="22"/>
      <c r="O32" s="22"/>
      <c r="P32" s="16"/>
      <c r="Q32" s="16"/>
    </row>
    <row r="33" spans="1:17">
      <c r="A33" s="12"/>
      <c r="B33" s="13" t="s">
        <v>186</v>
      </c>
      <c r="C33" s="15" t="s">
        <v>187</v>
      </c>
      <c r="D33" s="22">
        <v>83500</v>
      </c>
      <c r="E33" s="22"/>
      <c r="F33" s="22"/>
      <c r="G33" s="16"/>
      <c r="H33" s="16"/>
      <c r="J33" s="12"/>
      <c r="K33" s="13" t="s">
        <v>186</v>
      </c>
      <c r="L33" s="15" t="s">
        <v>187</v>
      </c>
      <c r="M33" s="22">
        <v>83500</v>
      </c>
      <c r="N33" s="22"/>
      <c r="O33" s="22"/>
      <c r="P33" s="16"/>
      <c r="Q33" s="16"/>
    </row>
    <row r="34" spans="1:17">
      <c r="A34" s="12"/>
      <c r="B34" s="13" t="s">
        <v>188</v>
      </c>
      <c r="C34" s="15" t="s">
        <v>189</v>
      </c>
      <c r="D34" s="22">
        <v>200000</v>
      </c>
      <c r="E34" s="22"/>
      <c r="F34" s="22"/>
      <c r="G34" s="16"/>
      <c r="H34" s="16"/>
      <c r="J34" s="12"/>
      <c r="K34" s="13" t="s">
        <v>188</v>
      </c>
      <c r="L34" s="15" t="s">
        <v>189</v>
      </c>
      <c r="M34" s="22">
        <v>200000</v>
      </c>
      <c r="N34" s="22"/>
      <c r="O34" s="22"/>
      <c r="P34" s="16"/>
      <c r="Q34" s="16"/>
    </row>
    <row r="35" spans="1:17">
      <c r="A35" s="12"/>
      <c r="B35" s="13" t="s">
        <v>194</v>
      </c>
      <c r="C35" s="15" t="s">
        <v>195</v>
      </c>
      <c r="D35" s="22">
        <v>1500000</v>
      </c>
      <c r="E35" s="22"/>
      <c r="F35" s="22"/>
      <c r="G35" s="16"/>
      <c r="H35" s="16"/>
      <c r="J35" s="12"/>
      <c r="K35" s="13" t="s">
        <v>194</v>
      </c>
      <c r="L35" s="15" t="s">
        <v>195</v>
      </c>
      <c r="M35" s="22"/>
      <c r="N35" s="22"/>
      <c r="O35" s="22"/>
      <c r="P35" s="16"/>
      <c r="Q35" s="16"/>
    </row>
    <row r="36" spans="1:17">
      <c r="A36" s="12"/>
      <c r="B36" s="13" t="s">
        <v>197</v>
      </c>
      <c r="C36" s="15" t="s">
        <v>201</v>
      </c>
      <c r="D36" s="22">
        <v>1940000</v>
      </c>
      <c r="E36" s="22"/>
      <c r="F36" s="22"/>
      <c r="G36" s="16"/>
      <c r="H36" s="16"/>
      <c r="J36" s="12"/>
      <c r="K36" s="13" t="s">
        <v>197</v>
      </c>
      <c r="L36" s="15" t="s">
        <v>201</v>
      </c>
      <c r="M36" s="22">
        <v>1940000</v>
      </c>
      <c r="N36" s="22"/>
      <c r="O36" s="22"/>
      <c r="P36" s="16"/>
      <c r="Q36" s="16"/>
    </row>
    <row r="37" spans="1:17">
      <c r="A37" s="12"/>
      <c r="B37" s="13" t="s">
        <v>197</v>
      </c>
      <c r="C37" s="15" t="s">
        <v>202</v>
      </c>
      <c r="D37" s="22">
        <v>320000</v>
      </c>
      <c r="E37" s="22"/>
      <c r="F37" s="22"/>
      <c r="G37" s="16"/>
      <c r="H37" s="16"/>
      <c r="J37" s="12"/>
      <c r="K37" s="13" t="s">
        <v>197</v>
      </c>
      <c r="L37" s="15" t="s">
        <v>202</v>
      </c>
      <c r="M37" s="22">
        <v>320000</v>
      </c>
      <c r="N37" s="22"/>
      <c r="O37" s="22"/>
      <c r="P37" s="16"/>
      <c r="Q37" s="16"/>
    </row>
    <row r="38" spans="1:17">
      <c r="A38" s="12"/>
      <c r="B38" s="13" t="s">
        <v>203</v>
      </c>
      <c r="C38" s="15" t="s">
        <v>204</v>
      </c>
      <c r="D38" s="23">
        <v>360000</v>
      </c>
      <c r="E38" s="22"/>
      <c r="F38" s="22"/>
      <c r="G38" s="16"/>
      <c r="H38" s="16"/>
      <c r="J38" s="12"/>
      <c r="K38" s="13" t="s">
        <v>203</v>
      </c>
      <c r="L38" s="15" t="s">
        <v>204</v>
      </c>
      <c r="M38" s="23">
        <v>360000</v>
      </c>
      <c r="N38" s="22"/>
      <c r="O38" s="22"/>
      <c r="P38" s="16"/>
      <c r="Q38" s="16"/>
    </row>
    <row r="39" spans="1:17">
      <c r="A39" s="12"/>
      <c r="B39" s="13" t="s">
        <v>203</v>
      </c>
      <c r="C39" s="15" t="s">
        <v>165</v>
      </c>
      <c r="D39" s="23">
        <v>220000</v>
      </c>
      <c r="E39" s="22"/>
      <c r="F39" s="22"/>
      <c r="G39" s="16"/>
      <c r="H39" s="16"/>
      <c r="J39" s="12"/>
      <c r="K39" s="13" t="s">
        <v>203</v>
      </c>
      <c r="L39" s="15" t="s">
        <v>165</v>
      </c>
      <c r="M39" s="23">
        <v>220000</v>
      </c>
      <c r="N39" s="22"/>
      <c r="O39" s="22"/>
      <c r="P39" s="16"/>
      <c r="Q39" s="16"/>
    </row>
    <row r="40" spans="1:17">
      <c r="A40" s="12"/>
      <c r="B40" s="13" t="s">
        <v>203</v>
      </c>
      <c r="C40" s="15" t="s">
        <v>205</v>
      </c>
      <c r="D40" s="23">
        <v>150000</v>
      </c>
      <c r="E40" s="22"/>
      <c r="F40" s="22"/>
      <c r="G40" s="16"/>
      <c r="H40" s="16"/>
      <c r="J40" s="12"/>
      <c r="K40" s="13" t="s">
        <v>203</v>
      </c>
      <c r="L40" s="15" t="s">
        <v>205</v>
      </c>
      <c r="M40" s="23">
        <v>150000</v>
      </c>
      <c r="N40" s="22"/>
      <c r="O40" s="22"/>
      <c r="P40" s="16"/>
      <c r="Q40" s="16"/>
    </row>
    <row r="41" spans="1:17">
      <c r="A41" s="12"/>
      <c r="B41" s="13" t="s">
        <v>206</v>
      </c>
      <c r="C41" s="15" t="s">
        <v>207</v>
      </c>
      <c r="D41" s="23">
        <v>460000</v>
      </c>
      <c r="E41" s="22"/>
      <c r="F41" s="22"/>
      <c r="G41" s="16"/>
      <c r="H41" s="16"/>
      <c r="J41" s="12"/>
      <c r="K41" s="13" t="s">
        <v>206</v>
      </c>
      <c r="L41" s="15" t="s">
        <v>207</v>
      </c>
      <c r="M41" s="23">
        <v>460000</v>
      </c>
      <c r="N41" s="22"/>
      <c r="O41" s="22"/>
      <c r="P41" s="16"/>
      <c r="Q41" s="16"/>
    </row>
    <row r="42" spans="1:17">
      <c r="A42" s="12"/>
      <c r="B42" s="13" t="s">
        <v>208</v>
      </c>
      <c r="C42" s="15" t="s">
        <v>209</v>
      </c>
      <c r="D42" s="23">
        <v>1880000</v>
      </c>
      <c r="E42" s="22"/>
      <c r="F42" s="22"/>
      <c r="G42" s="16"/>
      <c r="H42" s="16"/>
      <c r="J42" s="12"/>
      <c r="K42" s="13" t="s">
        <v>208</v>
      </c>
      <c r="L42" s="15" t="s">
        <v>209</v>
      </c>
      <c r="M42" s="23">
        <v>1880000</v>
      </c>
      <c r="N42" s="22"/>
      <c r="O42" s="22"/>
      <c r="P42" s="16"/>
      <c r="Q42" s="16"/>
    </row>
    <row r="43" spans="1:17">
      <c r="A43" s="12"/>
      <c r="B43" s="13" t="s">
        <v>208</v>
      </c>
      <c r="C43" s="15" t="s">
        <v>210</v>
      </c>
      <c r="D43" s="23">
        <v>300000</v>
      </c>
      <c r="E43" s="22"/>
      <c r="F43" s="22"/>
      <c r="G43" s="16"/>
      <c r="H43" s="16"/>
      <c r="J43" s="12"/>
      <c r="K43" s="13" t="s">
        <v>208</v>
      </c>
      <c r="L43" s="15" t="s">
        <v>210</v>
      </c>
      <c r="M43" s="23">
        <v>300000</v>
      </c>
      <c r="N43" s="22"/>
      <c r="O43" s="22"/>
      <c r="P43" s="16"/>
      <c r="Q43" s="16"/>
    </row>
    <row r="44" spans="1:17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 hidden="1">
      <c r="A45" s="12"/>
      <c r="B45" s="13"/>
      <c r="C45" s="15"/>
      <c r="D45" s="22"/>
      <c r="E45" s="22"/>
      <c r="F45" s="22"/>
      <c r="G45" s="16"/>
      <c r="H45" s="16"/>
      <c r="J45" s="12"/>
      <c r="K45" s="13"/>
      <c r="L45" s="15"/>
      <c r="M45" s="22"/>
      <c r="N45" s="22"/>
      <c r="O45" s="22"/>
      <c r="P45" s="16"/>
      <c r="Q45" s="16"/>
    </row>
    <row r="46" spans="1:17" hidden="1">
      <c r="A46" s="12"/>
      <c r="B46" s="13"/>
      <c r="C46" s="15"/>
      <c r="D46" s="22"/>
      <c r="E46" s="22"/>
      <c r="F46" s="22"/>
      <c r="G46" s="16"/>
      <c r="H46" s="16"/>
      <c r="J46" s="12"/>
      <c r="K46" s="13"/>
      <c r="L46" s="15"/>
      <c r="M46" s="22"/>
      <c r="N46" s="22"/>
      <c r="O46" s="22"/>
      <c r="P46" s="16"/>
      <c r="Q46" s="16"/>
    </row>
    <row r="47" spans="1:17" hidden="1">
      <c r="A47" s="12"/>
      <c r="B47" s="13"/>
      <c r="C47" s="15"/>
      <c r="D47" s="22"/>
      <c r="E47" s="22"/>
      <c r="F47" s="22"/>
      <c r="G47" s="16"/>
      <c r="H47" s="16"/>
      <c r="J47" s="12"/>
      <c r="K47" s="13"/>
      <c r="L47" s="15"/>
      <c r="M47" s="22"/>
      <c r="N47" s="22"/>
      <c r="O47" s="22"/>
      <c r="P47" s="16"/>
      <c r="Q47" s="16"/>
    </row>
    <row r="48" spans="1:17">
      <c r="A48" s="25"/>
      <c r="B48" s="19"/>
      <c r="C48" s="26" t="s">
        <v>24</v>
      </c>
      <c r="D48" s="27">
        <f>SUM(D32:D46)</f>
        <v>7733500</v>
      </c>
      <c r="E48" s="27"/>
      <c r="F48" s="27"/>
      <c r="G48" s="27"/>
      <c r="H48" s="27"/>
      <c r="J48" s="25"/>
      <c r="K48" s="19"/>
      <c r="L48" s="26" t="s">
        <v>24</v>
      </c>
      <c r="M48" s="27">
        <f>SUM(M32:M46)</f>
        <v>6233500</v>
      </c>
      <c r="N48" s="27"/>
      <c r="O48" s="27"/>
      <c r="P48" s="27"/>
      <c r="Q48" s="27"/>
    </row>
    <row r="49" spans="1:17">
      <c r="A49" s="20"/>
      <c r="B49" s="19"/>
      <c r="C49" s="103" t="s">
        <v>21</v>
      </c>
      <c r="D49" s="10"/>
      <c r="E49" s="530">
        <f>D48</f>
        <v>7733500</v>
      </c>
      <c r="F49" s="530"/>
      <c r="G49" s="530"/>
      <c r="H49" s="530"/>
      <c r="J49" s="20"/>
      <c r="K49" s="19"/>
      <c r="L49" s="107" t="s">
        <v>21</v>
      </c>
      <c r="M49" s="10"/>
      <c r="N49" s="530">
        <f>M48</f>
        <v>6233500</v>
      </c>
      <c r="O49" s="530"/>
      <c r="P49" s="530"/>
      <c r="Q49" s="530"/>
    </row>
    <row r="50" spans="1:17" hidden="1">
      <c r="A50" s="524" t="s">
        <v>87</v>
      </c>
      <c r="B50" s="524"/>
      <c r="C50" s="524"/>
      <c r="D50" s="524"/>
      <c r="E50" s="524"/>
      <c r="F50" s="524"/>
      <c r="G50" s="524"/>
      <c r="H50" s="524"/>
      <c r="J50" s="524" t="s">
        <v>87</v>
      </c>
      <c r="K50" s="524"/>
      <c r="L50" s="524"/>
      <c r="M50" s="524"/>
      <c r="N50" s="524"/>
      <c r="O50" s="524"/>
      <c r="P50" s="524"/>
      <c r="Q50" s="524"/>
    </row>
    <row r="51" spans="1:17" hidden="1">
      <c r="A51" s="28"/>
      <c r="B51" s="23"/>
      <c r="C51" s="23"/>
      <c r="D51" s="23"/>
      <c r="E51" s="28"/>
      <c r="F51" s="28"/>
      <c r="G51" s="28"/>
      <c r="H51" s="28"/>
      <c r="J51" s="28"/>
      <c r="K51" s="23"/>
      <c r="L51" s="23"/>
      <c r="M51" s="23"/>
      <c r="N51" s="28"/>
      <c r="O51" s="28"/>
      <c r="P51" s="28"/>
      <c r="Q51" s="28"/>
    </row>
    <row r="52" spans="1:17" hidden="1">
      <c r="A52" s="28"/>
      <c r="B52" s="23"/>
      <c r="C52" s="23"/>
      <c r="D52" s="23"/>
      <c r="E52" s="28"/>
      <c r="F52" s="28"/>
      <c r="G52" s="28"/>
      <c r="H52" s="28"/>
      <c r="J52" s="28"/>
      <c r="K52" s="23"/>
      <c r="L52" s="23"/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idden="1">
      <c r="A54" s="28"/>
      <c r="B54" s="23"/>
      <c r="C54" s="23"/>
      <c r="D54" s="23"/>
      <c r="E54" s="28"/>
      <c r="F54" s="28"/>
      <c r="G54" s="28"/>
      <c r="H54" s="28"/>
      <c r="J54" s="28"/>
      <c r="K54" s="23"/>
      <c r="L54" s="23"/>
      <c r="M54" s="23"/>
      <c r="N54" s="28"/>
      <c r="O54" s="28"/>
      <c r="P54" s="28"/>
      <c r="Q54" s="28"/>
    </row>
    <row r="55" spans="1:17" hidden="1">
      <c r="A55" s="12"/>
      <c r="B55" s="13"/>
      <c r="C55" s="26" t="s">
        <v>166</v>
      </c>
      <c r="D55" s="27">
        <f>SUM(D51:D53)</f>
        <v>0</v>
      </c>
      <c r="E55" s="27">
        <v>0</v>
      </c>
      <c r="F55" s="27">
        <v>0</v>
      </c>
      <c r="G55" s="27"/>
      <c r="H55" s="27"/>
      <c r="J55" s="12"/>
      <c r="K55" s="13"/>
      <c r="L55" s="26" t="s">
        <v>166</v>
      </c>
      <c r="M55" s="27">
        <f>SUM(M51:M53)</f>
        <v>0</v>
      </c>
      <c r="N55" s="27">
        <v>0</v>
      </c>
      <c r="O55" s="27">
        <v>0</v>
      </c>
      <c r="P55" s="27"/>
      <c r="Q55" s="27"/>
    </row>
    <row r="56" spans="1:17" hidden="1">
      <c r="A56" s="20"/>
      <c r="B56" s="19"/>
      <c r="C56" s="103" t="s">
        <v>21</v>
      </c>
      <c r="D56" s="10"/>
      <c r="E56" s="530">
        <f>D55</f>
        <v>0</v>
      </c>
      <c r="F56" s="530"/>
      <c r="G56" s="530"/>
      <c r="H56" s="530"/>
      <c r="J56" s="20"/>
      <c r="K56" s="19"/>
      <c r="L56" s="107" t="s">
        <v>21</v>
      </c>
      <c r="M56" s="10"/>
      <c r="N56" s="530">
        <f>M55</f>
        <v>0</v>
      </c>
      <c r="O56" s="530"/>
      <c r="P56" s="530"/>
      <c r="Q56" s="530"/>
    </row>
    <row r="57" spans="1:17" hidden="1">
      <c r="A57" s="524" t="s">
        <v>54</v>
      </c>
      <c r="B57" s="524"/>
      <c r="C57" s="524"/>
      <c r="D57" s="524"/>
      <c r="E57" s="524"/>
      <c r="F57" s="524"/>
      <c r="G57" s="524"/>
      <c r="H57" s="524"/>
      <c r="J57" s="524" t="s">
        <v>54</v>
      </c>
      <c r="K57" s="524"/>
      <c r="L57" s="524"/>
      <c r="M57" s="524"/>
      <c r="N57" s="524"/>
      <c r="O57" s="524"/>
      <c r="P57" s="524"/>
      <c r="Q57" s="524"/>
    </row>
    <row r="58" spans="1:17" hidden="1">
      <c r="A58" s="28"/>
      <c r="B58" s="23" t="s">
        <v>126</v>
      </c>
      <c r="C58" s="23" t="s">
        <v>58</v>
      </c>
      <c r="D58" s="23"/>
      <c r="E58" s="28"/>
      <c r="F58" s="28"/>
      <c r="G58" s="28"/>
      <c r="H58" s="28"/>
      <c r="J58" s="28"/>
      <c r="K58" s="23" t="s">
        <v>126</v>
      </c>
      <c r="L58" s="23" t="s">
        <v>58</v>
      </c>
      <c r="M58" s="23"/>
      <c r="N58" s="28"/>
      <c r="O58" s="28"/>
      <c r="P58" s="28"/>
      <c r="Q58" s="28"/>
    </row>
    <row r="59" spans="1:17" hidden="1">
      <c r="A59" s="28"/>
      <c r="B59" s="23"/>
      <c r="C59" s="23"/>
      <c r="D59" s="23"/>
      <c r="E59" s="28"/>
      <c r="F59" s="28"/>
      <c r="G59" s="28"/>
      <c r="H59" s="28"/>
      <c r="J59" s="28"/>
      <c r="K59" s="23"/>
      <c r="L59" s="23"/>
      <c r="M59" s="23"/>
      <c r="N59" s="28"/>
      <c r="O59" s="28"/>
      <c r="P59" s="28"/>
      <c r="Q59" s="28"/>
    </row>
    <row r="60" spans="1:17" hidden="1">
      <c r="A60" s="12"/>
      <c r="B60" s="13"/>
      <c r="C60" s="22"/>
      <c r="D60" s="29"/>
      <c r="E60" s="103"/>
      <c r="F60" s="103"/>
      <c r="G60" s="103"/>
      <c r="H60" s="103"/>
      <c r="J60" s="12"/>
      <c r="K60" s="13"/>
      <c r="L60" s="22"/>
      <c r="M60" s="29"/>
      <c r="N60" s="107"/>
      <c r="O60" s="107"/>
      <c r="P60" s="107"/>
      <c r="Q60" s="107"/>
    </row>
    <row r="61" spans="1:17" hidden="1">
      <c r="A61" s="12"/>
      <c r="B61" s="19"/>
      <c r="C61" s="24"/>
      <c r="D61" s="23"/>
      <c r="E61" s="103"/>
      <c r="F61" s="103"/>
      <c r="G61" s="103"/>
      <c r="H61" s="103"/>
      <c r="J61" s="12"/>
      <c r="K61" s="19"/>
      <c r="L61" s="24"/>
      <c r="M61" s="23"/>
      <c r="N61" s="107"/>
      <c r="O61" s="107"/>
      <c r="P61" s="107"/>
      <c r="Q61" s="107"/>
    </row>
    <row r="62" spans="1:17" hidden="1">
      <c r="A62" s="12"/>
      <c r="B62" s="13"/>
      <c r="C62" s="26" t="s">
        <v>55</v>
      </c>
      <c r="D62" s="27">
        <f>SUM(D58:D61)</f>
        <v>0</v>
      </c>
      <c r="E62" s="27">
        <v>0</v>
      </c>
      <c r="F62" s="27">
        <v>0</v>
      </c>
      <c r="G62" s="27"/>
      <c r="H62" s="27"/>
      <c r="J62" s="12"/>
      <c r="K62" s="13"/>
      <c r="L62" s="26" t="s">
        <v>55</v>
      </c>
      <c r="M62" s="27">
        <f>SUM(M58:M61)</f>
        <v>0</v>
      </c>
      <c r="N62" s="27">
        <v>0</v>
      </c>
      <c r="O62" s="27">
        <v>0</v>
      </c>
      <c r="P62" s="27"/>
      <c r="Q62" s="27"/>
    </row>
    <row r="63" spans="1:17" hidden="1">
      <c r="A63" s="20"/>
      <c r="B63" s="19"/>
      <c r="C63" s="103" t="s">
        <v>21</v>
      </c>
      <c r="D63" s="10"/>
      <c r="E63" s="530">
        <f>D62</f>
        <v>0</v>
      </c>
      <c r="F63" s="530"/>
      <c r="G63" s="530"/>
      <c r="H63" s="530"/>
      <c r="J63" s="20"/>
      <c r="K63" s="19"/>
      <c r="L63" s="107" t="s">
        <v>21</v>
      </c>
      <c r="M63" s="10"/>
      <c r="N63" s="530">
        <f>M62</f>
        <v>0</v>
      </c>
      <c r="O63" s="530"/>
      <c r="P63" s="530"/>
      <c r="Q63" s="530"/>
    </row>
    <row r="64" spans="1:17">
      <c r="A64" s="524" t="s">
        <v>144</v>
      </c>
      <c r="B64" s="524"/>
      <c r="C64" s="524"/>
      <c r="D64" s="524"/>
      <c r="E64" s="524"/>
      <c r="F64" s="524"/>
      <c r="G64" s="524"/>
      <c r="H64" s="524"/>
      <c r="J64" s="524" t="s">
        <v>144</v>
      </c>
      <c r="K64" s="524"/>
      <c r="L64" s="524"/>
      <c r="M64" s="524"/>
      <c r="N64" s="524"/>
      <c r="O64" s="524"/>
      <c r="P64" s="524"/>
      <c r="Q64" s="524"/>
    </row>
    <row r="65" spans="1:17">
      <c r="A65" s="28"/>
      <c r="B65" s="23" t="s">
        <v>211</v>
      </c>
      <c r="C65" s="23" t="s">
        <v>212</v>
      </c>
      <c r="D65" s="23">
        <v>325000</v>
      </c>
      <c r="E65" s="28"/>
      <c r="F65" s="28"/>
      <c r="G65" s="28"/>
      <c r="H65" s="28"/>
      <c r="J65" s="28"/>
      <c r="K65" s="23" t="s">
        <v>211</v>
      </c>
      <c r="L65" s="23" t="s">
        <v>212</v>
      </c>
      <c r="M65" s="23">
        <v>325000</v>
      </c>
      <c r="N65" s="28"/>
      <c r="O65" s="28"/>
      <c r="P65" s="28"/>
      <c r="Q65" s="28"/>
    </row>
    <row r="66" spans="1:17">
      <c r="A66" s="28"/>
      <c r="B66" s="23"/>
      <c r="C66" s="23"/>
      <c r="D66" s="23"/>
      <c r="E66" s="28"/>
      <c r="F66" s="28"/>
      <c r="G66" s="28"/>
      <c r="H66" s="28"/>
      <c r="J66" s="28"/>
      <c r="K66" s="23"/>
      <c r="L66" s="23"/>
      <c r="M66" s="23"/>
      <c r="N66" s="28"/>
      <c r="O66" s="28"/>
      <c r="P66" s="28"/>
      <c r="Q66" s="28"/>
    </row>
    <row r="67" spans="1:17" hidden="1">
      <c r="A67" s="12"/>
      <c r="B67" s="13"/>
      <c r="C67" s="22"/>
      <c r="D67" s="29"/>
      <c r="E67" s="103"/>
      <c r="F67" s="103"/>
      <c r="G67" s="103"/>
      <c r="H67" s="103"/>
      <c r="J67" s="12"/>
      <c r="K67" s="13"/>
      <c r="L67" s="22"/>
      <c r="M67" s="29"/>
      <c r="N67" s="107"/>
      <c r="O67" s="107"/>
      <c r="P67" s="107"/>
      <c r="Q67" s="107"/>
    </row>
    <row r="68" spans="1:17" hidden="1">
      <c r="A68" s="12"/>
      <c r="B68" s="19"/>
      <c r="C68" s="24"/>
      <c r="D68" s="23"/>
      <c r="E68" s="103"/>
      <c r="F68" s="103"/>
      <c r="G68" s="103"/>
      <c r="H68" s="103"/>
      <c r="J68" s="12"/>
      <c r="K68" s="19"/>
      <c r="L68" s="24"/>
      <c r="M68" s="23"/>
      <c r="N68" s="107"/>
      <c r="O68" s="107"/>
      <c r="P68" s="107"/>
      <c r="Q68" s="107"/>
    </row>
    <row r="69" spans="1:17">
      <c r="A69" s="12"/>
      <c r="B69" s="13"/>
      <c r="C69" s="26" t="s">
        <v>196</v>
      </c>
      <c r="D69" s="27">
        <f>SUM(D65:D68)</f>
        <v>325000</v>
      </c>
      <c r="E69" s="27">
        <v>0</v>
      </c>
      <c r="F69" s="27">
        <v>0</v>
      </c>
      <c r="G69" s="27"/>
      <c r="H69" s="27"/>
      <c r="J69" s="12"/>
      <c r="K69" s="13"/>
      <c r="L69" s="26" t="s">
        <v>196</v>
      </c>
      <c r="M69" s="27">
        <f>SUM(M65:M68)</f>
        <v>325000</v>
      </c>
      <c r="N69" s="27">
        <v>0</v>
      </c>
      <c r="O69" s="27">
        <v>0</v>
      </c>
      <c r="P69" s="27"/>
      <c r="Q69" s="27"/>
    </row>
    <row r="70" spans="1:17">
      <c r="A70" s="20"/>
      <c r="B70" s="19"/>
      <c r="C70" s="103" t="s">
        <v>21</v>
      </c>
      <c r="D70" s="10"/>
      <c r="E70" s="530">
        <f>D69</f>
        <v>325000</v>
      </c>
      <c r="F70" s="530"/>
      <c r="G70" s="530"/>
      <c r="H70" s="530"/>
      <c r="J70" s="20"/>
      <c r="K70" s="19"/>
      <c r="L70" s="107" t="s">
        <v>21</v>
      </c>
      <c r="M70" s="10"/>
      <c r="N70" s="530">
        <f>M69</f>
        <v>325000</v>
      </c>
      <c r="O70" s="530"/>
      <c r="P70" s="530"/>
      <c r="Q70" s="530"/>
    </row>
    <row r="71" spans="1:17">
      <c r="A71" s="527" t="s">
        <v>26</v>
      </c>
      <c r="B71" s="528"/>
      <c r="C71" s="528"/>
      <c r="D71" s="528"/>
      <c r="E71" s="528"/>
      <c r="F71" s="528"/>
      <c r="G71" s="528"/>
      <c r="H71" s="529"/>
      <c r="J71" s="527" t="s">
        <v>26</v>
      </c>
      <c r="K71" s="528"/>
      <c r="L71" s="528"/>
      <c r="M71" s="528"/>
      <c r="N71" s="528"/>
      <c r="O71" s="528"/>
      <c r="P71" s="528"/>
      <c r="Q71" s="529"/>
    </row>
    <row r="72" spans="1:17">
      <c r="A72" s="12"/>
      <c r="B72" s="19" t="s">
        <v>190</v>
      </c>
      <c r="C72" s="24" t="s">
        <v>191</v>
      </c>
      <c r="D72" s="23">
        <v>312000</v>
      </c>
      <c r="E72" s="22"/>
      <c r="F72" s="22"/>
      <c r="G72" s="16"/>
      <c r="H72" s="16"/>
      <c r="J72" s="12"/>
      <c r="K72" s="19" t="s">
        <v>190</v>
      </c>
      <c r="L72" s="24" t="s">
        <v>191</v>
      </c>
      <c r="M72" s="23"/>
      <c r="N72" s="22"/>
      <c r="O72" s="22"/>
      <c r="P72" s="16"/>
      <c r="Q72" s="16"/>
    </row>
    <row r="73" spans="1:17">
      <c r="A73" s="12"/>
      <c r="B73" s="19" t="s">
        <v>192</v>
      </c>
      <c r="C73" s="24" t="s">
        <v>193</v>
      </c>
      <c r="D73" s="23">
        <v>1724500</v>
      </c>
      <c r="E73" s="22"/>
      <c r="F73" s="22"/>
      <c r="G73" s="16"/>
      <c r="H73" s="16"/>
      <c r="J73" s="12"/>
      <c r="K73" s="19" t="s">
        <v>192</v>
      </c>
      <c r="L73" s="24" t="s">
        <v>193</v>
      </c>
      <c r="M73" s="23"/>
      <c r="N73" s="22"/>
      <c r="O73" s="22"/>
      <c r="P73" s="16"/>
      <c r="Q73" s="16"/>
    </row>
    <row r="74" spans="1:17">
      <c r="A74" s="12"/>
      <c r="B74" s="19" t="s">
        <v>192</v>
      </c>
      <c r="C74" s="24" t="s">
        <v>214</v>
      </c>
      <c r="D74" s="23">
        <v>12000</v>
      </c>
      <c r="E74" s="22"/>
      <c r="F74" s="22"/>
      <c r="G74" s="16"/>
      <c r="H74" s="16"/>
      <c r="J74" s="12"/>
      <c r="K74" s="19" t="s">
        <v>192</v>
      </c>
      <c r="L74" s="24" t="s">
        <v>214</v>
      </c>
      <c r="M74" s="23"/>
      <c r="N74" s="22"/>
      <c r="O74" s="22"/>
      <c r="P74" s="16"/>
      <c r="Q74" s="16"/>
    </row>
    <row r="75" spans="1:17">
      <c r="A75" s="12"/>
      <c r="B75" s="19" t="s">
        <v>215</v>
      </c>
      <c r="C75" s="24" t="s">
        <v>217</v>
      </c>
      <c r="D75" s="23">
        <v>215000</v>
      </c>
      <c r="E75" s="22"/>
      <c r="F75" s="22"/>
      <c r="G75" s="16"/>
      <c r="H75" s="16"/>
      <c r="J75" s="12"/>
      <c r="K75" s="19" t="s">
        <v>215</v>
      </c>
      <c r="L75" s="24" t="s">
        <v>217</v>
      </c>
      <c r="M75" s="23"/>
      <c r="N75" s="22"/>
      <c r="O75" s="22"/>
      <c r="P75" s="16"/>
      <c r="Q75" s="16"/>
    </row>
    <row r="76" spans="1:17">
      <c r="A76" s="12"/>
      <c r="B76" s="19" t="s">
        <v>216</v>
      </c>
      <c r="C76" s="24" t="s">
        <v>218</v>
      </c>
      <c r="D76" s="23">
        <v>292500</v>
      </c>
      <c r="E76" s="22"/>
      <c r="F76" s="22"/>
      <c r="G76" s="16"/>
      <c r="H76" s="16"/>
      <c r="J76" s="12"/>
      <c r="K76" s="19" t="s">
        <v>216</v>
      </c>
      <c r="L76" s="24" t="s">
        <v>218</v>
      </c>
      <c r="M76" s="23"/>
      <c r="N76" s="22"/>
      <c r="O76" s="22"/>
      <c r="P76" s="16"/>
      <c r="Q76" s="16"/>
    </row>
    <row r="77" spans="1:17">
      <c r="A77" s="12"/>
      <c r="B77" s="19"/>
      <c r="C77" s="23"/>
      <c r="D77" s="23"/>
      <c r="E77" s="22"/>
      <c r="F77" s="22"/>
      <c r="G77" s="16"/>
      <c r="H77" s="16"/>
      <c r="J77" s="12"/>
      <c r="K77" s="19"/>
      <c r="L77" s="23"/>
      <c r="M77" s="23"/>
      <c r="N77" s="22"/>
      <c r="O77" s="22"/>
      <c r="P77" s="16"/>
      <c r="Q77" s="16"/>
    </row>
    <row r="78" spans="1:17">
      <c r="A78" s="12"/>
      <c r="B78" s="19"/>
      <c r="C78" s="24"/>
      <c r="D78" s="23"/>
      <c r="E78" s="22"/>
      <c r="F78" s="22"/>
      <c r="G78" s="16"/>
      <c r="H78" s="16"/>
      <c r="J78" s="12"/>
      <c r="K78" s="19"/>
      <c r="L78" s="24"/>
      <c r="M78" s="23"/>
      <c r="N78" s="22"/>
      <c r="O78" s="22"/>
      <c r="P78" s="16"/>
      <c r="Q78" s="16"/>
    </row>
    <row r="79" spans="1:17">
      <c r="A79" s="25"/>
      <c r="B79" s="19"/>
      <c r="C79" s="26" t="s">
        <v>31</v>
      </c>
      <c r="D79" s="27">
        <f>SUM(D72:D78)</f>
        <v>2556000</v>
      </c>
      <c r="E79" s="27"/>
      <c r="F79" s="27"/>
      <c r="G79" s="27"/>
      <c r="H79" s="27"/>
      <c r="J79" s="25"/>
      <c r="K79" s="19"/>
      <c r="L79" s="26" t="s">
        <v>31</v>
      </c>
      <c r="M79" s="27">
        <f>SUM(M72:M78)</f>
        <v>0</v>
      </c>
      <c r="N79" s="27"/>
      <c r="O79" s="27"/>
      <c r="P79" s="27"/>
      <c r="Q79" s="27"/>
    </row>
    <row r="80" spans="1:17">
      <c r="A80" s="20"/>
      <c r="B80" s="19"/>
      <c r="C80" s="103" t="s">
        <v>21</v>
      </c>
      <c r="D80" s="10"/>
      <c r="E80" s="530">
        <f>D79</f>
        <v>2556000</v>
      </c>
      <c r="F80" s="530"/>
      <c r="G80" s="530"/>
      <c r="H80" s="530"/>
      <c r="J80" s="20"/>
      <c r="K80" s="19"/>
      <c r="L80" s="107" t="s">
        <v>21</v>
      </c>
      <c r="M80" s="10"/>
      <c r="N80" s="530">
        <f>M79</f>
        <v>0</v>
      </c>
      <c r="O80" s="530"/>
      <c r="P80" s="530"/>
      <c r="Q80" s="530"/>
    </row>
    <row r="81" spans="1:17">
      <c r="A81" s="527" t="s">
        <v>32</v>
      </c>
      <c r="B81" s="528"/>
      <c r="C81" s="528"/>
      <c r="D81" s="528"/>
      <c r="E81" s="528"/>
      <c r="F81" s="528"/>
      <c r="G81" s="528"/>
      <c r="H81" s="529"/>
      <c r="J81" s="527" t="s">
        <v>32</v>
      </c>
      <c r="K81" s="528"/>
      <c r="L81" s="528"/>
      <c r="M81" s="528"/>
      <c r="N81" s="528"/>
      <c r="O81" s="528"/>
      <c r="P81" s="528"/>
      <c r="Q81" s="529"/>
    </row>
    <row r="82" spans="1:17">
      <c r="A82" s="12"/>
      <c r="B82" s="13"/>
      <c r="C82" s="22"/>
      <c r="D82" s="22"/>
      <c r="E82" s="103"/>
      <c r="F82" s="103"/>
      <c r="G82" s="103"/>
      <c r="H82" s="103"/>
      <c r="J82" s="12"/>
      <c r="K82" s="13"/>
      <c r="L82" s="22" t="s">
        <v>220</v>
      </c>
      <c r="M82" s="22">
        <v>1235000</v>
      </c>
      <c r="N82" s="107"/>
      <c r="O82" s="107"/>
      <c r="P82" s="107"/>
      <c r="Q82" s="107"/>
    </row>
    <row r="83" spans="1:17">
      <c r="A83" s="12"/>
      <c r="B83" s="13"/>
      <c r="C83" s="22"/>
      <c r="D83" s="29"/>
      <c r="E83" s="103"/>
      <c r="F83" s="103"/>
      <c r="G83" s="103"/>
      <c r="H83" s="103"/>
      <c r="J83" s="12"/>
      <c r="K83" s="13"/>
      <c r="L83" s="22" t="s">
        <v>178</v>
      </c>
      <c r="M83" s="29">
        <v>350000</v>
      </c>
      <c r="N83" s="107"/>
      <c r="O83" s="107"/>
      <c r="P83" s="107"/>
      <c r="Q83" s="107"/>
    </row>
    <row r="84" spans="1:17">
      <c r="A84" s="12"/>
      <c r="B84" s="13"/>
      <c r="C84" s="26" t="s">
        <v>34</v>
      </c>
      <c r="D84" s="27">
        <f>SUM(D82:D83)</f>
        <v>0</v>
      </c>
      <c r="E84" s="27">
        <v>0</v>
      </c>
      <c r="F84" s="27">
        <v>0</v>
      </c>
      <c r="G84" s="27"/>
      <c r="H84" s="27"/>
      <c r="J84" s="12"/>
      <c r="K84" s="13"/>
      <c r="L84" s="26" t="s">
        <v>34</v>
      </c>
      <c r="M84" s="27">
        <f>SUM(M82:M83)</f>
        <v>1585000</v>
      </c>
      <c r="N84" s="27">
        <v>0</v>
      </c>
      <c r="O84" s="27">
        <v>0</v>
      </c>
      <c r="P84" s="27"/>
      <c r="Q84" s="27"/>
    </row>
    <row r="85" spans="1:17">
      <c r="A85" s="20"/>
      <c r="B85" s="19"/>
      <c r="C85" s="103" t="s">
        <v>21</v>
      </c>
      <c r="D85" s="10"/>
      <c r="E85" s="531">
        <f>D84</f>
        <v>0</v>
      </c>
      <c r="F85" s="532"/>
      <c r="G85" s="532"/>
      <c r="H85" s="533"/>
      <c r="J85" s="20"/>
      <c r="K85" s="19"/>
      <c r="L85" s="107" t="s">
        <v>21</v>
      </c>
      <c r="M85" s="10"/>
      <c r="N85" s="531">
        <f>M84</f>
        <v>1585000</v>
      </c>
      <c r="O85" s="532"/>
      <c r="P85" s="532"/>
      <c r="Q85" s="533"/>
    </row>
    <row r="86" spans="1:17">
      <c r="A86" s="525" t="s">
        <v>35</v>
      </c>
      <c r="B86" s="525"/>
      <c r="C86" s="525"/>
      <c r="D86" s="100"/>
      <c r="E86" s="526">
        <f>E49+E56+E80+E85+E63+E70</f>
        <v>10614500</v>
      </c>
      <c r="F86" s="526"/>
      <c r="G86" s="526"/>
      <c r="H86" s="526"/>
      <c r="J86" s="525" t="s">
        <v>35</v>
      </c>
      <c r="K86" s="525"/>
      <c r="L86" s="525"/>
      <c r="M86" s="104"/>
      <c r="N86" s="526">
        <f>N49+N56+N80+N85+N63+N70</f>
        <v>8143500</v>
      </c>
      <c r="O86" s="526"/>
      <c r="P86" s="526"/>
      <c r="Q86" s="526"/>
    </row>
    <row r="87" spans="1:17">
      <c r="A87" s="522" t="s">
        <v>36</v>
      </c>
      <c r="B87" s="522"/>
      <c r="C87" s="522"/>
      <c r="D87" s="102"/>
      <c r="E87" s="523">
        <f>+E30+E86</f>
        <v>15408312</v>
      </c>
      <c r="F87" s="523"/>
      <c r="G87" s="523"/>
      <c r="H87" s="523"/>
      <c r="J87" s="522" t="s">
        <v>36</v>
      </c>
      <c r="K87" s="522"/>
      <c r="L87" s="522"/>
      <c r="M87" s="106"/>
      <c r="N87" s="523">
        <f>+N30+N86</f>
        <v>9083500</v>
      </c>
      <c r="O87" s="523"/>
      <c r="P87" s="523"/>
      <c r="Q87" s="523"/>
    </row>
    <row r="88" spans="1:17">
      <c r="A88" s="524" t="s">
        <v>32</v>
      </c>
      <c r="B88" s="524"/>
      <c r="C88" s="524"/>
      <c r="D88" s="524"/>
      <c r="E88" s="524"/>
      <c r="F88" s="524"/>
      <c r="G88" s="524"/>
      <c r="H88" s="524"/>
      <c r="J88" s="524" t="s">
        <v>32</v>
      </c>
      <c r="K88" s="524"/>
      <c r="L88" s="524"/>
      <c r="M88" s="524"/>
      <c r="N88" s="524"/>
      <c r="O88" s="524"/>
      <c r="P88" s="524"/>
      <c r="Q88" s="524"/>
    </row>
    <row r="89" spans="1:17">
      <c r="A89" s="33"/>
      <c r="B89" s="13"/>
      <c r="C89" s="22"/>
      <c r="D89" s="22"/>
      <c r="E89" s="22"/>
      <c r="F89" s="22"/>
      <c r="G89" s="16"/>
      <c r="H89" s="16"/>
      <c r="J89" s="33"/>
      <c r="K89" s="13"/>
      <c r="L89" s="22"/>
      <c r="M89" s="22"/>
      <c r="N89" s="22"/>
      <c r="O89" s="22"/>
      <c r="P89" s="16"/>
      <c r="Q89" s="16"/>
    </row>
    <row r="90" spans="1:17">
      <c r="A90" s="33"/>
      <c r="B90" s="13"/>
      <c r="C90" s="22"/>
      <c r="D90" s="22"/>
      <c r="E90" s="22"/>
      <c r="F90" s="22"/>
      <c r="G90" s="16"/>
      <c r="H90" s="16"/>
      <c r="J90" s="33"/>
      <c r="K90" s="13"/>
      <c r="L90" s="22"/>
      <c r="M90" s="22"/>
      <c r="N90" s="22"/>
      <c r="O90" s="22"/>
      <c r="P90" s="16"/>
      <c r="Q90" s="16"/>
    </row>
    <row r="91" spans="1:17">
      <c r="A91" s="33"/>
      <c r="B91" s="13"/>
      <c r="C91" s="22"/>
      <c r="D91" s="22"/>
      <c r="E91" s="22"/>
      <c r="F91" s="22"/>
      <c r="G91" s="16"/>
      <c r="H91" s="16"/>
      <c r="J91" s="33"/>
      <c r="K91" s="13"/>
      <c r="L91" s="22"/>
      <c r="M91" s="22"/>
      <c r="N91" s="22"/>
      <c r="O91" s="22"/>
      <c r="P91" s="16"/>
      <c r="Q91" s="16"/>
    </row>
    <row r="92" spans="1:17">
      <c r="A92" s="20"/>
      <c r="B92" s="13"/>
      <c r="C92" s="22"/>
      <c r="D92" s="22"/>
      <c r="E92" s="22"/>
      <c r="F92" s="16"/>
      <c r="G92" s="16"/>
      <c r="H92" s="16"/>
      <c r="J92" s="20"/>
      <c r="K92" s="13"/>
      <c r="L92" s="22"/>
      <c r="M92" s="22"/>
      <c r="N92" s="22"/>
      <c r="O92" s="16"/>
      <c r="P92" s="16"/>
      <c r="Q92" s="16"/>
    </row>
    <row r="93" spans="1:17">
      <c r="A93" s="20"/>
      <c r="B93" s="13"/>
      <c r="C93" s="22"/>
      <c r="D93" s="22"/>
      <c r="E93" s="22"/>
      <c r="F93" s="16"/>
      <c r="G93" s="16"/>
      <c r="H93" s="16"/>
      <c r="J93" s="20"/>
      <c r="K93" s="13"/>
      <c r="L93" s="22"/>
      <c r="M93" s="22"/>
      <c r="N93" s="22"/>
      <c r="O93" s="16"/>
      <c r="P93" s="16"/>
      <c r="Q93" s="16"/>
    </row>
    <row r="94" spans="1:17">
      <c r="A94" s="525" t="s">
        <v>37</v>
      </c>
      <c r="B94" s="525"/>
      <c r="C94" s="525"/>
      <c r="D94" s="100">
        <f>SUM(D89:D93)</f>
        <v>0</v>
      </c>
      <c r="E94" s="526"/>
      <c r="F94" s="526"/>
      <c r="G94" s="526"/>
      <c r="H94" s="526"/>
      <c r="J94" s="525" t="s">
        <v>37</v>
      </c>
      <c r="K94" s="525"/>
      <c r="L94" s="525"/>
      <c r="M94" s="104">
        <f>SUM(M89:M93)</f>
        <v>0</v>
      </c>
      <c r="N94" s="526"/>
      <c r="O94" s="526"/>
      <c r="P94" s="526"/>
      <c r="Q94" s="526"/>
    </row>
    <row r="95" spans="1:17">
      <c r="A95" s="34" t="s">
        <v>38</v>
      </c>
      <c r="B95" s="35"/>
      <c r="C95" s="100"/>
      <c r="D95" s="100"/>
      <c r="E95" s="101"/>
      <c r="F95" s="101"/>
      <c r="G95" s="526"/>
      <c r="H95" s="526"/>
      <c r="J95" s="34" t="s">
        <v>38</v>
      </c>
      <c r="K95" s="35"/>
      <c r="L95" s="104"/>
      <c r="M95" s="104"/>
      <c r="N95" s="105"/>
      <c r="O95" s="105"/>
      <c r="P95" s="526"/>
      <c r="Q95" s="526"/>
    </row>
    <row r="96" spans="1:17">
      <c r="A96" s="37"/>
      <c r="B96" s="38"/>
      <c r="C96" s="39"/>
      <c r="D96" s="39"/>
      <c r="E96" s="39"/>
      <c r="F96" s="39"/>
      <c r="G96" s="39"/>
      <c r="H96" s="39"/>
      <c r="J96" s="37"/>
      <c r="K96" s="38"/>
      <c r="L96" s="39"/>
      <c r="M96" s="39"/>
      <c r="N96" s="39"/>
      <c r="O96" s="39"/>
      <c r="P96" s="39"/>
      <c r="Q96" s="39"/>
    </row>
    <row r="97" spans="1:17">
      <c r="A97" s="519" t="s">
        <v>13</v>
      </c>
      <c r="B97" s="520"/>
      <c r="C97" s="520"/>
      <c r="D97" s="520"/>
      <c r="E97" s="521"/>
      <c r="F97" s="39"/>
      <c r="G97" s="39"/>
      <c r="H97" s="40"/>
      <c r="J97" s="519" t="s">
        <v>13</v>
      </c>
      <c r="K97" s="520"/>
      <c r="L97" s="520"/>
      <c r="M97" s="520"/>
      <c r="N97" s="521"/>
      <c r="O97" s="39"/>
      <c r="P97" s="39"/>
      <c r="Q97" s="40"/>
    </row>
    <row r="98" spans="1:17">
      <c r="A98" s="41" t="s">
        <v>39</v>
      </c>
      <c r="B98" s="42" t="s">
        <v>40</v>
      </c>
      <c r="C98" s="43" t="s">
        <v>41</v>
      </c>
      <c r="D98" s="43" t="s">
        <v>42</v>
      </c>
      <c r="E98" s="43" t="s">
        <v>43</v>
      </c>
      <c r="F98" s="39"/>
      <c r="G98" s="39"/>
      <c r="H98" s="39"/>
      <c r="J98" s="41" t="s">
        <v>39</v>
      </c>
      <c r="K98" s="42" t="s">
        <v>40</v>
      </c>
      <c r="L98" s="43" t="s">
        <v>41</v>
      </c>
      <c r="M98" s="43" t="s">
        <v>42</v>
      </c>
      <c r="N98" s="43" t="s">
        <v>43</v>
      </c>
      <c r="O98" s="39"/>
      <c r="P98" s="39"/>
      <c r="Q98" s="39"/>
    </row>
    <row r="99" spans="1:17">
      <c r="A99" s="41"/>
      <c r="B99" s="44"/>
      <c r="C99" s="45"/>
      <c r="D99" s="46"/>
      <c r="E99" s="46"/>
      <c r="F99" s="39"/>
      <c r="G99" s="39"/>
      <c r="H99" s="39"/>
      <c r="J99" s="41"/>
      <c r="K99" s="110">
        <v>46052</v>
      </c>
      <c r="L99" s="45" t="s">
        <v>221</v>
      </c>
      <c r="M99" s="46">
        <v>8500000</v>
      </c>
      <c r="N99" s="46"/>
      <c r="O99" s="39"/>
      <c r="P99" s="39"/>
      <c r="Q99" s="39"/>
    </row>
    <row r="100" spans="1:17">
      <c r="A100" s="41"/>
      <c r="B100" s="44"/>
      <c r="C100" s="45"/>
      <c r="D100" s="46"/>
      <c r="E100" s="46"/>
      <c r="F100" s="39"/>
      <c r="G100" s="39"/>
      <c r="H100" s="39"/>
      <c r="J100" s="41"/>
      <c r="K100" s="44"/>
      <c r="L100" s="45" t="s">
        <v>222</v>
      </c>
      <c r="M100" s="46">
        <v>613000</v>
      </c>
      <c r="N100" s="46"/>
      <c r="O100" s="39"/>
      <c r="P100" s="39"/>
      <c r="Q100" s="39"/>
    </row>
    <row r="101" spans="1:17">
      <c r="A101" s="41"/>
      <c r="B101" s="44"/>
      <c r="C101" s="45"/>
      <c r="D101" s="46"/>
      <c r="E101" s="46"/>
      <c r="F101" s="39"/>
      <c r="G101" s="39"/>
      <c r="H101" s="39"/>
      <c r="J101" s="41"/>
      <c r="K101" s="44"/>
      <c r="L101" s="45"/>
      <c r="M101" s="46"/>
      <c r="N101" s="46"/>
      <c r="O101" s="39"/>
      <c r="P101" s="39"/>
      <c r="Q101" s="39"/>
    </row>
    <row r="102" spans="1:17">
      <c r="A102" s="41"/>
      <c r="B102" s="44"/>
      <c r="C102" s="47"/>
      <c r="D102" s="46"/>
      <c r="E102" s="46"/>
      <c r="F102" s="39"/>
      <c r="G102" s="39"/>
      <c r="H102" s="39"/>
      <c r="J102" s="41"/>
      <c r="K102" s="44"/>
      <c r="L102" s="47"/>
      <c r="M102" s="46"/>
      <c r="N102" s="46"/>
      <c r="O102" s="39"/>
      <c r="P102" s="39"/>
      <c r="Q102" s="39"/>
    </row>
    <row r="103" spans="1:17">
      <c r="A103" s="41"/>
      <c r="B103" s="44"/>
      <c r="C103" s="46"/>
      <c r="D103" s="48"/>
      <c r="E103" s="46"/>
      <c r="F103" s="39"/>
      <c r="G103" s="39"/>
      <c r="H103" s="39"/>
      <c r="J103" s="41"/>
      <c r="K103" s="44"/>
      <c r="L103" s="46"/>
      <c r="M103" s="48"/>
      <c r="N103" s="46"/>
      <c r="O103" s="39"/>
      <c r="P103" s="39"/>
      <c r="Q103" s="39"/>
    </row>
    <row r="104" spans="1:17">
      <c r="A104" s="49"/>
      <c r="B104" s="50"/>
      <c r="C104" s="51" t="s">
        <v>44</v>
      </c>
      <c r="D104" s="51">
        <f>SUM(D99:D103)</f>
        <v>0</v>
      </c>
      <c r="E104" s="52"/>
      <c r="F104" s="39"/>
      <c r="G104" s="39"/>
      <c r="H104" s="39"/>
      <c r="J104" s="49"/>
      <c r="K104" s="50"/>
      <c r="L104" s="51" t="s">
        <v>44</v>
      </c>
      <c r="M104" s="51">
        <f>SUM(M99:M103)</f>
        <v>9113000</v>
      </c>
      <c r="N104" s="52"/>
      <c r="O104" s="39"/>
      <c r="P104" s="39"/>
      <c r="Q104" s="39"/>
    </row>
    <row r="105" spans="1:17">
      <c r="A105" s="53"/>
      <c r="B105" s="54"/>
      <c r="C105" s="55"/>
      <c r="D105" s="56"/>
      <c r="E105" s="3"/>
      <c r="F105" s="39"/>
      <c r="G105" s="39"/>
      <c r="H105" s="39"/>
      <c r="J105" s="53"/>
      <c r="K105" s="54"/>
      <c r="L105" s="55"/>
      <c r="M105" s="56">
        <f>+M104-N87</f>
        <v>29500</v>
      </c>
      <c r="N105" s="3"/>
      <c r="O105" s="39"/>
      <c r="P105" s="39"/>
      <c r="Q105" s="39"/>
    </row>
  </sheetData>
  <mergeCells count="64">
    <mergeCell ref="J94:L94"/>
    <mergeCell ref="N94:Q94"/>
    <mergeCell ref="P95:Q95"/>
    <mergeCell ref="J97:N97"/>
    <mergeCell ref="J86:L86"/>
    <mergeCell ref="N86:Q86"/>
    <mergeCell ref="J87:L87"/>
    <mergeCell ref="N87:Q87"/>
    <mergeCell ref="J88:Q88"/>
    <mergeCell ref="N70:Q70"/>
    <mergeCell ref="J71:Q71"/>
    <mergeCell ref="N80:Q80"/>
    <mergeCell ref="J81:Q81"/>
    <mergeCell ref="N85:Q85"/>
    <mergeCell ref="J50:Q50"/>
    <mergeCell ref="N56:Q56"/>
    <mergeCell ref="J57:Q57"/>
    <mergeCell ref="N63:Q63"/>
    <mergeCell ref="J64:Q64"/>
    <mergeCell ref="K29:P29"/>
    <mergeCell ref="J30:M30"/>
    <mergeCell ref="N30:Q30"/>
    <mergeCell ref="J31:Q31"/>
    <mergeCell ref="N49:Q49"/>
    <mergeCell ref="J3:Q3"/>
    <mergeCell ref="J11:P11"/>
    <mergeCell ref="J12:Q12"/>
    <mergeCell ref="J13:J14"/>
    <mergeCell ref="K13:K14"/>
    <mergeCell ref="L13:L14"/>
    <mergeCell ref="M13:M14"/>
    <mergeCell ref="N13:Q13"/>
    <mergeCell ref="A88:H88"/>
    <mergeCell ref="A94:C94"/>
    <mergeCell ref="E94:H94"/>
    <mergeCell ref="G95:H95"/>
    <mergeCell ref="A97:E97"/>
    <mergeCell ref="A87:C87"/>
    <mergeCell ref="E87:H87"/>
    <mergeCell ref="E56:H56"/>
    <mergeCell ref="A57:H57"/>
    <mergeCell ref="E63:H63"/>
    <mergeCell ref="A64:H64"/>
    <mergeCell ref="E70:H70"/>
    <mergeCell ref="A71:H71"/>
    <mergeCell ref="E80:H80"/>
    <mergeCell ref="A81:H81"/>
    <mergeCell ref="E85:H85"/>
    <mergeCell ref="A86:C86"/>
    <mergeCell ref="E86:H86"/>
    <mergeCell ref="A50:H50"/>
    <mergeCell ref="A3:H3"/>
    <mergeCell ref="A11:G11"/>
    <mergeCell ref="A12:H12"/>
    <mergeCell ref="A13:A14"/>
    <mergeCell ref="B13:B14"/>
    <mergeCell ref="C13:C14"/>
    <mergeCell ref="D13:D14"/>
    <mergeCell ref="E13:H13"/>
    <mergeCell ref="B29:G29"/>
    <mergeCell ref="A30:D30"/>
    <mergeCell ref="E30:H30"/>
    <mergeCell ref="A31:H31"/>
    <mergeCell ref="E49:H49"/>
  </mergeCells>
  <pageMargins left="0.11811023622047245" right="0.11811023622047245" top="0.12" bottom="0.56000000000000005" header="0.11811023622047245" footer="0.31496062992125984"/>
  <pageSetup paperSize="9" scale="71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workbookViewId="0"/>
  </sheetViews>
  <sheetFormatPr defaultRowHeight="15"/>
  <cols>
    <col min="3" max="3" width="27.28515625" bestFit="1" customWidth="1"/>
    <col min="4" max="4" width="11" bestFit="1" customWidth="1"/>
    <col min="8" max="8" width="11" bestFit="1" customWidth="1"/>
  </cols>
  <sheetData>
    <row r="1" spans="1:8">
      <c r="A1" s="1" t="s">
        <v>0</v>
      </c>
      <c r="B1" s="2"/>
      <c r="C1" s="3"/>
      <c r="D1" s="3"/>
      <c r="E1" s="3"/>
      <c r="F1" s="3"/>
      <c r="G1" s="3"/>
      <c r="H1" s="3"/>
    </row>
    <row r="2" spans="1:8">
      <c r="A2" s="1" t="s">
        <v>133</v>
      </c>
      <c r="B2" s="2"/>
      <c r="C2" s="3"/>
      <c r="D2" s="3"/>
      <c r="E2" s="3"/>
      <c r="F2" s="3"/>
      <c r="G2" s="3"/>
      <c r="H2" s="3"/>
    </row>
    <row r="3" spans="1:8">
      <c r="A3" s="534" t="s">
        <v>1</v>
      </c>
      <c r="B3" s="534"/>
      <c r="C3" s="534"/>
      <c r="D3" s="534"/>
      <c r="E3" s="534"/>
      <c r="F3" s="534"/>
      <c r="G3" s="534"/>
      <c r="H3" s="534"/>
    </row>
    <row r="4" spans="1:8">
      <c r="A4" s="4"/>
      <c r="B4" s="5"/>
      <c r="C4" s="6" t="s">
        <v>2</v>
      </c>
      <c r="D4" s="7">
        <v>28060000</v>
      </c>
      <c r="E4" s="6"/>
      <c r="F4" s="6"/>
      <c r="G4" s="6"/>
      <c r="H4" s="6"/>
    </row>
    <row r="5" spans="1:8">
      <c r="A5" s="4"/>
      <c r="B5" s="5"/>
      <c r="C5" s="6" t="s">
        <v>3</v>
      </c>
      <c r="D5" s="8"/>
      <c r="E5" s="6"/>
      <c r="F5" s="6"/>
      <c r="G5" s="6"/>
      <c r="H5" s="6"/>
    </row>
    <row r="6" spans="1:8">
      <c r="A6" s="4"/>
      <c r="B6" s="5"/>
      <c r="C6" s="6" t="s">
        <v>4</v>
      </c>
      <c r="D6" s="9"/>
      <c r="E6" s="6"/>
      <c r="F6" s="6"/>
      <c r="G6" s="6"/>
      <c r="H6" s="6"/>
    </row>
    <row r="7" spans="1:8">
      <c r="A7" s="4"/>
      <c r="B7" s="5"/>
      <c r="C7" s="6" t="s">
        <v>5</v>
      </c>
      <c r="D7" s="6"/>
      <c r="E7" s="6"/>
      <c r="F7" s="6"/>
      <c r="G7" s="6"/>
      <c r="H7" s="6"/>
    </row>
    <row r="8" spans="1:8">
      <c r="A8" s="4"/>
      <c r="B8" s="5"/>
      <c r="C8" s="6" t="s">
        <v>6</v>
      </c>
      <c r="D8" s="6"/>
      <c r="E8" s="6"/>
      <c r="F8" s="6"/>
      <c r="G8" s="6"/>
      <c r="H8" s="6"/>
    </row>
    <row r="9" spans="1:8">
      <c r="A9" s="4"/>
      <c r="B9" s="5"/>
      <c r="C9" s="6" t="s">
        <v>7</v>
      </c>
      <c r="D9" s="6"/>
      <c r="E9" s="6"/>
      <c r="F9" s="6"/>
      <c r="G9" s="6"/>
      <c r="H9" s="6"/>
    </row>
    <row r="10" spans="1:8">
      <c r="A10" s="4"/>
      <c r="B10" s="5"/>
      <c r="C10" s="6"/>
      <c r="D10" s="6"/>
      <c r="E10" s="6"/>
      <c r="F10" s="6"/>
      <c r="G10" s="6"/>
      <c r="H10" s="6"/>
    </row>
    <row r="11" spans="1:8">
      <c r="A11" s="530" t="s">
        <v>154</v>
      </c>
      <c r="B11" s="530"/>
      <c r="C11" s="530"/>
      <c r="D11" s="10"/>
      <c r="E11" s="10"/>
      <c r="F11" s="10"/>
      <c r="G11" s="10"/>
      <c r="H11" s="10">
        <f>SUM(D4:D9)</f>
        <v>28060000</v>
      </c>
    </row>
    <row r="12" spans="1:8">
      <c r="A12" s="524" t="s">
        <v>109</v>
      </c>
      <c r="B12" s="524"/>
      <c r="C12" s="524"/>
      <c r="D12" s="524"/>
      <c r="E12" s="524"/>
      <c r="F12" s="524"/>
      <c r="G12" s="524"/>
      <c r="H12" s="524"/>
    </row>
    <row r="13" spans="1:8">
      <c r="A13" s="12"/>
      <c r="B13" s="13" t="s">
        <v>213</v>
      </c>
      <c r="C13" s="15" t="s">
        <v>111</v>
      </c>
      <c r="D13" s="22">
        <v>3150000</v>
      </c>
      <c r="E13" s="22"/>
      <c r="F13" s="22"/>
      <c r="G13" s="16"/>
      <c r="H13" s="16"/>
    </row>
    <row r="14" spans="1:8">
      <c r="A14" s="12"/>
      <c r="B14" s="13" t="s">
        <v>213</v>
      </c>
      <c r="C14" s="15" t="s">
        <v>110</v>
      </c>
      <c r="D14" s="22">
        <f>220000*3</f>
        <v>660000</v>
      </c>
      <c r="E14" s="22"/>
      <c r="F14" s="22"/>
      <c r="G14" s="16"/>
      <c r="H14" s="16"/>
    </row>
    <row r="15" spans="1:8">
      <c r="A15" s="12"/>
      <c r="B15" s="13" t="s">
        <v>213</v>
      </c>
      <c r="C15" s="15" t="s">
        <v>112</v>
      </c>
      <c r="D15" s="22">
        <v>600000</v>
      </c>
      <c r="E15" s="22"/>
      <c r="F15" s="22"/>
      <c r="G15" s="16"/>
      <c r="H15" s="16"/>
    </row>
    <row r="16" spans="1:8">
      <c r="A16" s="12"/>
      <c r="B16" s="13"/>
      <c r="C16" s="15"/>
      <c r="D16" s="22"/>
      <c r="E16" s="22"/>
      <c r="F16" s="22"/>
      <c r="G16" s="16"/>
      <c r="H16" s="16"/>
    </row>
    <row r="17" spans="1:8">
      <c r="A17" s="12"/>
      <c r="B17" s="13"/>
      <c r="C17" s="15"/>
      <c r="D17" s="23"/>
      <c r="E17" s="22"/>
      <c r="F17" s="22"/>
      <c r="G17" s="16"/>
      <c r="H17" s="16"/>
    </row>
    <row r="18" spans="1:8">
      <c r="A18" s="25"/>
      <c r="B18" s="19"/>
      <c r="C18" s="26" t="s">
        <v>107</v>
      </c>
      <c r="D18" s="27">
        <f>SUM(D13:D17)</f>
        <v>4410000</v>
      </c>
      <c r="E18" s="27"/>
      <c r="F18" s="27"/>
      <c r="G18" s="27"/>
      <c r="H18" s="27"/>
    </row>
    <row r="19" spans="1:8">
      <c r="A19" s="20"/>
      <c r="B19" s="19"/>
      <c r="C19" s="103" t="s">
        <v>21</v>
      </c>
      <c r="D19" s="10"/>
      <c r="E19" s="530">
        <f>D18</f>
        <v>4410000</v>
      </c>
      <c r="F19" s="530"/>
      <c r="G19" s="530"/>
      <c r="H19" s="530"/>
    </row>
    <row r="20" spans="1:8">
      <c r="A20" s="524" t="s">
        <v>114</v>
      </c>
      <c r="B20" s="524"/>
      <c r="C20" s="524"/>
      <c r="D20" s="524"/>
      <c r="E20" s="524"/>
      <c r="F20" s="524"/>
      <c r="G20" s="524"/>
      <c r="H20" s="524"/>
    </row>
    <row r="21" spans="1:8">
      <c r="A21" s="12"/>
      <c r="B21" s="19"/>
      <c r="C21" s="24"/>
      <c r="D21" s="22"/>
      <c r="E21" s="22"/>
      <c r="F21" s="22"/>
      <c r="G21" s="16"/>
      <c r="H21" s="16"/>
    </row>
    <row r="22" spans="1:8">
      <c r="A22" s="12"/>
      <c r="B22" s="13"/>
      <c r="C22" s="15"/>
      <c r="D22" s="22"/>
      <c r="E22" s="22"/>
      <c r="F22" s="22"/>
      <c r="G22" s="16"/>
      <c r="H22" s="16"/>
    </row>
    <row r="23" spans="1:8">
      <c r="A23" s="12"/>
      <c r="B23" s="13"/>
      <c r="C23" s="15"/>
      <c r="D23" s="22"/>
      <c r="E23" s="22"/>
      <c r="F23" s="22"/>
      <c r="G23" s="16"/>
      <c r="H23" s="16"/>
    </row>
    <row r="24" spans="1:8">
      <c r="A24" s="12"/>
      <c r="B24" s="13"/>
      <c r="C24" s="15"/>
      <c r="D24" s="22"/>
      <c r="E24" s="22"/>
      <c r="F24" s="22"/>
      <c r="G24" s="16"/>
      <c r="H24" s="16"/>
    </row>
    <row r="25" spans="1:8">
      <c r="A25" s="12"/>
      <c r="B25" s="13"/>
      <c r="C25" s="15"/>
      <c r="D25" s="23"/>
      <c r="E25" s="22"/>
      <c r="F25" s="22"/>
      <c r="G25" s="16"/>
      <c r="H25" s="16"/>
    </row>
    <row r="26" spans="1:8">
      <c r="A26" s="25"/>
      <c r="B26" s="19"/>
      <c r="C26" s="26" t="s">
        <v>107</v>
      </c>
      <c r="D26" s="27">
        <f>SUM(D21:D25)</f>
        <v>0</v>
      </c>
      <c r="E26" s="27"/>
      <c r="F26" s="27"/>
      <c r="G26" s="27"/>
      <c r="H26" s="27"/>
    </row>
    <row r="27" spans="1:8">
      <c r="A27" s="20"/>
      <c r="B27" s="19"/>
      <c r="C27" s="103" t="s">
        <v>21</v>
      </c>
      <c r="D27" s="10"/>
      <c r="E27" s="530">
        <f>D26</f>
        <v>0</v>
      </c>
      <c r="F27" s="530"/>
      <c r="G27" s="530"/>
      <c r="H27" s="530"/>
    </row>
    <row r="28" spans="1:8">
      <c r="A28" s="525" t="s">
        <v>115</v>
      </c>
      <c r="B28" s="525"/>
      <c r="C28" s="525"/>
      <c r="D28" s="100"/>
      <c r="E28" s="526">
        <f>E19+E27</f>
        <v>4410000</v>
      </c>
      <c r="F28" s="526"/>
      <c r="G28" s="526"/>
      <c r="H28" s="526"/>
    </row>
    <row r="29" spans="1:8">
      <c r="A29" s="524" t="s">
        <v>32</v>
      </c>
      <c r="B29" s="524"/>
      <c r="C29" s="524"/>
      <c r="D29" s="524"/>
      <c r="E29" s="524"/>
      <c r="F29" s="524"/>
      <c r="G29" s="524"/>
      <c r="H29" s="524"/>
    </row>
    <row r="30" spans="1:8">
      <c r="A30" s="33"/>
      <c r="B30" s="13"/>
      <c r="C30" s="22"/>
      <c r="D30" s="22"/>
      <c r="E30" s="22"/>
      <c r="F30" s="22"/>
      <c r="G30" s="16"/>
      <c r="H30" s="16"/>
    </row>
    <row r="31" spans="1:8">
      <c r="A31" s="33"/>
      <c r="B31" s="13"/>
      <c r="C31" s="22"/>
      <c r="D31" s="22"/>
      <c r="E31" s="22"/>
      <c r="F31" s="22"/>
      <c r="G31" s="16"/>
      <c r="H31" s="16"/>
    </row>
    <row r="32" spans="1:8">
      <c r="A32" s="33"/>
      <c r="B32" s="13"/>
      <c r="C32" s="22"/>
      <c r="D32" s="22"/>
      <c r="E32" s="22"/>
      <c r="F32" s="22"/>
      <c r="G32" s="16"/>
      <c r="H32" s="16"/>
    </row>
    <row r="33" spans="1:8">
      <c r="A33" s="20"/>
      <c r="B33" s="13"/>
      <c r="C33" s="22"/>
      <c r="D33" s="22"/>
      <c r="E33" s="22"/>
      <c r="F33" s="16"/>
      <c r="G33" s="16"/>
      <c r="H33" s="16"/>
    </row>
    <row r="34" spans="1:8">
      <c r="A34" s="20"/>
      <c r="B34" s="13"/>
      <c r="C34" s="22"/>
      <c r="D34" s="22"/>
      <c r="E34" s="22"/>
      <c r="F34" s="16"/>
      <c r="G34" s="16"/>
      <c r="H34" s="16"/>
    </row>
    <row r="35" spans="1:8">
      <c r="A35" s="525" t="s">
        <v>37</v>
      </c>
      <c r="B35" s="525"/>
      <c r="C35" s="525"/>
      <c r="D35" s="100">
        <f>SUM(D30:D34)</f>
        <v>0</v>
      </c>
      <c r="E35" s="526"/>
      <c r="F35" s="526"/>
      <c r="G35" s="526"/>
      <c r="H35" s="526"/>
    </row>
    <row r="36" spans="1:8">
      <c r="A36" s="34" t="s">
        <v>38</v>
      </c>
      <c r="B36" s="35"/>
      <c r="C36" s="100"/>
      <c r="D36" s="100"/>
      <c r="E36" s="101"/>
      <c r="F36" s="101"/>
      <c r="G36" s="526"/>
      <c r="H36" s="526"/>
    </row>
    <row r="37" spans="1:8">
      <c r="A37" s="37"/>
      <c r="B37" s="38"/>
      <c r="C37" s="39"/>
      <c r="D37" s="39"/>
      <c r="E37" s="39"/>
      <c r="F37" s="39"/>
      <c r="G37" s="39"/>
      <c r="H37" s="39"/>
    </row>
    <row r="38" spans="1:8">
      <c r="A38" s="519" t="s">
        <v>13</v>
      </c>
      <c r="B38" s="520"/>
      <c r="C38" s="520"/>
      <c r="D38" s="520"/>
      <c r="E38" s="521"/>
      <c r="F38" s="39"/>
      <c r="G38" s="39"/>
      <c r="H38" s="40"/>
    </row>
    <row r="39" spans="1:8">
      <c r="A39" s="41" t="s">
        <v>39</v>
      </c>
      <c r="B39" s="42" t="s">
        <v>40</v>
      </c>
      <c r="C39" s="43" t="s">
        <v>41</v>
      </c>
      <c r="D39" s="43" t="s">
        <v>42</v>
      </c>
      <c r="E39" s="43" t="s">
        <v>43</v>
      </c>
      <c r="F39" s="39"/>
      <c r="G39" s="39"/>
      <c r="H39" s="39"/>
    </row>
    <row r="40" spans="1:8">
      <c r="A40" s="41"/>
      <c r="B40" s="44"/>
      <c r="C40" s="45"/>
      <c r="D40" s="46"/>
      <c r="E40" s="46"/>
      <c r="F40" s="39"/>
      <c r="G40" s="39"/>
      <c r="H40" s="39"/>
    </row>
    <row r="41" spans="1:8">
      <c r="A41" s="41"/>
      <c r="B41" s="44"/>
      <c r="C41" s="45"/>
      <c r="D41" s="46"/>
      <c r="E41" s="46"/>
      <c r="F41" s="39"/>
      <c r="G41" s="39"/>
      <c r="H41" s="39"/>
    </row>
    <row r="42" spans="1:8">
      <c r="A42" s="41"/>
      <c r="B42" s="44"/>
      <c r="C42" s="45"/>
      <c r="D42" s="46"/>
      <c r="E42" s="46"/>
      <c r="F42" s="39"/>
      <c r="G42" s="39"/>
      <c r="H42" s="39"/>
    </row>
    <row r="43" spans="1:8">
      <c r="A43" s="41"/>
      <c r="B43" s="44"/>
      <c r="C43" s="47"/>
      <c r="D43" s="46"/>
      <c r="E43" s="46"/>
      <c r="F43" s="39"/>
      <c r="G43" s="39"/>
      <c r="H43" s="39"/>
    </row>
    <row r="44" spans="1:8">
      <c r="A44" s="41"/>
      <c r="B44" s="44"/>
      <c r="C44" s="46"/>
      <c r="D44" s="48"/>
      <c r="E44" s="46"/>
      <c r="F44" s="39"/>
      <c r="G44" s="39"/>
      <c r="H44" s="39"/>
    </row>
    <row r="45" spans="1:8">
      <c r="A45" s="49"/>
      <c r="B45" s="50"/>
      <c r="C45" s="51" t="s">
        <v>44</v>
      </c>
      <c r="D45" s="51">
        <f>SUM(D40:D44)</f>
        <v>0</v>
      </c>
      <c r="E45" s="52"/>
      <c r="F45" s="39"/>
      <c r="G45" s="39"/>
      <c r="H45" s="39"/>
    </row>
    <row r="46" spans="1:8">
      <c r="A46" s="53"/>
      <c r="B46" s="54"/>
      <c r="C46" s="55"/>
      <c r="D46" s="56"/>
      <c r="E46" s="3"/>
      <c r="F46" s="39"/>
      <c r="G46" s="39"/>
      <c r="H46" s="39"/>
    </row>
  </sheetData>
  <mergeCells count="13">
    <mergeCell ref="A38:E38"/>
    <mergeCell ref="A28:C28"/>
    <mergeCell ref="E28:H28"/>
    <mergeCell ref="A29:H29"/>
    <mergeCell ref="A35:C35"/>
    <mergeCell ref="E35:H35"/>
    <mergeCell ref="G36:H36"/>
    <mergeCell ref="E27:H27"/>
    <mergeCell ref="A3:H3"/>
    <mergeCell ref="A11:C11"/>
    <mergeCell ref="A12:H12"/>
    <mergeCell ref="E19:H19"/>
    <mergeCell ref="A20:H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8"/>
  <sheetViews>
    <sheetView workbookViewId="0"/>
  </sheetViews>
  <sheetFormatPr defaultRowHeight="15"/>
  <cols>
    <col min="1" max="1" width="38" bestFit="1" customWidth="1"/>
    <col min="2" max="2" width="10.5703125" bestFit="1" customWidth="1"/>
    <col min="3" max="3" width="26.7109375" bestFit="1" customWidth="1"/>
    <col min="4" max="4" width="10.5703125" bestFit="1" customWidth="1"/>
    <col min="5" max="5" width="55.7109375" bestFit="1" customWidth="1"/>
    <col min="6" max="6" width="10.5703125" bestFit="1" customWidth="1"/>
    <col min="7" max="7" width="35.140625" bestFit="1" customWidth="1"/>
    <col min="8" max="8" width="10.5703125" bestFit="1" customWidth="1"/>
    <col min="9" max="9" width="29" bestFit="1" customWidth="1"/>
    <col min="10" max="10" width="10.5703125" bestFit="1" customWidth="1"/>
    <col min="12" max="12" width="11.5703125" bestFit="1" customWidth="1"/>
  </cols>
  <sheetData>
    <row r="1" spans="1:13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  <c r="K1" s="108" t="s">
        <v>52</v>
      </c>
      <c r="L1" s="108"/>
    </row>
    <row r="2" spans="1:13">
      <c r="A2" s="14" t="s">
        <v>199</v>
      </c>
      <c r="B2" s="15">
        <v>440000</v>
      </c>
      <c r="C2" s="14" t="s">
        <v>198</v>
      </c>
      <c r="D2" s="15">
        <v>150000</v>
      </c>
      <c r="E2" s="15" t="s">
        <v>202</v>
      </c>
      <c r="F2" s="22">
        <v>320000</v>
      </c>
      <c r="G2" s="14" t="s">
        <v>184</v>
      </c>
      <c r="H2" s="15">
        <v>350000</v>
      </c>
      <c r="I2" s="15"/>
      <c r="J2" s="22"/>
      <c r="K2" s="22"/>
      <c r="L2" s="29"/>
    </row>
    <row r="3" spans="1:13" ht="15.75">
      <c r="A3" s="15" t="s">
        <v>200</v>
      </c>
      <c r="B3" s="22">
        <v>320000</v>
      </c>
      <c r="C3" s="15" t="s">
        <v>210</v>
      </c>
      <c r="D3" s="23">
        <v>300000</v>
      </c>
      <c r="E3" s="15" t="s">
        <v>204</v>
      </c>
      <c r="F3" s="23">
        <v>360000</v>
      </c>
      <c r="G3" s="15" t="s">
        <v>189</v>
      </c>
      <c r="H3" s="22">
        <v>200000</v>
      </c>
      <c r="I3" s="15"/>
      <c r="J3" s="22"/>
      <c r="K3" s="60"/>
      <c r="L3" s="60"/>
    </row>
    <row r="4" spans="1:13">
      <c r="A4" s="15" t="s">
        <v>187</v>
      </c>
      <c r="B4" s="22">
        <v>83500</v>
      </c>
      <c r="C4" s="15" t="s">
        <v>112</v>
      </c>
      <c r="D4" s="22">
        <v>600000</v>
      </c>
      <c r="E4" s="15" t="s">
        <v>207</v>
      </c>
      <c r="F4" s="23">
        <v>460000</v>
      </c>
      <c r="G4" s="15" t="s">
        <v>201</v>
      </c>
      <c r="H4" s="22">
        <v>1940000</v>
      </c>
      <c r="I4" s="15"/>
      <c r="J4" s="22"/>
      <c r="K4" s="61"/>
      <c r="L4" s="61"/>
    </row>
    <row r="5" spans="1:13">
      <c r="A5" s="15" t="s">
        <v>165</v>
      </c>
      <c r="B5" s="23">
        <v>220000</v>
      </c>
      <c r="C5" s="22"/>
      <c r="D5" s="29"/>
      <c r="E5" s="15" t="s">
        <v>209</v>
      </c>
      <c r="F5" s="23">
        <v>1880000</v>
      </c>
      <c r="G5" s="22" t="s">
        <v>220</v>
      </c>
      <c r="H5" s="22">
        <v>1235000</v>
      </c>
      <c r="I5" s="14"/>
      <c r="J5" s="15"/>
      <c r="K5" s="62"/>
      <c r="L5" s="62"/>
    </row>
    <row r="6" spans="1:13">
      <c r="A6" s="15" t="s">
        <v>205</v>
      </c>
      <c r="B6" s="23">
        <v>150000</v>
      </c>
      <c r="C6" s="15"/>
      <c r="D6" s="22"/>
      <c r="E6" s="15"/>
      <c r="F6" s="22"/>
      <c r="G6" s="22" t="s">
        <v>178</v>
      </c>
      <c r="H6" s="29">
        <v>350000</v>
      </c>
      <c r="I6" s="14"/>
      <c r="J6" s="15"/>
      <c r="K6" s="62"/>
      <c r="L6" s="62"/>
    </row>
    <row r="7" spans="1:13">
      <c r="A7" s="23" t="s">
        <v>212</v>
      </c>
      <c r="B7" s="23">
        <v>325000</v>
      </c>
      <c r="C7" s="22"/>
      <c r="D7" s="29"/>
      <c r="E7" s="15"/>
      <c r="F7" s="22"/>
      <c r="G7" s="15" t="s">
        <v>111</v>
      </c>
      <c r="H7" s="22">
        <v>3150000</v>
      </c>
      <c r="I7" s="14"/>
      <c r="J7" s="15"/>
      <c r="K7" s="62"/>
      <c r="L7" s="62"/>
    </row>
    <row r="8" spans="1:13">
      <c r="A8" s="15" t="s">
        <v>110</v>
      </c>
      <c r="B8" s="22">
        <f>220000*3</f>
        <v>660000</v>
      </c>
      <c r="C8" s="22"/>
      <c r="D8" s="29"/>
      <c r="E8" s="22"/>
      <c r="F8" s="29"/>
      <c r="G8" s="14"/>
      <c r="H8" s="15"/>
      <c r="I8" s="22"/>
      <c r="J8" s="29"/>
      <c r="K8" s="62"/>
      <c r="L8" s="62"/>
    </row>
    <row r="9" spans="1:13">
      <c r="A9" s="64"/>
      <c r="B9" s="61"/>
      <c r="C9" s="22"/>
      <c r="D9" s="29"/>
      <c r="E9" s="61"/>
      <c r="F9" s="65"/>
      <c r="G9" s="14"/>
      <c r="H9" s="15"/>
      <c r="I9" s="22"/>
      <c r="J9" s="29"/>
      <c r="K9" s="62"/>
      <c r="L9" s="62"/>
    </row>
    <row r="10" spans="1:13">
      <c r="A10" s="64"/>
      <c r="B10" s="61"/>
      <c r="C10" s="66"/>
      <c r="D10" s="66"/>
      <c r="E10" s="61"/>
      <c r="F10" s="65"/>
      <c r="G10" s="14"/>
      <c r="H10" s="15"/>
      <c r="I10" s="22"/>
      <c r="J10" s="29"/>
      <c r="K10" s="62"/>
      <c r="L10" s="62"/>
    </row>
    <row r="11" spans="1:13">
      <c r="A11" s="64"/>
      <c r="B11" s="61"/>
      <c r="C11" s="66"/>
      <c r="D11" s="66"/>
      <c r="E11" s="61"/>
      <c r="F11" s="65"/>
      <c r="G11" s="15"/>
      <c r="H11" s="22"/>
      <c r="I11" s="22"/>
      <c r="J11" s="29"/>
      <c r="K11" s="62"/>
      <c r="L11" s="62"/>
    </row>
    <row r="12" spans="1:13">
      <c r="A12" s="64"/>
      <c r="B12" s="61"/>
      <c r="C12" s="66"/>
      <c r="D12" s="66"/>
      <c r="E12" s="61"/>
      <c r="F12" s="65"/>
      <c r="G12" s="15"/>
      <c r="H12" s="22"/>
      <c r="I12" s="62"/>
      <c r="J12" s="67"/>
      <c r="K12" s="62"/>
      <c r="L12" s="62"/>
    </row>
    <row r="13" spans="1:13">
      <c r="A13" s="68"/>
      <c r="B13" s="69"/>
      <c r="C13" s="69"/>
      <c r="D13" s="69"/>
      <c r="E13" s="69"/>
      <c r="F13" s="69"/>
      <c r="G13" s="15"/>
      <c r="H13" s="22"/>
      <c r="I13" s="68"/>
      <c r="J13" s="69"/>
      <c r="K13" s="68"/>
      <c r="L13" s="68"/>
    </row>
    <row r="14" spans="1:13">
      <c r="A14" s="68"/>
      <c r="B14" s="69"/>
      <c r="C14" s="69"/>
      <c r="D14" s="69"/>
      <c r="E14" s="69"/>
      <c r="F14" s="69"/>
      <c r="G14" s="14"/>
      <c r="H14" s="15"/>
      <c r="I14" s="68"/>
      <c r="J14" s="69"/>
      <c r="K14" s="68"/>
      <c r="L14" s="68"/>
    </row>
    <row r="15" spans="1:13">
      <c r="A15" s="70"/>
      <c r="B15" s="71">
        <f>SUM(B2:B14)</f>
        <v>2198500</v>
      </c>
      <c r="C15" s="71"/>
      <c r="D15" s="71">
        <f t="shared" ref="D15:L15" si="0">SUM(D2:D14)</f>
        <v>1050000</v>
      </c>
      <c r="E15" s="71"/>
      <c r="F15" s="71">
        <f t="shared" si="0"/>
        <v>3020000</v>
      </c>
      <c r="G15" s="71"/>
      <c r="H15" s="71">
        <f t="shared" si="0"/>
        <v>7225000</v>
      </c>
      <c r="I15" s="71"/>
      <c r="J15" s="71">
        <f t="shared" si="0"/>
        <v>0</v>
      </c>
      <c r="K15" s="71">
        <f t="shared" si="0"/>
        <v>0</v>
      </c>
      <c r="L15" s="71">
        <f t="shared" si="0"/>
        <v>0</v>
      </c>
      <c r="M15" s="72"/>
    </row>
    <row r="16" spans="1:13">
      <c r="C16" t="s">
        <v>98</v>
      </c>
      <c r="D16" s="77">
        <v>100000</v>
      </c>
    </row>
    <row r="17" spans="2:12">
      <c r="B17" s="77"/>
      <c r="D17" s="77">
        <f>+D15-D16</f>
        <v>950000</v>
      </c>
      <c r="F17" s="72"/>
      <c r="H17" s="72"/>
    </row>
    <row r="18" spans="2:12">
      <c r="D18" s="77"/>
      <c r="H18" s="72"/>
      <c r="L18" s="72">
        <f>+H15+F15+D15+B15</f>
        <v>13493500</v>
      </c>
    </row>
    <row r="19" spans="2:12">
      <c r="D19" s="77"/>
    </row>
    <row r="20" spans="2:12">
      <c r="D20" s="77"/>
    </row>
    <row r="21" spans="2:12">
      <c r="D21" s="77"/>
    </row>
    <row r="22" spans="2:12">
      <c r="D22" s="77"/>
    </row>
    <row r="23" spans="2:12">
      <c r="D23" s="77"/>
    </row>
    <row r="24" spans="2:12">
      <c r="D24" s="77"/>
    </row>
    <row r="25" spans="2:12">
      <c r="D25" s="77"/>
    </row>
    <row r="26" spans="2:12">
      <c r="D26" s="77"/>
    </row>
    <row r="27" spans="2:12">
      <c r="D27" s="77"/>
    </row>
    <row r="28" spans="2:12">
      <c r="D28" s="7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13"/>
  <sheetViews>
    <sheetView workbookViewId="0"/>
  </sheetViews>
  <sheetFormatPr defaultRowHeight="15"/>
  <cols>
    <col min="1" max="1" width="4.85546875" customWidth="1"/>
    <col min="2" max="2" width="10.5703125" bestFit="1" customWidth="1"/>
    <col min="3" max="3" width="79" customWidth="1"/>
    <col min="4" max="4" width="12" bestFit="1" customWidth="1"/>
    <col min="5" max="5" width="5" customWidth="1"/>
    <col min="6" max="6" width="4.5703125" customWidth="1"/>
    <col min="7" max="7" width="4.42578125" customWidth="1"/>
    <col min="8" max="8" width="12" bestFit="1" customWidth="1"/>
    <col min="11" max="11" width="10.5703125" bestFit="1" customWidth="1"/>
    <col min="12" max="12" width="88.140625" bestFit="1" customWidth="1"/>
    <col min="13" max="13" width="12" bestFit="1" customWidth="1"/>
    <col min="17" max="17" width="12" bestFit="1" customWidth="1"/>
    <col min="19" max="19" width="11.57031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268</v>
      </c>
      <c r="B2" s="2"/>
      <c r="C2" s="3"/>
      <c r="D2" s="3"/>
      <c r="E2" s="3"/>
      <c r="F2" s="3"/>
      <c r="G2" s="3"/>
      <c r="H2" s="3"/>
      <c r="J2" s="1" t="s">
        <v>268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0</v>
      </c>
      <c r="E4" s="6"/>
      <c r="F4" s="6"/>
      <c r="G4" s="6"/>
      <c r="H4" s="6"/>
      <c r="J4" s="4"/>
      <c r="K4" s="5"/>
      <c r="L4" s="6" t="s">
        <v>2</v>
      </c>
      <c r="M4" s="7">
        <v>0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70265</v>
      </c>
      <c r="E5" s="6"/>
      <c r="F5" s="6"/>
      <c r="G5" s="6"/>
      <c r="H5" s="6"/>
      <c r="J5" s="4"/>
      <c r="K5" s="5"/>
      <c r="L5" s="6" t="s">
        <v>3</v>
      </c>
      <c r="M5" s="8">
        <v>70265</v>
      </c>
      <c r="N5" s="6"/>
      <c r="O5" s="6"/>
      <c r="P5" s="6"/>
      <c r="Q5" s="6"/>
    </row>
    <row r="6" spans="1:17">
      <c r="A6" s="4"/>
      <c r="B6" s="5"/>
      <c r="C6" s="6" t="s">
        <v>161</v>
      </c>
      <c r="D6" s="115">
        <v>288673500</v>
      </c>
      <c r="E6" s="6"/>
      <c r="F6" s="6"/>
      <c r="G6" s="6"/>
      <c r="H6" s="6"/>
      <c r="J6" s="4"/>
      <c r="K6" s="5"/>
      <c r="L6" s="6" t="s">
        <v>161</v>
      </c>
      <c r="M6" s="115">
        <v>288673500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269</v>
      </c>
      <c r="B11" s="532"/>
      <c r="C11" s="532"/>
      <c r="D11" s="532"/>
      <c r="E11" s="532"/>
      <c r="F11" s="532"/>
      <c r="G11" s="533"/>
      <c r="H11" s="10">
        <f>SUM(D4:D9)</f>
        <v>295814311</v>
      </c>
      <c r="J11" s="531" t="s">
        <v>269</v>
      </c>
      <c r="K11" s="532"/>
      <c r="L11" s="532"/>
      <c r="M11" s="532"/>
      <c r="N11" s="532"/>
      <c r="O11" s="532"/>
      <c r="P11" s="533"/>
      <c r="Q11" s="10">
        <f>SUM(M4:M9)</f>
        <v>295814311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107" t="s">
        <v>14</v>
      </c>
      <c r="F14" s="107" t="s">
        <v>15</v>
      </c>
      <c r="G14" s="107" t="s">
        <v>16</v>
      </c>
      <c r="H14" s="107" t="s">
        <v>17</v>
      </c>
      <c r="J14" s="536"/>
      <c r="K14" s="537"/>
      <c r="L14" s="538"/>
      <c r="M14" s="538"/>
      <c r="N14" s="114" t="s">
        <v>14</v>
      </c>
      <c r="O14" s="114" t="s">
        <v>15</v>
      </c>
      <c r="P14" s="114" t="s">
        <v>16</v>
      </c>
      <c r="Q14" s="114" t="s">
        <v>17</v>
      </c>
    </row>
    <row r="15" spans="1:17">
      <c r="A15" s="12"/>
      <c r="B15" s="13" t="s">
        <v>225</v>
      </c>
      <c r="C15" s="14" t="s">
        <v>178</v>
      </c>
      <c r="D15" s="15">
        <v>350000</v>
      </c>
      <c r="E15" s="16"/>
      <c r="F15" s="16"/>
      <c r="G15" s="16"/>
      <c r="H15" s="16"/>
      <c r="J15" s="12"/>
      <c r="K15" s="13" t="s">
        <v>225</v>
      </c>
      <c r="L15" s="14" t="s">
        <v>178</v>
      </c>
      <c r="M15" s="15">
        <v>350000</v>
      </c>
      <c r="N15" s="16"/>
      <c r="O15" s="16"/>
      <c r="P15" s="16"/>
      <c r="Q15" s="16"/>
    </row>
    <row r="16" spans="1:17">
      <c r="A16" s="12"/>
      <c r="B16" s="13" t="s">
        <v>225</v>
      </c>
      <c r="C16" s="14" t="s">
        <v>219</v>
      </c>
      <c r="D16" s="15">
        <v>300000</v>
      </c>
      <c r="E16" s="16"/>
      <c r="F16" s="16"/>
      <c r="G16" s="16"/>
      <c r="H16" s="16"/>
      <c r="J16" s="12"/>
      <c r="K16" s="13" t="s">
        <v>225</v>
      </c>
      <c r="L16" s="14" t="s">
        <v>219</v>
      </c>
      <c r="M16" s="15">
        <v>300000</v>
      </c>
      <c r="N16" s="16"/>
      <c r="O16" s="16"/>
      <c r="P16" s="16"/>
      <c r="Q16" s="16"/>
    </row>
    <row r="17" spans="1:17">
      <c r="A17" s="12"/>
      <c r="B17" s="13" t="s">
        <v>225</v>
      </c>
      <c r="C17" s="14" t="s">
        <v>223</v>
      </c>
      <c r="D17" s="15">
        <v>49500</v>
      </c>
      <c r="E17" s="16"/>
      <c r="F17" s="16"/>
      <c r="G17" s="16"/>
      <c r="H17" s="16"/>
      <c r="J17" s="12"/>
      <c r="K17" s="13" t="s">
        <v>225</v>
      </c>
      <c r="L17" s="14" t="s">
        <v>223</v>
      </c>
      <c r="M17" s="15">
        <v>49500</v>
      </c>
      <c r="N17" s="16"/>
      <c r="O17" s="16"/>
      <c r="P17" s="16"/>
      <c r="Q17" s="16"/>
    </row>
    <row r="18" spans="1:17">
      <c r="A18" s="12"/>
      <c r="B18" s="13" t="s">
        <v>226</v>
      </c>
      <c r="C18" s="14" t="s">
        <v>180</v>
      </c>
      <c r="D18" s="15">
        <v>1194312</v>
      </c>
      <c r="E18" s="16"/>
      <c r="F18" s="16"/>
      <c r="G18" s="16"/>
      <c r="H18" s="16"/>
      <c r="J18" s="12"/>
      <c r="K18" s="13" t="s">
        <v>226</v>
      </c>
      <c r="L18" s="14" t="s">
        <v>180</v>
      </c>
      <c r="M18" s="15">
        <v>1194312</v>
      </c>
      <c r="N18" s="16"/>
      <c r="O18" s="16"/>
      <c r="P18" s="16"/>
      <c r="Q18" s="16"/>
    </row>
    <row r="19" spans="1:17">
      <c r="A19" s="12"/>
      <c r="B19" s="13" t="s">
        <v>226</v>
      </c>
      <c r="C19" s="14" t="s">
        <v>181</v>
      </c>
      <c r="D19" s="15">
        <v>450000</v>
      </c>
      <c r="E19" s="16"/>
      <c r="F19" s="16"/>
      <c r="G19" s="16"/>
      <c r="H19" s="16"/>
      <c r="J19" s="12"/>
      <c r="K19" s="13" t="s">
        <v>226</v>
      </c>
      <c r="L19" s="14" t="s">
        <v>181</v>
      </c>
      <c r="M19" s="15">
        <v>450000</v>
      </c>
      <c r="N19" s="16"/>
      <c r="O19" s="16"/>
      <c r="P19" s="16"/>
      <c r="Q19" s="16"/>
    </row>
    <row r="20" spans="1:17">
      <c r="A20" s="12"/>
      <c r="B20" s="13" t="s">
        <v>226</v>
      </c>
      <c r="C20" s="14" t="s">
        <v>182</v>
      </c>
      <c r="D20" s="15">
        <v>202500</v>
      </c>
      <c r="E20" s="16"/>
      <c r="F20" s="16"/>
      <c r="G20" s="16"/>
      <c r="H20" s="16"/>
      <c r="J20" s="12"/>
      <c r="K20" s="13" t="s">
        <v>226</v>
      </c>
      <c r="L20" s="14" t="s">
        <v>182</v>
      </c>
      <c r="M20" s="15">
        <v>202500</v>
      </c>
      <c r="N20" s="16"/>
      <c r="O20" s="16"/>
      <c r="P20" s="16"/>
      <c r="Q20" s="16"/>
    </row>
    <row r="21" spans="1:17">
      <c r="A21" s="12"/>
      <c r="B21" s="13" t="s">
        <v>226</v>
      </c>
      <c r="C21" s="14" t="s">
        <v>183</v>
      </c>
      <c r="D21" s="15">
        <v>250000</v>
      </c>
      <c r="E21" s="16"/>
      <c r="F21" s="16"/>
      <c r="G21" s="16"/>
      <c r="H21" s="16"/>
      <c r="J21" s="12"/>
      <c r="K21" s="13" t="s">
        <v>226</v>
      </c>
      <c r="L21" s="14" t="s">
        <v>183</v>
      </c>
      <c r="M21" s="15">
        <v>250000</v>
      </c>
      <c r="N21" s="16"/>
      <c r="O21" s="16"/>
      <c r="P21" s="16"/>
      <c r="Q21" s="16"/>
    </row>
    <row r="22" spans="1:17">
      <c r="A22" s="12"/>
      <c r="B22" s="13" t="s">
        <v>226</v>
      </c>
      <c r="C22" s="14" t="s">
        <v>73</v>
      </c>
      <c r="D22" s="15">
        <v>503500</v>
      </c>
      <c r="E22" s="16"/>
      <c r="F22" s="16"/>
      <c r="G22" s="16"/>
      <c r="H22" s="16"/>
      <c r="J22" s="12"/>
      <c r="K22" s="13" t="s">
        <v>226</v>
      </c>
      <c r="L22" s="14" t="s">
        <v>73</v>
      </c>
      <c r="M22" s="15">
        <v>503500</v>
      </c>
      <c r="N22" s="16"/>
      <c r="O22" s="16"/>
      <c r="P22" s="16"/>
      <c r="Q22" s="16"/>
    </row>
    <row r="23" spans="1:17">
      <c r="A23" s="12"/>
      <c r="B23" s="13" t="s">
        <v>226</v>
      </c>
      <c r="C23" s="14" t="s">
        <v>19</v>
      </c>
      <c r="D23" s="15">
        <v>503500</v>
      </c>
      <c r="E23" s="16"/>
      <c r="F23" s="16"/>
      <c r="G23" s="16"/>
      <c r="H23" s="16"/>
      <c r="J23" s="12"/>
      <c r="K23" s="13" t="s">
        <v>226</v>
      </c>
      <c r="L23" s="14" t="s">
        <v>19</v>
      </c>
      <c r="M23" s="15">
        <v>503500</v>
      </c>
      <c r="N23" s="16"/>
      <c r="O23" s="16"/>
      <c r="P23" s="16"/>
      <c r="Q23" s="16"/>
    </row>
    <row r="24" spans="1:17">
      <c r="A24" s="12"/>
      <c r="B24" s="13" t="s">
        <v>224</v>
      </c>
      <c r="C24" s="14" t="s">
        <v>227</v>
      </c>
      <c r="D24" s="15">
        <v>48000</v>
      </c>
      <c r="E24" s="16"/>
      <c r="F24" s="16"/>
      <c r="G24" s="16"/>
      <c r="H24" s="16"/>
      <c r="J24" s="12"/>
      <c r="K24" s="23" t="s">
        <v>224</v>
      </c>
      <c r="L24" s="14" t="s">
        <v>227</v>
      </c>
      <c r="M24" s="15">
        <v>48000</v>
      </c>
      <c r="N24" s="16"/>
      <c r="O24" s="16"/>
      <c r="P24" s="16"/>
      <c r="Q24" s="16"/>
    </row>
    <row r="25" spans="1:17">
      <c r="A25" s="12"/>
      <c r="B25" s="13" t="s">
        <v>224</v>
      </c>
      <c r="C25" s="14" t="s">
        <v>228</v>
      </c>
      <c r="D25" s="15">
        <f>450000+260000+26000</f>
        <v>736000</v>
      </c>
      <c r="E25" s="16"/>
      <c r="F25" s="16"/>
      <c r="G25" s="16"/>
      <c r="H25" s="16"/>
      <c r="J25" s="12"/>
      <c r="K25" s="13" t="s">
        <v>224</v>
      </c>
      <c r="L25" s="14" t="s">
        <v>228</v>
      </c>
      <c r="M25" s="15">
        <f>450000+260000+26000</f>
        <v>736000</v>
      </c>
      <c r="N25" s="16"/>
      <c r="O25" s="16"/>
      <c r="P25" s="16"/>
      <c r="Q25" s="16"/>
    </row>
    <row r="26" spans="1:17">
      <c r="A26" s="12"/>
      <c r="B26" s="13"/>
      <c r="C26" s="14" t="s">
        <v>242</v>
      </c>
      <c r="D26" s="15">
        <v>1000000</v>
      </c>
      <c r="E26" s="16"/>
      <c r="F26" s="16"/>
      <c r="G26" s="16"/>
      <c r="H26" s="16"/>
      <c r="J26" s="12"/>
      <c r="K26" s="13" t="s">
        <v>224</v>
      </c>
      <c r="L26" s="14" t="s">
        <v>242</v>
      </c>
      <c r="M26" s="15">
        <v>1000000</v>
      </c>
      <c r="N26" s="16"/>
      <c r="O26" s="16"/>
      <c r="P26" s="16"/>
      <c r="Q26" s="16"/>
    </row>
    <row r="27" spans="1:17">
      <c r="A27" s="12"/>
      <c r="B27" s="13"/>
      <c r="C27" s="14"/>
      <c r="D27" s="15"/>
      <c r="E27" s="16"/>
      <c r="F27" s="16"/>
      <c r="G27" s="16"/>
      <c r="H27" s="16"/>
      <c r="J27" s="12"/>
      <c r="K27" s="13"/>
      <c r="L27" s="14"/>
      <c r="M27" s="15"/>
      <c r="N27" s="16"/>
      <c r="O27" s="16"/>
      <c r="P27" s="16"/>
      <c r="Q27" s="16"/>
    </row>
    <row r="28" spans="1:17">
      <c r="A28" s="12"/>
      <c r="B28" s="13"/>
      <c r="C28" s="14"/>
      <c r="D28" s="15"/>
      <c r="E28" s="16"/>
      <c r="F28" s="16"/>
      <c r="G28" s="16"/>
      <c r="H28" s="16"/>
      <c r="J28" s="12"/>
      <c r="K28" s="13"/>
      <c r="L28" s="14"/>
      <c r="M28" s="15"/>
      <c r="N28" s="16"/>
      <c r="O28" s="16"/>
      <c r="P28" s="16"/>
      <c r="Q28" s="16"/>
    </row>
    <row r="29" spans="1:17">
      <c r="A29" s="18"/>
      <c r="B29" s="19"/>
      <c r="C29" s="107" t="s">
        <v>20</v>
      </c>
      <c r="D29" s="10">
        <f>SUM(D15:D28)</f>
        <v>5587312</v>
      </c>
      <c r="E29" s="10"/>
      <c r="F29" s="10"/>
      <c r="G29" s="10"/>
      <c r="H29" s="10"/>
      <c r="J29" s="18"/>
      <c r="K29" s="19"/>
      <c r="L29" s="114" t="s">
        <v>20</v>
      </c>
      <c r="M29" s="10">
        <f>SUM(M15:M28)</f>
        <v>5587312</v>
      </c>
      <c r="N29" s="10"/>
      <c r="O29" s="10"/>
      <c r="P29" s="10"/>
      <c r="Q29" s="10"/>
    </row>
    <row r="30" spans="1:17">
      <c r="A30" s="20"/>
      <c r="B30" s="531" t="s">
        <v>21</v>
      </c>
      <c r="C30" s="532"/>
      <c r="D30" s="532"/>
      <c r="E30" s="532"/>
      <c r="F30" s="532"/>
      <c r="G30" s="533"/>
      <c r="H30" s="21">
        <f>+D29</f>
        <v>5587312</v>
      </c>
      <c r="J30" s="20"/>
      <c r="K30" s="531" t="s">
        <v>21</v>
      </c>
      <c r="L30" s="532"/>
      <c r="M30" s="532"/>
      <c r="N30" s="532"/>
      <c r="O30" s="532"/>
      <c r="P30" s="533"/>
      <c r="Q30" s="21">
        <f>+M29</f>
        <v>5587312</v>
      </c>
    </row>
    <row r="31" spans="1:17">
      <c r="A31" s="526" t="s">
        <v>22</v>
      </c>
      <c r="B31" s="526"/>
      <c r="C31" s="526"/>
      <c r="D31" s="526"/>
      <c r="E31" s="526">
        <f>+H30</f>
        <v>5587312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5587312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9">
      <c r="A33" s="12"/>
      <c r="B33" s="13" t="s">
        <v>194</v>
      </c>
      <c r="C33" s="15" t="s">
        <v>195</v>
      </c>
      <c r="D33" s="22">
        <v>1500000</v>
      </c>
      <c r="E33" s="22"/>
      <c r="F33" s="22"/>
      <c r="G33" s="16"/>
      <c r="H33" s="16"/>
      <c r="J33" s="12"/>
      <c r="K33" s="13" t="s">
        <v>194</v>
      </c>
      <c r="L33" s="15" t="s">
        <v>195</v>
      </c>
      <c r="M33" s="22">
        <v>1500000</v>
      </c>
      <c r="N33" s="22"/>
      <c r="O33" s="22"/>
      <c r="P33" s="16"/>
      <c r="Q33" s="16"/>
    </row>
    <row r="34" spans="1:19">
      <c r="A34" s="12"/>
      <c r="B34" s="13" t="s">
        <v>229</v>
      </c>
      <c r="C34" s="15" t="s">
        <v>230</v>
      </c>
      <c r="D34" s="22">
        <v>700000</v>
      </c>
      <c r="E34" s="22"/>
      <c r="F34" s="22"/>
      <c r="G34" s="16"/>
      <c r="H34" s="16"/>
      <c r="J34" s="12"/>
      <c r="K34" s="13" t="s">
        <v>229</v>
      </c>
      <c r="L34" s="15" t="s">
        <v>230</v>
      </c>
      <c r="M34" s="22">
        <v>700000</v>
      </c>
      <c r="N34" s="22"/>
      <c r="O34" s="22"/>
      <c r="P34" s="16"/>
      <c r="Q34" s="16"/>
    </row>
    <row r="35" spans="1:19">
      <c r="A35" s="12"/>
      <c r="B35" s="13" t="s">
        <v>238</v>
      </c>
      <c r="C35" s="15" t="s">
        <v>240</v>
      </c>
      <c r="D35" s="22">
        <v>69000</v>
      </c>
      <c r="E35" s="22"/>
      <c r="F35" s="22"/>
      <c r="G35" s="16"/>
      <c r="H35" s="16"/>
      <c r="J35" s="12"/>
      <c r="K35" s="13" t="s">
        <v>238</v>
      </c>
      <c r="L35" s="15" t="s">
        <v>240</v>
      </c>
      <c r="M35" s="22">
        <v>69000</v>
      </c>
      <c r="N35" s="22"/>
      <c r="O35" s="22"/>
      <c r="P35" s="16"/>
      <c r="Q35" s="16"/>
    </row>
    <row r="36" spans="1:19">
      <c r="A36" s="12"/>
      <c r="B36" s="13" t="s">
        <v>244</v>
      </c>
      <c r="C36" s="15" t="s">
        <v>247</v>
      </c>
      <c r="D36" s="22">
        <v>1121000</v>
      </c>
      <c r="E36" s="22"/>
      <c r="F36" s="22"/>
      <c r="G36" s="16"/>
      <c r="H36" s="16"/>
      <c r="J36" s="12"/>
      <c r="K36" s="13" t="s">
        <v>244</v>
      </c>
      <c r="L36" s="15" t="s">
        <v>247</v>
      </c>
      <c r="M36" s="22">
        <v>1121000</v>
      </c>
      <c r="N36" s="22"/>
      <c r="O36" s="22"/>
      <c r="P36" s="16"/>
      <c r="Q36" s="16"/>
    </row>
    <row r="37" spans="1:19">
      <c r="A37" s="12"/>
      <c r="B37" s="13" t="s">
        <v>244</v>
      </c>
      <c r="C37" s="15" t="s">
        <v>248</v>
      </c>
      <c r="D37" s="22">
        <v>270000</v>
      </c>
      <c r="E37" s="22"/>
      <c r="F37" s="22"/>
      <c r="G37" s="16"/>
      <c r="H37" s="16"/>
      <c r="J37" s="12"/>
      <c r="K37" s="13" t="s">
        <v>244</v>
      </c>
      <c r="L37" s="15" t="s">
        <v>248</v>
      </c>
      <c r="M37" s="22">
        <v>270000</v>
      </c>
      <c r="N37" s="22"/>
      <c r="O37" s="22"/>
      <c r="P37" s="16"/>
      <c r="Q37" s="16"/>
    </row>
    <row r="38" spans="1:19">
      <c r="A38" s="12"/>
      <c r="B38" s="13" t="s">
        <v>244</v>
      </c>
      <c r="C38" s="15" t="s">
        <v>245</v>
      </c>
      <c r="D38" s="23">
        <v>300000</v>
      </c>
      <c r="E38" s="22"/>
      <c r="F38" s="22"/>
      <c r="G38" s="16"/>
      <c r="H38" s="16"/>
      <c r="J38" s="12"/>
      <c r="K38" s="13" t="s">
        <v>244</v>
      </c>
      <c r="L38" s="15" t="s">
        <v>245</v>
      </c>
      <c r="M38" s="23">
        <v>300000</v>
      </c>
      <c r="N38" s="22"/>
      <c r="O38" s="22"/>
      <c r="P38" s="16"/>
      <c r="Q38" s="16"/>
    </row>
    <row r="39" spans="1:19">
      <c r="A39" s="12"/>
      <c r="B39" s="13" t="s">
        <v>249</v>
      </c>
      <c r="C39" s="15" t="s">
        <v>250</v>
      </c>
      <c r="D39" s="23">
        <v>635000</v>
      </c>
      <c r="E39" s="22"/>
      <c r="F39" s="22"/>
      <c r="G39" s="16"/>
      <c r="H39" s="16"/>
      <c r="J39" s="12"/>
      <c r="K39" s="13" t="s">
        <v>249</v>
      </c>
      <c r="L39" s="15" t="s">
        <v>250</v>
      </c>
      <c r="M39" s="23">
        <v>635000</v>
      </c>
      <c r="N39" s="22"/>
      <c r="O39" s="22"/>
      <c r="P39" s="16"/>
      <c r="Q39" s="16"/>
    </row>
    <row r="40" spans="1:19">
      <c r="A40" s="12"/>
      <c r="B40" s="13" t="s">
        <v>249</v>
      </c>
      <c r="C40" s="15" t="s">
        <v>64</v>
      </c>
      <c r="D40" s="23">
        <v>220000</v>
      </c>
      <c r="E40" s="22"/>
      <c r="F40" s="22"/>
      <c r="G40" s="16"/>
      <c r="H40" s="16"/>
      <c r="J40" s="12"/>
      <c r="K40" s="13" t="s">
        <v>249</v>
      </c>
      <c r="L40" s="15" t="s">
        <v>64</v>
      </c>
      <c r="M40" s="23">
        <v>220000</v>
      </c>
      <c r="N40" s="22"/>
      <c r="O40" s="22"/>
      <c r="P40" s="16"/>
      <c r="Q40" s="16"/>
      <c r="S40" s="72"/>
    </row>
    <row r="41" spans="1:19">
      <c r="A41" s="12"/>
      <c r="B41" s="13" t="s">
        <v>249</v>
      </c>
      <c r="C41" s="15" t="s">
        <v>251</v>
      </c>
      <c r="D41" s="23">
        <v>150000</v>
      </c>
      <c r="E41" s="22"/>
      <c r="F41" s="22"/>
      <c r="G41" s="16"/>
      <c r="H41" s="16"/>
      <c r="J41" s="12"/>
      <c r="K41" s="13" t="s">
        <v>249</v>
      </c>
      <c r="L41" s="15" t="s">
        <v>251</v>
      </c>
      <c r="M41" s="23">
        <v>150000</v>
      </c>
      <c r="N41" s="22"/>
      <c r="O41" s="22"/>
      <c r="P41" s="16"/>
      <c r="Q41" s="16"/>
    </row>
    <row r="42" spans="1:19">
      <c r="A42" s="12"/>
      <c r="B42" s="13" t="s">
        <v>252</v>
      </c>
      <c r="C42" s="15" t="s">
        <v>253</v>
      </c>
      <c r="D42" s="23">
        <v>880000</v>
      </c>
      <c r="E42" s="22"/>
      <c r="F42" s="22"/>
      <c r="G42" s="16"/>
      <c r="H42" s="16"/>
      <c r="J42" s="12"/>
      <c r="K42" s="13" t="s">
        <v>252</v>
      </c>
      <c r="L42" s="15" t="s">
        <v>253</v>
      </c>
      <c r="M42" s="23">
        <v>880000</v>
      </c>
      <c r="N42" s="22"/>
      <c r="O42" s="22"/>
      <c r="P42" s="16"/>
      <c r="Q42" s="16"/>
    </row>
    <row r="43" spans="1:19">
      <c r="A43" s="12"/>
      <c r="B43" s="13" t="s">
        <v>252</v>
      </c>
      <c r="C43" s="15" t="s">
        <v>241</v>
      </c>
      <c r="D43" s="22">
        <v>500000</v>
      </c>
      <c r="E43" s="22"/>
      <c r="F43" s="22"/>
      <c r="G43" s="16"/>
      <c r="H43" s="16"/>
      <c r="J43" s="12"/>
      <c r="K43" s="13" t="s">
        <v>252</v>
      </c>
      <c r="L43" s="15" t="s">
        <v>241</v>
      </c>
      <c r="M43" s="22">
        <v>500000</v>
      </c>
      <c r="N43" s="22"/>
      <c r="O43" s="22"/>
      <c r="P43" s="16"/>
      <c r="Q43" s="16"/>
    </row>
    <row r="44" spans="1:19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9">
      <c r="A45" s="25"/>
      <c r="B45" s="19"/>
      <c r="C45" s="26" t="s">
        <v>24</v>
      </c>
      <c r="D45" s="27">
        <f>SUM(D33:D44)</f>
        <v>6345000</v>
      </c>
      <c r="E45" s="27"/>
      <c r="F45" s="27"/>
      <c r="G45" s="27"/>
      <c r="H45" s="27"/>
      <c r="J45" s="25"/>
      <c r="K45" s="19"/>
      <c r="L45" s="26" t="s">
        <v>24</v>
      </c>
      <c r="M45" s="27">
        <f>SUM(M33:M44)</f>
        <v>6345000</v>
      </c>
      <c r="N45" s="27"/>
      <c r="O45" s="27"/>
      <c r="P45" s="27"/>
      <c r="Q45" s="27"/>
    </row>
    <row r="46" spans="1:19">
      <c r="A46" s="20"/>
      <c r="B46" s="19"/>
      <c r="C46" s="107" t="s">
        <v>21</v>
      </c>
      <c r="D46" s="10"/>
      <c r="E46" s="530">
        <f>D45</f>
        <v>6345000</v>
      </c>
      <c r="F46" s="530"/>
      <c r="G46" s="530"/>
      <c r="H46" s="530"/>
      <c r="J46" s="20"/>
      <c r="K46" s="19"/>
      <c r="L46" s="114" t="s">
        <v>21</v>
      </c>
      <c r="M46" s="10"/>
      <c r="N46" s="530">
        <f>M45</f>
        <v>6345000</v>
      </c>
      <c r="O46" s="530"/>
      <c r="P46" s="530"/>
      <c r="Q46" s="530"/>
    </row>
    <row r="47" spans="1:19">
      <c r="A47" s="524" t="s">
        <v>255</v>
      </c>
      <c r="B47" s="524"/>
      <c r="C47" s="524"/>
      <c r="D47" s="524"/>
      <c r="E47" s="524"/>
      <c r="F47" s="524"/>
      <c r="G47" s="524"/>
      <c r="H47" s="524"/>
      <c r="J47" s="524" t="s">
        <v>255</v>
      </c>
      <c r="K47" s="524"/>
      <c r="L47" s="524"/>
      <c r="M47" s="524"/>
      <c r="N47" s="524"/>
      <c r="O47" s="524"/>
      <c r="P47" s="524"/>
      <c r="Q47" s="524"/>
    </row>
    <row r="48" spans="1:19">
      <c r="A48" s="28"/>
      <c r="B48" s="23" t="s">
        <v>254</v>
      </c>
      <c r="C48" s="23" t="s">
        <v>256</v>
      </c>
      <c r="D48" s="23">
        <v>1625000</v>
      </c>
      <c r="E48" s="28"/>
      <c r="F48" s="28"/>
      <c r="G48" s="28"/>
      <c r="H48" s="28"/>
      <c r="J48" s="28"/>
      <c r="K48" s="23" t="s">
        <v>254</v>
      </c>
      <c r="L48" s="23" t="s">
        <v>256</v>
      </c>
      <c r="M48" s="23">
        <v>1625000</v>
      </c>
      <c r="N48" s="28"/>
      <c r="O48" s="28"/>
      <c r="P48" s="28"/>
      <c r="Q48" s="28"/>
    </row>
    <row r="49" spans="1:17">
      <c r="A49" s="28"/>
      <c r="B49" s="23" t="s">
        <v>254</v>
      </c>
      <c r="C49" s="23" t="s">
        <v>257</v>
      </c>
      <c r="D49" s="23">
        <v>440000</v>
      </c>
      <c r="E49" s="28"/>
      <c r="F49" s="28"/>
      <c r="G49" s="28"/>
      <c r="H49" s="28"/>
      <c r="J49" s="28"/>
      <c r="K49" s="23" t="s">
        <v>254</v>
      </c>
      <c r="L49" s="23" t="s">
        <v>257</v>
      </c>
      <c r="M49" s="23">
        <v>440000</v>
      </c>
      <c r="N49" s="28"/>
      <c r="O49" s="28"/>
      <c r="P49" s="28"/>
      <c r="Q49" s="28"/>
    </row>
    <row r="50" spans="1:17">
      <c r="A50" s="28"/>
      <c r="B50" s="23" t="s">
        <v>254</v>
      </c>
      <c r="C50" s="23" t="s">
        <v>258</v>
      </c>
      <c r="D50" s="23">
        <v>150000</v>
      </c>
      <c r="E50" s="28"/>
      <c r="F50" s="28"/>
      <c r="G50" s="28"/>
      <c r="H50" s="28"/>
      <c r="J50" s="28"/>
      <c r="K50" s="23" t="s">
        <v>254</v>
      </c>
      <c r="L50" s="23" t="s">
        <v>258</v>
      </c>
      <c r="M50" s="23">
        <v>150000</v>
      </c>
      <c r="N50" s="28"/>
      <c r="O50" s="28"/>
      <c r="P50" s="28"/>
      <c r="Q50" s="28"/>
    </row>
    <row r="51" spans="1:17">
      <c r="A51" s="28"/>
      <c r="B51" s="23" t="s">
        <v>254</v>
      </c>
      <c r="C51" s="23" t="s">
        <v>259</v>
      </c>
      <c r="D51" s="23">
        <v>306500</v>
      </c>
      <c r="E51" s="28"/>
      <c r="F51" s="28"/>
      <c r="G51" s="28"/>
      <c r="H51" s="28"/>
      <c r="J51" s="28"/>
      <c r="K51" s="23" t="s">
        <v>254</v>
      </c>
      <c r="L51" s="23" t="s">
        <v>259</v>
      </c>
      <c r="M51" s="23">
        <v>306500</v>
      </c>
      <c r="N51" s="28"/>
      <c r="O51" s="28"/>
      <c r="P51" s="28"/>
      <c r="Q51" s="28"/>
    </row>
    <row r="52" spans="1:17">
      <c r="A52" s="28"/>
      <c r="B52" s="23" t="s">
        <v>254</v>
      </c>
      <c r="C52" s="23" t="s">
        <v>260</v>
      </c>
      <c r="D52" s="23">
        <v>2000000</v>
      </c>
      <c r="E52" s="28"/>
      <c r="F52" s="28"/>
      <c r="G52" s="28"/>
      <c r="H52" s="28"/>
      <c r="J52" s="28"/>
      <c r="K52" s="23" t="s">
        <v>254</v>
      </c>
      <c r="L52" s="23" t="s">
        <v>260</v>
      </c>
      <c r="M52" s="23">
        <v>2000000</v>
      </c>
      <c r="N52" s="28"/>
      <c r="O52" s="28"/>
      <c r="P52" s="28"/>
      <c r="Q52" s="28"/>
    </row>
    <row r="53" spans="1:17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>
      <c r="A54" s="12"/>
      <c r="B54" s="13"/>
      <c r="C54" s="26" t="s">
        <v>270</v>
      </c>
      <c r="D54" s="27">
        <f>SUM(D48:D52)</f>
        <v>4521500</v>
      </c>
      <c r="E54" s="27">
        <v>0</v>
      </c>
      <c r="F54" s="27">
        <v>0</v>
      </c>
      <c r="G54" s="27"/>
      <c r="H54" s="27"/>
      <c r="J54" s="12"/>
      <c r="K54" s="13"/>
      <c r="L54" s="26" t="s">
        <v>270</v>
      </c>
      <c r="M54" s="27">
        <f>SUM(M48:M52)</f>
        <v>4521500</v>
      </c>
      <c r="N54" s="27">
        <v>0</v>
      </c>
      <c r="O54" s="27">
        <v>0</v>
      </c>
      <c r="P54" s="27"/>
      <c r="Q54" s="27"/>
    </row>
    <row r="55" spans="1:17">
      <c r="A55" s="20"/>
      <c r="B55" s="19"/>
      <c r="C55" s="107" t="s">
        <v>21</v>
      </c>
      <c r="D55" s="10"/>
      <c r="E55" s="530">
        <f>D54</f>
        <v>4521500</v>
      </c>
      <c r="F55" s="530"/>
      <c r="G55" s="530"/>
      <c r="H55" s="530"/>
      <c r="J55" s="20"/>
      <c r="K55" s="19"/>
      <c r="L55" s="114" t="s">
        <v>21</v>
      </c>
      <c r="M55" s="10"/>
      <c r="N55" s="530">
        <f>M54</f>
        <v>4521500</v>
      </c>
      <c r="O55" s="530"/>
      <c r="P55" s="530"/>
      <c r="Q55" s="530"/>
    </row>
    <row r="56" spans="1:17">
      <c r="A56" s="524" t="s">
        <v>87</v>
      </c>
      <c r="B56" s="524"/>
      <c r="C56" s="524"/>
      <c r="D56" s="524"/>
      <c r="E56" s="524"/>
      <c r="F56" s="524"/>
      <c r="G56" s="524"/>
      <c r="H56" s="524"/>
      <c r="J56" s="524" t="s">
        <v>87</v>
      </c>
      <c r="K56" s="524"/>
      <c r="L56" s="524"/>
      <c r="M56" s="524"/>
      <c r="N56" s="524"/>
      <c r="O56" s="524"/>
      <c r="P56" s="524"/>
      <c r="Q56" s="524"/>
    </row>
    <row r="57" spans="1:17">
      <c r="A57" s="28"/>
      <c r="B57" s="23" t="s">
        <v>239</v>
      </c>
      <c r="C57" s="23" t="s">
        <v>261</v>
      </c>
      <c r="D57" s="23">
        <v>151000</v>
      </c>
      <c r="E57" s="28"/>
      <c r="F57" s="28"/>
      <c r="G57" s="28"/>
      <c r="H57" s="28"/>
      <c r="J57" s="28"/>
      <c r="K57" s="23" t="s">
        <v>239</v>
      </c>
      <c r="L57" s="23" t="s">
        <v>261</v>
      </c>
      <c r="M57" s="23">
        <v>151000</v>
      </c>
      <c r="N57" s="28"/>
      <c r="O57" s="28"/>
      <c r="P57" s="28"/>
      <c r="Q57" s="28"/>
    </row>
    <row r="58" spans="1:17">
      <c r="A58" s="28"/>
      <c r="B58" s="23"/>
      <c r="C58" s="23"/>
      <c r="D58" s="23"/>
      <c r="E58" s="28"/>
      <c r="F58" s="28"/>
      <c r="G58" s="28"/>
      <c r="H58" s="28"/>
      <c r="J58" s="28"/>
      <c r="K58" s="23"/>
      <c r="L58" s="23"/>
      <c r="M58" s="23"/>
      <c r="N58" s="28"/>
      <c r="O58" s="28"/>
      <c r="P58" s="28"/>
      <c r="Q58" s="28"/>
    </row>
    <row r="59" spans="1:17">
      <c r="A59" s="12"/>
      <c r="B59" s="13"/>
      <c r="C59" s="26" t="s">
        <v>166</v>
      </c>
      <c r="D59" s="27">
        <f>SUM(D57:D57)</f>
        <v>151000</v>
      </c>
      <c r="E59" s="27">
        <v>0</v>
      </c>
      <c r="F59" s="27">
        <v>0</v>
      </c>
      <c r="G59" s="27"/>
      <c r="H59" s="27"/>
      <c r="J59" s="12"/>
      <c r="K59" s="13"/>
      <c r="L59" s="26" t="s">
        <v>166</v>
      </c>
      <c r="M59" s="27">
        <f>SUM(M57:M57)</f>
        <v>151000</v>
      </c>
      <c r="N59" s="27">
        <v>0</v>
      </c>
      <c r="O59" s="27">
        <v>0</v>
      </c>
      <c r="P59" s="27"/>
      <c r="Q59" s="27"/>
    </row>
    <row r="60" spans="1:17">
      <c r="A60" s="20"/>
      <c r="B60" s="19"/>
      <c r="C60" s="109" t="s">
        <v>21</v>
      </c>
      <c r="D60" s="10"/>
      <c r="E60" s="530">
        <f>D59</f>
        <v>151000</v>
      </c>
      <c r="F60" s="530"/>
      <c r="G60" s="530"/>
      <c r="H60" s="530"/>
      <c r="J60" s="20"/>
      <c r="K60" s="19"/>
      <c r="L60" s="114" t="s">
        <v>21</v>
      </c>
      <c r="M60" s="10"/>
      <c r="N60" s="530">
        <f>M59</f>
        <v>151000</v>
      </c>
      <c r="O60" s="530"/>
      <c r="P60" s="530"/>
      <c r="Q60" s="530"/>
    </row>
    <row r="61" spans="1:17">
      <c r="A61" s="524" t="s">
        <v>54</v>
      </c>
      <c r="B61" s="524"/>
      <c r="C61" s="524"/>
      <c r="D61" s="524"/>
      <c r="E61" s="524"/>
      <c r="F61" s="524"/>
      <c r="G61" s="524"/>
      <c r="H61" s="524"/>
      <c r="J61" s="524" t="s">
        <v>54</v>
      </c>
      <c r="K61" s="524"/>
      <c r="L61" s="524"/>
      <c r="M61" s="524"/>
      <c r="N61" s="524"/>
      <c r="O61" s="524"/>
      <c r="P61" s="524"/>
      <c r="Q61" s="524"/>
    </row>
    <row r="62" spans="1:17">
      <c r="A62" s="28"/>
      <c r="B62" s="23" t="s">
        <v>264</v>
      </c>
      <c r="C62" s="23" t="s">
        <v>263</v>
      </c>
      <c r="D62" s="23">
        <v>220000</v>
      </c>
      <c r="E62" s="28"/>
      <c r="F62" s="28"/>
      <c r="G62" s="28"/>
      <c r="H62" s="28"/>
      <c r="J62" s="28"/>
      <c r="K62" s="23" t="s">
        <v>264</v>
      </c>
      <c r="L62" s="23" t="s">
        <v>263</v>
      </c>
      <c r="M62" s="23">
        <v>220000</v>
      </c>
      <c r="N62" s="28"/>
      <c r="O62" s="28"/>
      <c r="P62" s="28"/>
      <c r="Q62" s="28"/>
    </row>
    <row r="63" spans="1:17">
      <c r="A63" s="28"/>
      <c r="B63" s="23" t="s">
        <v>264</v>
      </c>
      <c r="C63" s="23" t="s">
        <v>262</v>
      </c>
      <c r="D63" s="23">
        <v>150000</v>
      </c>
      <c r="E63" s="28"/>
      <c r="F63" s="28"/>
      <c r="G63" s="28"/>
      <c r="H63" s="28"/>
      <c r="J63" s="28"/>
      <c r="K63" s="23" t="s">
        <v>264</v>
      </c>
      <c r="L63" s="23" t="s">
        <v>262</v>
      </c>
      <c r="M63" s="23">
        <v>150000</v>
      </c>
      <c r="N63" s="28"/>
      <c r="O63" s="28"/>
      <c r="P63" s="28"/>
      <c r="Q63" s="28"/>
    </row>
    <row r="64" spans="1:17">
      <c r="A64" s="12"/>
      <c r="B64" s="19"/>
      <c r="C64" s="24"/>
      <c r="D64" s="23"/>
      <c r="E64" s="107"/>
      <c r="F64" s="107"/>
      <c r="G64" s="107"/>
      <c r="H64" s="107"/>
      <c r="J64" s="12"/>
      <c r="K64" s="19"/>
      <c r="L64" s="24"/>
      <c r="M64" s="23"/>
      <c r="N64" s="114"/>
      <c r="O64" s="114"/>
      <c r="P64" s="114"/>
      <c r="Q64" s="114"/>
    </row>
    <row r="65" spans="1:17">
      <c r="A65" s="12"/>
      <c r="B65" s="13"/>
      <c r="C65" s="26" t="s">
        <v>55</v>
      </c>
      <c r="D65" s="27">
        <f>SUM(D62:D64)</f>
        <v>370000</v>
      </c>
      <c r="E65" s="27">
        <v>0</v>
      </c>
      <c r="F65" s="27">
        <v>0</v>
      </c>
      <c r="G65" s="27"/>
      <c r="H65" s="27"/>
      <c r="J65" s="12"/>
      <c r="K65" s="13"/>
      <c r="L65" s="26" t="s">
        <v>55</v>
      </c>
      <c r="M65" s="27">
        <f>SUM(M62:M64)</f>
        <v>370000</v>
      </c>
      <c r="N65" s="27">
        <v>0</v>
      </c>
      <c r="O65" s="27">
        <v>0</v>
      </c>
      <c r="P65" s="27"/>
      <c r="Q65" s="27"/>
    </row>
    <row r="66" spans="1:17">
      <c r="A66" s="20"/>
      <c r="B66" s="19"/>
      <c r="C66" s="107" t="s">
        <v>21</v>
      </c>
      <c r="D66" s="10"/>
      <c r="E66" s="530">
        <f>D65</f>
        <v>370000</v>
      </c>
      <c r="F66" s="530"/>
      <c r="G66" s="530"/>
      <c r="H66" s="530"/>
      <c r="J66" s="20"/>
      <c r="K66" s="19"/>
      <c r="L66" s="114" t="s">
        <v>21</v>
      </c>
      <c r="M66" s="10"/>
      <c r="N66" s="530">
        <f>M65</f>
        <v>370000</v>
      </c>
      <c r="O66" s="530"/>
      <c r="P66" s="530"/>
      <c r="Q66" s="530"/>
    </row>
    <row r="67" spans="1:17">
      <c r="A67" s="524" t="s">
        <v>144</v>
      </c>
      <c r="B67" s="524"/>
      <c r="C67" s="524"/>
      <c r="D67" s="524"/>
      <c r="E67" s="524"/>
      <c r="F67" s="524"/>
      <c r="G67" s="524"/>
      <c r="H67" s="524"/>
      <c r="J67" s="524" t="s">
        <v>144</v>
      </c>
      <c r="K67" s="524"/>
      <c r="L67" s="524"/>
      <c r="M67" s="524"/>
      <c r="N67" s="524"/>
      <c r="O67" s="524"/>
      <c r="P67" s="524"/>
      <c r="Q67" s="524"/>
    </row>
    <row r="68" spans="1:17">
      <c r="A68" s="28"/>
      <c r="B68" s="23" t="s">
        <v>265</v>
      </c>
      <c r="C68" s="23" t="s">
        <v>246</v>
      </c>
      <c r="D68" s="23">
        <f>175000*6+150000*6-325000</f>
        <v>1625000</v>
      </c>
      <c r="E68" s="28"/>
      <c r="F68" s="28"/>
      <c r="G68" s="28"/>
      <c r="H68" s="28"/>
      <c r="J68" s="28"/>
      <c r="K68" s="23" t="s">
        <v>265</v>
      </c>
      <c r="L68" s="23" t="s">
        <v>246</v>
      </c>
      <c r="M68" s="23">
        <f>175000*6+150000*6-325000</f>
        <v>1625000</v>
      </c>
      <c r="N68" s="28"/>
      <c r="O68" s="28"/>
      <c r="P68" s="28"/>
      <c r="Q68" s="28"/>
    </row>
    <row r="69" spans="1:17">
      <c r="A69" s="28"/>
      <c r="B69" s="23" t="s">
        <v>265</v>
      </c>
      <c r="C69" s="23" t="s">
        <v>152</v>
      </c>
      <c r="D69" s="23">
        <v>450000</v>
      </c>
      <c r="E69" s="28"/>
      <c r="F69" s="28"/>
      <c r="G69" s="28"/>
      <c r="H69" s="28"/>
      <c r="J69" s="28"/>
      <c r="K69" s="23" t="s">
        <v>265</v>
      </c>
      <c r="L69" s="23" t="s">
        <v>152</v>
      </c>
      <c r="M69" s="23">
        <v>450000</v>
      </c>
      <c r="N69" s="28"/>
      <c r="O69" s="28"/>
      <c r="P69" s="28"/>
      <c r="Q69" s="28"/>
    </row>
    <row r="70" spans="1:17">
      <c r="A70" s="12"/>
      <c r="B70" s="19"/>
      <c r="C70" s="24"/>
      <c r="D70" s="23"/>
      <c r="E70" s="107"/>
      <c r="F70" s="107"/>
      <c r="G70" s="107"/>
      <c r="H70" s="107"/>
      <c r="J70" s="12"/>
      <c r="K70" s="19"/>
      <c r="L70" s="24"/>
      <c r="M70" s="23"/>
      <c r="N70" s="114"/>
      <c r="O70" s="114"/>
      <c r="P70" s="114"/>
      <c r="Q70" s="114"/>
    </row>
    <row r="71" spans="1:17">
      <c r="A71" s="12"/>
      <c r="B71" s="13"/>
      <c r="C71" s="26" t="s">
        <v>196</v>
      </c>
      <c r="D71" s="27">
        <f>SUM(D68:D70)</f>
        <v>2075000</v>
      </c>
      <c r="E71" s="27">
        <v>0</v>
      </c>
      <c r="F71" s="27">
        <v>0</v>
      </c>
      <c r="G71" s="27"/>
      <c r="H71" s="27"/>
      <c r="J71" s="12"/>
      <c r="K71" s="13"/>
      <c r="L71" s="26" t="s">
        <v>196</v>
      </c>
      <c r="M71" s="27">
        <f>SUM(M68:M70)</f>
        <v>2075000</v>
      </c>
      <c r="N71" s="27">
        <v>0</v>
      </c>
      <c r="O71" s="27">
        <v>0</v>
      </c>
      <c r="P71" s="27"/>
      <c r="Q71" s="27"/>
    </row>
    <row r="72" spans="1:17">
      <c r="A72" s="20"/>
      <c r="B72" s="19"/>
      <c r="C72" s="107" t="s">
        <v>21</v>
      </c>
      <c r="D72" s="10"/>
      <c r="E72" s="530">
        <f>D71</f>
        <v>2075000</v>
      </c>
      <c r="F72" s="530"/>
      <c r="G72" s="530"/>
      <c r="H72" s="530"/>
      <c r="J72" s="20"/>
      <c r="K72" s="19"/>
      <c r="L72" s="114" t="s">
        <v>21</v>
      </c>
      <c r="M72" s="10"/>
      <c r="N72" s="530">
        <f>M71</f>
        <v>2075000</v>
      </c>
      <c r="O72" s="530"/>
      <c r="P72" s="530"/>
      <c r="Q72" s="530"/>
    </row>
    <row r="73" spans="1:17">
      <c r="A73" s="527" t="s">
        <v>26</v>
      </c>
      <c r="B73" s="528"/>
      <c r="C73" s="528"/>
      <c r="D73" s="528"/>
      <c r="E73" s="528"/>
      <c r="F73" s="528"/>
      <c r="G73" s="528"/>
      <c r="H73" s="529"/>
      <c r="J73" s="527" t="s">
        <v>26</v>
      </c>
      <c r="K73" s="528"/>
      <c r="L73" s="528"/>
      <c r="M73" s="528"/>
      <c r="N73" s="528"/>
      <c r="O73" s="528"/>
      <c r="P73" s="528"/>
      <c r="Q73" s="529"/>
    </row>
    <row r="74" spans="1:17">
      <c r="A74" s="12"/>
      <c r="B74" s="19" t="s">
        <v>190</v>
      </c>
      <c r="C74" s="24" t="s">
        <v>191</v>
      </c>
      <c r="D74" s="23">
        <v>312000</v>
      </c>
      <c r="E74" s="22"/>
      <c r="F74" s="22"/>
      <c r="G74" s="16"/>
      <c r="H74" s="16"/>
      <c r="J74" s="12"/>
      <c r="K74" s="19" t="s">
        <v>190</v>
      </c>
      <c r="L74" s="24" t="s">
        <v>191</v>
      </c>
      <c r="M74" s="23">
        <v>312000</v>
      </c>
      <c r="N74" s="22"/>
      <c r="O74" s="22"/>
      <c r="P74" s="16"/>
      <c r="Q74" s="16"/>
    </row>
    <row r="75" spans="1:17">
      <c r="A75" s="12"/>
      <c r="B75" s="19" t="s">
        <v>192</v>
      </c>
      <c r="C75" s="24" t="s">
        <v>193</v>
      </c>
      <c r="D75" s="23">
        <v>1724500</v>
      </c>
      <c r="E75" s="22"/>
      <c r="F75" s="22"/>
      <c r="G75" s="16"/>
      <c r="H75" s="16"/>
      <c r="J75" s="12"/>
      <c r="K75" s="19" t="s">
        <v>192</v>
      </c>
      <c r="L75" s="24" t="s">
        <v>193</v>
      </c>
      <c r="M75" s="23">
        <v>1724500</v>
      </c>
      <c r="N75" s="22"/>
      <c r="O75" s="22"/>
      <c r="P75" s="16"/>
      <c r="Q75" s="16"/>
    </row>
    <row r="76" spans="1:17">
      <c r="A76" s="12"/>
      <c r="B76" s="19" t="s">
        <v>192</v>
      </c>
      <c r="C76" s="24" t="s">
        <v>214</v>
      </c>
      <c r="D76" s="23">
        <v>12000</v>
      </c>
      <c r="E76" s="22"/>
      <c r="F76" s="22"/>
      <c r="G76" s="16"/>
      <c r="H76" s="16"/>
      <c r="J76" s="12"/>
      <c r="K76" s="19" t="s">
        <v>192</v>
      </c>
      <c r="L76" s="24" t="s">
        <v>214</v>
      </c>
      <c r="M76" s="23">
        <v>12000</v>
      </c>
      <c r="N76" s="22"/>
      <c r="O76" s="22"/>
      <c r="P76" s="16"/>
      <c r="Q76" s="16"/>
    </row>
    <row r="77" spans="1:17">
      <c r="A77" s="12"/>
      <c r="B77" s="19" t="s">
        <v>192</v>
      </c>
      <c r="C77" s="24" t="s">
        <v>235</v>
      </c>
      <c r="D77" s="23">
        <v>112000</v>
      </c>
      <c r="E77" s="22"/>
      <c r="F77" s="22"/>
      <c r="G77" s="16"/>
      <c r="H77" s="16"/>
      <c r="J77" s="12"/>
      <c r="K77" s="19" t="s">
        <v>192</v>
      </c>
      <c r="L77" s="24" t="s">
        <v>235</v>
      </c>
      <c r="M77" s="23">
        <v>112000</v>
      </c>
      <c r="N77" s="22"/>
      <c r="O77" s="22"/>
      <c r="P77" s="16"/>
      <c r="Q77" s="16"/>
    </row>
    <row r="78" spans="1:17">
      <c r="A78" s="12"/>
      <c r="B78" s="19" t="s">
        <v>215</v>
      </c>
      <c r="C78" s="24" t="s">
        <v>217</v>
      </c>
      <c r="D78" s="23">
        <v>215000</v>
      </c>
      <c r="E78" s="22"/>
      <c r="F78" s="22"/>
      <c r="G78" s="16"/>
      <c r="H78" s="16"/>
      <c r="J78" s="12"/>
      <c r="K78" s="19" t="s">
        <v>215</v>
      </c>
      <c r="L78" s="24" t="s">
        <v>217</v>
      </c>
      <c r="M78" s="23">
        <v>215000</v>
      </c>
      <c r="N78" s="22"/>
      <c r="O78" s="22"/>
      <c r="P78" s="16"/>
      <c r="Q78" s="16"/>
    </row>
    <row r="79" spans="1:17">
      <c r="A79" s="12"/>
      <c r="B79" s="19" t="s">
        <v>216</v>
      </c>
      <c r="C79" s="24" t="s">
        <v>218</v>
      </c>
      <c r="D79" s="23">
        <v>292500</v>
      </c>
      <c r="E79" s="22"/>
      <c r="F79" s="22"/>
      <c r="G79" s="16"/>
      <c r="H79" s="16"/>
      <c r="J79" s="12"/>
      <c r="K79" s="19" t="s">
        <v>216</v>
      </c>
      <c r="L79" s="24" t="s">
        <v>218</v>
      </c>
      <c r="M79" s="23">
        <v>292500</v>
      </c>
      <c r="N79" s="22"/>
      <c r="O79" s="22"/>
      <c r="P79" s="16"/>
      <c r="Q79" s="16"/>
    </row>
    <row r="80" spans="1:17">
      <c r="A80" s="12"/>
      <c r="B80" s="19" t="s">
        <v>216</v>
      </c>
      <c r="C80" s="23" t="s">
        <v>231</v>
      </c>
      <c r="D80" s="23">
        <v>78000</v>
      </c>
      <c r="E80" s="22"/>
      <c r="F80" s="22"/>
      <c r="G80" s="16"/>
      <c r="H80" s="16"/>
      <c r="J80" s="12"/>
      <c r="K80" s="19" t="s">
        <v>216</v>
      </c>
      <c r="L80" s="23" t="s">
        <v>231</v>
      </c>
      <c r="M80" s="23">
        <v>78000</v>
      </c>
      <c r="N80" s="22"/>
      <c r="O80" s="22"/>
      <c r="P80" s="16"/>
      <c r="Q80" s="16"/>
    </row>
    <row r="81" spans="1:17">
      <c r="A81" s="12"/>
      <c r="B81" s="19" t="s">
        <v>232</v>
      </c>
      <c r="C81" s="23" t="s">
        <v>233</v>
      </c>
      <c r="D81" s="23">
        <v>220000</v>
      </c>
      <c r="E81" s="22"/>
      <c r="F81" s="22"/>
      <c r="G81" s="16"/>
      <c r="H81" s="16"/>
      <c r="J81" s="12"/>
      <c r="K81" s="19" t="s">
        <v>232</v>
      </c>
      <c r="L81" s="23" t="s">
        <v>233</v>
      </c>
      <c r="M81" s="23"/>
      <c r="N81" s="22"/>
      <c r="O81" s="22"/>
      <c r="P81" s="16"/>
      <c r="Q81" s="16"/>
    </row>
    <row r="82" spans="1:17">
      <c r="A82" s="12"/>
      <c r="B82" s="19" t="s">
        <v>232</v>
      </c>
      <c r="C82" s="23" t="s">
        <v>234</v>
      </c>
      <c r="D82" s="23">
        <v>75000</v>
      </c>
      <c r="E82" s="22"/>
      <c r="F82" s="22"/>
      <c r="G82" s="16"/>
      <c r="H82" s="16"/>
      <c r="J82" s="12"/>
      <c r="K82" s="19" t="s">
        <v>232</v>
      </c>
      <c r="L82" s="23" t="s">
        <v>234</v>
      </c>
      <c r="M82" s="23"/>
      <c r="N82" s="22"/>
      <c r="O82" s="22"/>
      <c r="P82" s="16"/>
      <c r="Q82" s="16"/>
    </row>
    <row r="83" spans="1:17">
      <c r="A83" s="12"/>
      <c r="B83" s="19" t="s">
        <v>232</v>
      </c>
      <c r="C83" s="24" t="s">
        <v>243</v>
      </c>
      <c r="D83" s="23">
        <v>736000</v>
      </c>
      <c r="E83" s="22"/>
      <c r="F83" s="22"/>
      <c r="G83" s="16"/>
      <c r="H83" s="16"/>
      <c r="J83" s="12"/>
      <c r="K83" s="19" t="s">
        <v>232</v>
      </c>
      <c r="L83" s="24" t="s">
        <v>243</v>
      </c>
      <c r="M83" s="23"/>
      <c r="N83" s="22"/>
      <c r="O83" s="22"/>
      <c r="P83" s="16"/>
      <c r="Q83" s="16"/>
    </row>
    <row r="84" spans="1:17">
      <c r="A84" s="12"/>
      <c r="B84" s="19" t="s">
        <v>237</v>
      </c>
      <c r="C84" s="24" t="s">
        <v>236</v>
      </c>
      <c r="D84" s="23">
        <v>384000</v>
      </c>
      <c r="E84" s="22"/>
      <c r="F84" s="22"/>
      <c r="G84" s="16"/>
      <c r="H84" s="16"/>
      <c r="J84" s="12"/>
      <c r="K84" s="19" t="s">
        <v>237</v>
      </c>
      <c r="L84" s="24" t="s">
        <v>236</v>
      </c>
      <c r="M84" s="23">
        <v>384000</v>
      </c>
      <c r="N84" s="22"/>
      <c r="O84" s="22"/>
      <c r="P84" s="16"/>
      <c r="Q84" s="16"/>
    </row>
    <row r="85" spans="1:17">
      <c r="A85" s="12"/>
      <c r="B85" s="19" t="s">
        <v>266</v>
      </c>
      <c r="C85" s="24" t="s">
        <v>267</v>
      </c>
      <c r="D85" s="23">
        <v>414000</v>
      </c>
      <c r="E85" s="22"/>
      <c r="F85" s="22"/>
      <c r="G85" s="16"/>
      <c r="H85" s="16"/>
      <c r="J85" s="12"/>
      <c r="K85" s="19" t="s">
        <v>266</v>
      </c>
      <c r="L85" s="24" t="s">
        <v>267</v>
      </c>
      <c r="M85" s="23"/>
      <c r="N85" s="22"/>
      <c r="O85" s="22"/>
      <c r="P85" s="16"/>
      <c r="Q85" s="16"/>
    </row>
    <row r="86" spans="1:17">
      <c r="A86" s="12"/>
      <c r="B86" s="19"/>
      <c r="C86" s="24"/>
      <c r="D86" s="23"/>
      <c r="E86" s="22"/>
      <c r="F86" s="22"/>
      <c r="G86" s="16"/>
      <c r="H86" s="16"/>
      <c r="J86" s="12"/>
      <c r="K86" s="19"/>
      <c r="L86" s="24"/>
      <c r="M86" s="23"/>
      <c r="N86" s="22"/>
      <c r="O86" s="22"/>
      <c r="P86" s="16"/>
      <c r="Q86" s="16"/>
    </row>
    <row r="87" spans="1:17">
      <c r="A87" s="25"/>
      <c r="B87" s="19"/>
      <c r="C87" s="26" t="s">
        <v>31</v>
      </c>
      <c r="D87" s="27">
        <f>SUM(D74:D85)</f>
        <v>4575000</v>
      </c>
      <c r="E87" s="27"/>
      <c r="F87" s="27"/>
      <c r="G87" s="27"/>
      <c r="H87" s="27"/>
      <c r="J87" s="25"/>
      <c r="K87" s="19"/>
      <c r="L87" s="26" t="s">
        <v>31</v>
      </c>
      <c r="M87" s="27">
        <f>SUM(M74:M85)</f>
        <v>3130000</v>
      </c>
      <c r="N87" s="27"/>
      <c r="O87" s="27"/>
      <c r="P87" s="27"/>
      <c r="Q87" s="27"/>
    </row>
    <row r="88" spans="1:17">
      <c r="A88" s="20"/>
      <c r="B88" s="19"/>
      <c r="C88" s="107" t="s">
        <v>21</v>
      </c>
      <c r="D88" s="10"/>
      <c r="E88" s="530">
        <f>D87</f>
        <v>4575000</v>
      </c>
      <c r="F88" s="530"/>
      <c r="G88" s="530"/>
      <c r="H88" s="530"/>
      <c r="J88" s="20"/>
      <c r="K88" s="19"/>
      <c r="L88" s="114" t="s">
        <v>21</v>
      </c>
      <c r="M88" s="10"/>
      <c r="N88" s="530">
        <f>M87</f>
        <v>3130000</v>
      </c>
      <c r="O88" s="530"/>
      <c r="P88" s="530"/>
      <c r="Q88" s="530"/>
    </row>
    <row r="89" spans="1:17">
      <c r="A89" s="527" t="s">
        <v>32</v>
      </c>
      <c r="B89" s="528"/>
      <c r="C89" s="528"/>
      <c r="D89" s="528"/>
      <c r="E89" s="528"/>
      <c r="F89" s="528"/>
      <c r="G89" s="528"/>
      <c r="H89" s="529"/>
      <c r="J89" s="527" t="s">
        <v>32</v>
      </c>
      <c r="K89" s="528"/>
      <c r="L89" s="528"/>
      <c r="M89" s="528"/>
      <c r="N89" s="528"/>
      <c r="O89" s="528"/>
      <c r="P89" s="528"/>
      <c r="Q89" s="529"/>
    </row>
    <row r="90" spans="1:17">
      <c r="A90" s="12"/>
      <c r="B90" s="13"/>
      <c r="C90" s="22"/>
      <c r="D90" s="22"/>
      <c r="E90" s="107"/>
      <c r="F90" s="107"/>
      <c r="G90" s="107"/>
      <c r="H90" s="107"/>
      <c r="J90" s="12"/>
      <c r="K90" s="13"/>
      <c r="L90" s="22"/>
      <c r="M90" s="22"/>
      <c r="N90" s="114"/>
      <c r="O90" s="114"/>
      <c r="P90" s="114"/>
      <c r="Q90" s="114"/>
    </row>
    <row r="91" spans="1:17">
      <c r="A91" s="12"/>
      <c r="B91" s="13"/>
      <c r="C91" s="22"/>
      <c r="D91" s="29"/>
      <c r="E91" s="107"/>
      <c r="F91" s="107"/>
      <c r="G91" s="107"/>
      <c r="H91" s="107"/>
      <c r="J91" s="12"/>
      <c r="K91" s="13"/>
      <c r="L91" s="22"/>
      <c r="M91" s="29"/>
      <c r="N91" s="114"/>
      <c r="O91" s="114"/>
      <c r="P91" s="114"/>
      <c r="Q91" s="114"/>
    </row>
    <row r="92" spans="1:17">
      <c r="A92" s="12"/>
      <c r="B92" s="13"/>
      <c r="C92" s="26" t="s">
        <v>34</v>
      </c>
      <c r="D92" s="27">
        <f>SUM(D90:D91)</f>
        <v>0</v>
      </c>
      <c r="E92" s="27">
        <v>0</v>
      </c>
      <c r="F92" s="27">
        <v>0</v>
      </c>
      <c r="G92" s="27"/>
      <c r="H92" s="27"/>
      <c r="J92" s="12"/>
      <c r="K92" s="13"/>
      <c r="L92" s="26" t="s">
        <v>34</v>
      </c>
      <c r="M92" s="27">
        <f>SUM(M90:M91)</f>
        <v>0</v>
      </c>
      <c r="N92" s="27">
        <v>0</v>
      </c>
      <c r="O92" s="27">
        <v>0</v>
      </c>
      <c r="P92" s="27"/>
      <c r="Q92" s="27"/>
    </row>
    <row r="93" spans="1:17">
      <c r="A93" s="20"/>
      <c r="B93" s="19"/>
      <c r="C93" s="107" t="s">
        <v>21</v>
      </c>
      <c r="D93" s="10"/>
      <c r="E93" s="531">
        <f>D92</f>
        <v>0</v>
      </c>
      <c r="F93" s="532"/>
      <c r="G93" s="532"/>
      <c r="H93" s="533"/>
      <c r="J93" s="20"/>
      <c r="K93" s="19"/>
      <c r="L93" s="114" t="s">
        <v>21</v>
      </c>
      <c r="M93" s="10"/>
      <c r="N93" s="531">
        <f>M92</f>
        <v>0</v>
      </c>
      <c r="O93" s="532"/>
      <c r="P93" s="532"/>
      <c r="Q93" s="533"/>
    </row>
    <row r="94" spans="1:17">
      <c r="A94" s="525" t="s">
        <v>35</v>
      </c>
      <c r="B94" s="525"/>
      <c r="C94" s="525"/>
      <c r="D94" s="104"/>
      <c r="E94" s="526">
        <f>E46+E55+E88+E93+E66+E72+E60</f>
        <v>18037500</v>
      </c>
      <c r="F94" s="526"/>
      <c r="G94" s="526"/>
      <c r="H94" s="526"/>
      <c r="J94" s="525" t="s">
        <v>35</v>
      </c>
      <c r="K94" s="525"/>
      <c r="L94" s="525"/>
      <c r="M94" s="111"/>
      <c r="N94" s="526">
        <f>N46+N55+N88+N93+N66+N72+N60</f>
        <v>16592500</v>
      </c>
      <c r="O94" s="526"/>
      <c r="P94" s="526"/>
      <c r="Q94" s="526"/>
    </row>
    <row r="95" spans="1:17">
      <c r="A95" s="522" t="s">
        <v>36</v>
      </c>
      <c r="B95" s="522"/>
      <c r="C95" s="522"/>
      <c r="D95" s="106"/>
      <c r="E95" s="523">
        <f>+E31+E94</f>
        <v>23624812</v>
      </c>
      <c r="F95" s="523"/>
      <c r="G95" s="523"/>
      <c r="H95" s="523"/>
      <c r="J95" s="522" t="s">
        <v>36</v>
      </c>
      <c r="K95" s="522"/>
      <c r="L95" s="522"/>
      <c r="M95" s="113"/>
      <c r="N95" s="523">
        <f>+N31+N94</f>
        <v>22179812</v>
      </c>
      <c r="O95" s="523"/>
      <c r="P95" s="523"/>
      <c r="Q95" s="523"/>
    </row>
    <row r="96" spans="1:17">
      <c r="A96" s="524" t="s">
        <v>32</v>
      </c>
      <c r="B96" s="524"/>
      <c r="C96" s="524"/>
      <c r="D96" s="524"/>
      <c r="E96" s="524"/>
      <c r="F96" s="524"/>
      <c r="G96" s="524"/>
      <c r="H96" s="524"/>
      <c r="J96" s="524" t="s">
        <v>32</v>
      </c>
      <c r="K96" s="524"/>
      <c r="L96" s="524"/>
      <c r="M96" s="524"/>
      <c r="N96" s="524"/>
      <c r="O96" s="524"/>
      <c r="P96" s="524"/>
      <c r="Q96" s="524"/>
    </row>
    <row r="97" spans="1:17">
      <c r="A97" s="33"/>
      <c r="B97" s="13"/>
      <c r="C97" s="22"/>
      <c r="D97" s="22"/>
      <c r="E97" s="22"/>
      <c r="F97" s="22"/>
      <c r="G97" s="16"/>
      <c r="H97" s="16"/>
      <c r="J97" s="33"/>
      <c r="K97" s="13"/>
      <c r="L97" s="22"/>
      <c r="M97" s="22"/>
      <c r="N97" s="22"/>
      <c r="O97" s="22"/>
      <c r="P97" s="16"/>
      <c r="Q97" s="16"/>
    </row>
    <row r="98" spans="1:17">
      <c r="A98" s="33"/>
      <c r="B98" s="13"/>
      <c r="C98" s="22"/>
      <c r="D98" s="22"/>
      <c r="E98" s="22"/>
      <c r="F98" s="22"/>
      <c r="G98" s="16"/>
      <c r="H98" s="16"/>
      <c r="J98" s="33"/>
      <c r="K98" s="13"/>
      <c r="L98" s="22"/>
      <c r="M98" s="22"/>
      <c r="N98" s="22"/>
      <c r="O98" s="22"/>
      <c r="P98" s="16"/>
      <c r="Q98" s="16"/>
    </row>
    <row r="99" spans="1:17">
      <c r="A99" s="33"/>
      <c r="B99" s="13"/>
      <c r="C99" s="22"/>
      <c r="D99" s="22"/>
      <c r="E99" s="22"/>
      <c r="F99" s="22"/>
      <c r="G99" s="16"/>
      <c r="H99" s="16"/>
      <c r="J99" s="33"/>
      <c r="K99" s="13"/>
      <c r="L99" s="22"/>
      <c r="M99" s="22"/>
      <c r="N99" s="22"/>
      <c r="O99" s="22"/>
      <c r="P99" s="16"/>
      <c r="Q99" s="16"/>
    </row>
    <row r="100" spans="1:17">
      <c r="A100" s="20"/>
      <c r="B100" s="13"/>
      <c r="C100" s="22"/>
      <c r="D100" s="22"/>
      <c r="E100" s="22"/>
      <c r="F100" s="16"/>
      <c r="G100" s="16"/>
      <c r="H100" s="16"/>
      <c r="J100" s="20"/>
      <c r="K100" s="13"/>
      <c r="L100" s="22"/>
      <c r="M100" s="22"/>
      <c r="N100" s="22"/>
      <c r="O100" s="16"/>
      <c r="P100" s="16"/>
      <c r="Q100" s="16"/>
    </row>
    <row r="101" spans="1:17">
      <c r="A101" s="20"/>
      <c r="B101" s="13"/>
      <c r="C101" s="22"/>
      <c r="D101" s="22"/>
      <c r="E101" s="22"/>
      <c r="F101" s="16"/>
      <c r="G101" s="16"/>
      <c r="H101" s="16"/>
      <c r="J101" s="20"/>
      <c r="K101" s="13"/>
      <c r="L101" s="22"/>
      <c r="M101" s="22"/>
      <c r="N101" s="22"/>
      <c r="O101" s="16"/>
      <c r="P101" s="16"/>
      <c r="Q101" s="16"/>
    </row>
    <row r="102" spans="1:17">
      <c r="A102" s="525" t="s">
        <v>37</v>
      </c>
      <c r="B102" s="525"/>
      <c r="C102" s="525"/>
      <c r="D102" s="104">
        <f>SUM(D97:D101)</f>
        <v>0</v>
      </c>
      <c r="E102" s="526"/>
      <c r="F102" s="526"/>
      <c r="G102" s="526"/>
      <c r="H102" s="526"/>
      <c r="J102" s="525" t="s">
        <v>37</v>
      </c>
      <c r="K102" s="525"/>
      <c r="L102" s="525"/>
      <c r="M102" s="111">
        <f>SUM(M97:M101)</f>
        <v>0</v>
      </c>
      <c r="N102" s="526"/>
      <c r="O102" s="526"/>
      <c r="P102" s="526"/>
      <c r="Q102" s="526"/>
    </row>
    <row r="103" spans="1:17">
      <c r="A103" s="34" t="s">
        <v>38</v>
      </c>
      <c r="B103" s="35"/>
      <c r="C103" s="104"/>
      <c r="D103" s="104"/>
      <c r="E103" s="105"/>
      <c r="F103" s="105"/>
      <c r="G103" s="526"/>
      <c r="H103" s="526"/>
      <c r="J103" s="34" t="s">
        <v>38</v>
      </c>
      <c r="K103" s="35"/>
      <c r="L103" s="111"/>
      <c r="M103" s="111"/>
      <c r="N103" s="112"/>
      <c r="O103" s="112"/>
      <c r="P103" s="526"/>
      <c r="Q103" s="526"/>
    </row>
    <row r="104" spans="1:17">
      <c r="A104" s="37"/>
      <c r="B104" s="38"/>
      <c r="C104" s="39"/>
      <c r="D104" s="39"/>
      <c r="E104" s="39"/>
      <c r="F104" s="39"/>
      <c r="G104" s="39"/>
      <c r="H104" s="39"/>
      <c r="J104" s="37"/>
      <c r="K104" s="38"/>
      <c r="L104" s="39"/>
      <c r="M104" s="39"/>
      <c r="N104" s="39"/>
      <c r="O104" s="39"/>
      <c r="P104" s="39"/>
      <c r="Q104" s="39"/>
    </row>
    <row r="105" spans="1:17">
      <c r="A105" s="519" t="s">
        <v>13</v>
      </c>
      <c r="B105" s="520"/>
      <c r="C105" s="520"/>
      <c r="D105" s="520"/>
      <c r="E105" s="521"/>
      <c r="F105" s="39"/>
      <c r="G105" s="39"/>
      <c r="H105" s="40"/>
      <c r="J105" s="519" t="s">
        <v>13</v>
      </c>
      <c r="K105" s="520"/>
      <c r="L105" s="520"/>
      <c r="M105" s="520"/>
      <c r="N105" s="521"/>
      <c r="O105" s="39"/>
      <c r="P105" s="39"/>
      <c r="Q105" s="40"/>
    </row>
    <row r="106" spans="1:17">
      <c r="A106" s="41" t="s">
        <v>39</v>
      </c>
      <c r="B106" s="42" t="s">
        <v>40</v>
      </c>
      <c r="C106" s="43" t="s">
        <v>41</v>
      </c>
      <c r="D106" s="43" t="s">
        <v>42</v>
      </c>
      <c r="E106" s="43" t="s">
        <v>43</v>
      </c>
      <c r="F106" s="39"/>
      <c r="G106" s="39"/>
      <c r="H106" s="39"/>
      <c r="J106" s="41" t="s">
        <v>39</v>
      </c>
      <c r="K106" s="42" t="s">
        <v>40</v>
      </c>
      <c r="L106" s="43" t="s">
        <v>41</v>
      </c>
      <c r="M106" s="43" t="s">
        <v>42</v>
      </c>
      <c r="N106" s="43" t="s">
        <v>43</v>
      </c>
      <c r="O106" s="39"/>
      <c r="P106" s="39"/>
      <c r="Q106" s="39"/>
    </row>
    <row r="107" spans="1:17">
      <c r="A107" s="41"/>
      <c r="B107" s="44"/>
      <c r="C107" s="45"/>
      <c r="D107" s="46"/>
      <c r="E107" s="46"/>
      <c r="F107" s="39"/>
      <c r="G107" s="39"/>
      <c r="H107" s="39"/>
      <c r="J107" s="41"/>
      <c r="K107" s="44"/>
      <c r="L107" s="45" t="s">
        <v>96</v>
      </c>
      <c r="M107" s="46">
        <v>22178000</v>
      </c>
      <c r="N107" s="46"/>
      <c r="O107" s="39"/>
      <c r="P107" s="39"/>
      <c r="Q107" s="39"/>
    </row>
    <row r="108" spans="1:17">
      <c r="A108" s="41"/>
      <c r="B108" s="44"/>
      <c r="C108" s="45"/>
      <c r="D108" s="46"/>
      <c r="E108" s="46"/>
      <c r="F108" s="39"/>
      <c r="G108" s="39"/>
      <c r="H108" s="39"/>
      <c r="J108" s="41"/>
      <c r="K108" s="44"/>
      <c r="L108" s="45"/>
      <c r="M108" s="46"/>
      <c r="N108" s="46"/>
      <c r="O108" s="39"/>
      <c r="P108" s="39"/>
      <c r="Q108" s="39"/>
    </row>
    <row r="109" spans="1:17">
      <c r="A109" s="41"/>
      <c r="B109" s="44"/>
      <c r="C109" s="45"/>
      <c r="D109" s="46"/>
      <c r="E109" s="46"/>
      <c r="F109" s="39"/>
      <c r="G109" s="39"/>
      <c r="H109" s="39"/>
      <c r="J109" s="41"/>
      <c r="K109" s="44"/>
      <c r="L109" s="45"/>
      <c r="M109" s="46"/>
      <c r="N109" s="46"/>
      <c r="O109" s="39"/>
      <c r="P109" s="39"/>
      <c r="Q109" s="39"/>
    </row>
    <row r="110" spans="1:17">
      <c r="A110" s="41"/>
      <c r="B110" s="44"/>
      <c r="C110" s="47"/>
      <c r="D110" s="46"/>
      <c r="E110" s="46"/>
      <c r="F110" s="39"/>
      <c r="G110" s="39"/>
      <c r="H110" s="39"/>
      <c r="J110" s="41"/>
      <c r="K110" s="44"/>
      <c r="L110" s="47"/>
      <c r="M110" s="46"/>
      <c r="N110" s="46"/>
      <c r="O110" s="39"/>
      <c r="P110" s="39"/>
      <c r="Q110" s="39"/>
    </row>
    <row r="111" spans="1:17">
      <c r="A111" s="41"/>
      <c r="B111" s="44"/>
      <c r="C111" s="46"/>
      <c r="D111" s="48"/>
      <c r="E111" s="46"/>
      <c r="F111" s="39"/>
      <c r="G111" s="39"/>
      <c r="H111" s="39"/>
      <c r="J111" s="41"/>
      <c r="K111" s="44"/>
      <c r="L111" s="46"/>
      <c r="M111" s="48"/>
      <c r="N111" s="46"/>
      <c r="O111" s="39"/>
      <c r="P111" s="39"/>
      <c r="Q111" s="39"/>
    </row>
    <row r="112" spans="1:17">
      <c r="A112" s="49"/>
      <c r="B112" s="50"/>
      <c r="C112" s="51" t="s">
        <v>44</v>
      </c>
      <c r="D112" s="51">
        <f>SUM(D107:D111)</f>
        <v>0</v>
      </c>
      <c r="E112" s="52"/>
      <c r="F112" s="39"/>
      <c r="G112" s="39"/>
      <c r="H112" s="39"/>
      <c r="J112" s="49"/>
      <c r="K112" s="50"/>
      <c r="L112" s="51" t="s">
        <v>44</v>
      </c>
      <c r="M112" s="51">
        <f>SUM(M107:M111)</f>
        <v>22178000</v>
      </c>
      <c r="N112" s="52"/>
      <c r="O112" s="39"/>
      <c r="P112" s="39"/>
      <c r="Q112" s="39"/>
    </row>
    <row r="113" spans="1:17">
      <c r="A113" s="53"/>
      <c r="B113" s="54"/>
      <c r="C113" s="55"/>
      <c r="D113" s="56"/>
      <c r="E113" s="3"/>
      <c r="F113" s="39"/>
      <c r="G113" s="39"/>
      <c r="H113" s="39"/>
      <c r="J113" s="53"/>
      <c r="K113" s="54"/>
      <c r="L113" s="55"/>
      <c r="M113" s="116">
        <f>M112-N95</f>
        <v>-1812</v>
      </c>
      <c r="N113" s="3" t="s">
        <v>271</v>
      </c>
      <c r="O113" s="39"/>
      <c r="P113" s="39"/>
      <c r="Q113" s="39"/>
    </row>
  </sheetData>
  <mergeCells count="68">
    <mergeCell ref="J96:Q96"/>
    <mergeCell ref="J102:L102"/>
    <mergeCell ref="N102:Q102"/>
    <mergeCell ref="P103:Q103"/>
    <mergeCell ref="J105:N105"/>
    <mergeCell ref="J89:Q89"/>
    <mergeCell ref="N93:Q93"/>
    <mergeCell ref="J94:L94"/>
    <mergeCell ref="N94:Q94"/>
    <mergeCell ref="J95:L95"/>
    <mergeCell ref="N95:Q95"/>
    <mergeCell ref="N66:Q66"/>
    <mergeCell ref="J67:Q67"/>
    <mergeCell ref="N72:Q72"/>
    <mergeCell ref="J73:Q73"/>
    <mergeCell ref="N88:Q88"/>
    <mergeCell ref="J47:Q47"/>
    <mergeCell ref="N55:Q55"/>
    <mergeCell ref="J56:Q56"/>
    <mergeCell ref="N60:Q60"/>
    <mergeCell ref="J61:Q61"/>
    <mergeCell ref="K30:P30"/>
    <mergeCell ref="J31:M31"/>
    <mergeCell ref="N31:Q31"/>
    <mergeCell ref="J32:Q32"/>
    <mergeCell ref="N46:Q46"/>
    <mergeCell ref="J3:Q3"/>
    <mergeCell ref="J11:P11"/>
    <mergeCell ref="J12:Q12"/>
    <mergeCell ref="J13:J14"/>
    <mergeCell ref="K13:K14"/>
    <mergeCell ref="L13:L14"/>
    <mergeCell ref="M13:M14"/>
    <mergeCell ref="N13:Q13"/>
    <mergeCell ref="A96:H96"/>
    <mergeCell ref="A102:C102"/>
    <mergeCell ref="E102:H102"/>
    <mergeCell ref="G103:H103"/>
    <mergeCell ref="A105:E105"/>
    <mergeCell ref="A95:C95"/>
    <mergeCell ref="E95:H95"/>
    <mergeCell ref="E55:H55"/>
    <mergeCell ref="A61:H61"/>
    <mergeCell ref="E66:H66"/>
    <mergeCell ref="A67:H67"/>
    <mergeCell ref="E72:H72"/>
    <mergeCell ref="A73:H73"/>
    <mergeCell ref="A56:H56"/>
    <mergeCell ref="E60:H60"/>
    <mergeCell ref="E88:H88"/>
    <mergeCell ref="A89:H89"/>
    <mergeCell ref="E93:H93"/>
    <mergeCell ref="A94:C94"/>
    <mergeCell ref="E94:H94"/>
    <mergeCell ref="A47:H47"/>
    <mergeCell ref="A3:H3"/>
    <mergeCell ref="A11:G11"/>
    <mergeCell ref="A12:H12"/>
    <mergeCell ref="A13:A14"/>
    <mergeCell ref="B13:B14"/>
    <mergeCell ref="C13:C14"/>
    <mergeCell ref="D13:D14"/>
    <mergeCell ref="E13:H13"/>
    <mergeCell ref="B30:G30"/>
    <mergeCell ref="A31:D31"/>
    <mergeCell ref="E31:H31"/>
    <mergeCell ref="A32:H32"/>
    <mergeCell ref="E46:H46"/>
  </mergeCells>
  <pageMargins left="0.11811023622047245" right="0.11811023622047245" top="0.15748031496062992" bottom="0.74803149606299213" header="0.11811023622047245" footer="0.31496062992125984"/>
  <pageSetup paperSize="9" scale="80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6"/>
  <sheetViews>
    <sheetView workbookViewId="0"/>
  </sheetViews>
  <sheetFormatPr defaultRowHeight="15"/>
  <cols>
    <col min="3" max="3" width="27.28515625" bestFit="1" customWidth="1"/>
    <col min="4" max="4" width="11" bestFit="1" customWidth="1"/>
    <col min="8" max="8" width="11" bestFit="1" customWidth="1"/>
  </cols>
  <sheetData>
    <row r="1" spans="1:8">
      <c r="A1" s="1" t="s">
        <v>0</v>
      </c>
      <c r="B1" s="2"/>
      <c r="C1" s="3"/>
      <c r="D1" s="3"/>
      <c r="E1" s="3"/>
      <c r="F1" s="3"/>
      <c r="G1" s="3"/>
      <c r="H1" s="3"/>
    </row>
    <row r="2" spans="1:8">
      <c r="A2" s="1" t="s">
        <v>133</v>
      </c>
      <c r="B2" s="2"/>
      <c r="C2" s="3"/>
      <c r="D2" s="3"/>
      <c r="E2" s="3"/>
      <c r="F2" s="3"/>
      <c r="G2" s="3"/>
      <c r="H2" s="3"/>
    </row>
    <row r="3" spans="1:8">
      <c r="A3" s="534" t="s">
        <v>1</v>
      </c>
      <c r="B3" s="534"/>
      <c r="C3" s="534"/>
      <c r="D3" s="534"/>
      <c r="E3" s="534"/>
      <c r="F3" s="534"/>
      <c r="G3" s="534"/>
      <c r="H3" s="534"/>
    </row>
    <row r="4" spans="1:8">
      <c r="A4" s="4"/>
      <c r="B4" s="5"/>
      <c r="C4" s="6" t="s">
        <v>2</v>
      </c>
      <c r="D4" s="7">
        <v>28060000</v>
      </c>
      <c r="E4" s="6"/>
      <c r="F4" s="6"/>
      <c r="G4" s="6"/>
      <c r="H4" s="6"/>
    </row>
    <row r="5" spans="1:8">
      <c r="A5" s="4"/>
      <c r="B5" s="5"/>
      <c r="C5" s="6" t="s">
        <v>3</v>
      </c>
      <c r="D5" s="8"/>
      <c r="E5" s="6"/>
      <c r="F5" s="6"/>
      <c r="G5" s="6"/>
      <c r="H5" s="6"/>
    </row>
    <row r="6" spans="1:8">
      <c r="A6" s="4"/>
      <c r="B6" s="5"/>
      <c r="C6" s="6" t="s">
        <v>4</v>
      </c>
      <c r="D6" s="9"/>
      <c r="E6" s="6"/>
      <c r="F6" s="6"/>
      <c r="G6" s="6"/>
      <c r="H6" s="6"/>
    </row>
    <row r="7" spans="1:8">
      <c r="A7" s="4"/>
      <c r="B7" s="5"/>
      <c r="C7" s="6" t="s">
        <v>5</v>
      </c>
      <c r="D7" s="6"/>
      <c r="E7" s="6"/>
      <c r="F7" s="6"/>
      <c r="G7" s="6"/>
      <c r="H7" s="6"/>
    </row>
    <row r="8" spans="1:8">
      <c r="A8" s="4"/>
      <c r="B8" s="5"/>
      <c r="C8" s="6" t="s">
        <v>6</v>
      </c>
      <c r="D8" s="6"/>
      <c r="E8" s="6"/>
      <c r="F8" s="6"/>
      <c r="G8" s="6"/>
      <c r="H8" s="6"/>
    </row>
    <row r="9" spans="1:8">
      <c r="A9" s="4"/>
      <c r="B9" s="5"/>
      <c r="C9" s="6" t="s">
        <v>7</v>
      </c>
      <c r="D9" s="6"/>
      <c r="E9" s="6"/>
      <c r="F9" s="6"/>
      <c r="G9" s="6"/>
      <c r="H9" s="6"/>
    </row>
    <row r="10" spans="1:8">
      <c r="A10" s="4"/>
      <c r="B10" s="5"/>
      <c r="C10" s="6"/>
      <c r="D10" s="6"/>
      <c r="E10" s="6"/>
      <c r="F10" s="6"/>
      <c r="G10" s="6"/>
      <c r="H10" s="6"/>
    </row>
    <row r="11" spans="1:8">
      <c r="A11" s="530" t="s">
        <v>154</v>
      </c>
      <c r="B11" s="530"/>
      <c r="C11" s="530"/>
      <c r="D11" s="10"/>
      <c r="E11" s="10"/>
      <c r="F11" s="10"/>
      <c r="G11" s="10"/>
      <c r="H11" s="10">
        <f>SUM(D4:D9)</f>
        <v>28060000</v>
      </c>
    </row>
    <row r="12" spans="1:8">
      <c r="A12" s="524" t="s">
        <v>109</v>
      </c>
      <c r="B12" s="524"/>
      <c r="C12" s="524"/>
      <c r="D12" s="524"/>
      <c r="E12" s="524"/>
      <c r="F12" s="524"/>
      <c r="G12" s="524"/>
      <c r="H12" s="524"/>
    </row>
    <row r="13" spans="1:8">
      <c r="A13" s="12"/>
      <c r="B13" s="13" t="s">
        <v>213</v>
      </c>
      <c r="C13" s="15" t="s">
        <v>111</v>
      </c>
      <c r="D13" s="22">
        <v>2250000</v>
      </c>
      <c r="E13" s="22"/>
      <c r="F13" s="22"/>
      <c r="G13" s="16"/>
      <c r="H13" s="16"/>
    </row>
    <row r="14" spans="1:8">
      <c r="A14" s="12"/>
      <c r="B14" s="13" t="s">
        <v>213</v>
      </c>
      <c r="C14" s="15" t="s">
        <v>110</v>
      </c>
      <c r="D14" s="22">
        <v>220000</v>
      </c>
      <c r="E14" s="22"/>
      <c r="F14" s="22"/>
      <c r="G14" s="16"/>
      <c r="H14" s="16"/>
    </row>
    <row r="15" spans="1:8">
      <c r="A15" s="12"/>
      <c r="B15" s="13" t="s">
        <v>213</v>
      </c>
      <c r="C15" s="15" t="s">
        <v>112</v>
      </c>
      <c r="D15" s="22">
        <v>450000</v>
      </c>
      <c r="E15" s="22"/>
      <c r="F15" s="22"/>
      <c r="G15" s="16"/>
      <c r="H15" s="16"/>
    </row>
    <row r="16" spans="1:8">
      <c r="A16" s="12"/>
      <c r="B16" s="13"/>
      <c r="C16" s="15"/>
      <c r="D16" s="22"/>
      <c r="E16" s="22"/>
      <c r="F16" s="22"/>
      <c r="G16" s="16"/>
      <c r="H16" s="16"/>
    </row>
    <row r="17" spans="1:8">
      <c r="A17" s="12"/>
      <c r="B17" s="13"/>
      <c r="C17" s="15"/>
      <c r="D17" s="23"/>
      <c r="E17" s="22"/>
      <c r="F17" s="22"/>
      <c r="G17" s="16"/>
      <c r="H17" s="16"/>
    </row>
    <row r="18" spans="1:8">
      <c r="A18" s="25"/>
      <c r="B18" s="19"/>
      <c r="C18" s="26" t="s">
        <v>107</v>
      </c>
      <c r="D18" s="27">
        <f>SUM(D13:D17)</f>
        <v>2920000</v>
      </c>
      <c r="E18" s="27"/>
      <c r="F18" s="27"/>
      <c r="G18" s="27"/>
      <c r="H18" s="27"/>
    </row>
    <row r="19" spans="1:8">
      <c r="A19" s="20"/>
      <c r="B19" s="19"/>
      <c r="C19" s="114" t="s">
        <v>21</v>
      </c>
      <c r="D19" s="10"/>
      <c r="E19" s="530">
        <f>D18</f>
        <v>2920000</v>
      </c>
      <c r="F19" s="530"/>
      <c r="G19" s="530"/>
      <c r="H19" s="530"/>
    </row>
    <row r="20" spans="1:8">
      <c r="A20" s="524" t="s">
        <v>114</v>
      </c>
      <c r="B20" s="524"/>
      <c r="C20" s="524"/>
      <c r="D20" s="524"/>
      <c r="E20" s="524"/>
      <c r="F20" s="524"/>
      <c r="G20" s="524"/>
      <c r="H20" s="524"/>
    </row>
    <row r="21" spans="1:8">
      <c r="A21" s="12"/>
      <c r="B21" s="19"/>
      <c r="C21" s="24"/>
      <c r="D21" s="22"/>
      <c r="E21" s="22"/>
      <c r="F21" s="22"/>
      <c r="G21" s="16"/>
      <c r="H21" s="16"/>
    </row>
    <row r="22" spans="1:8">
      <c r="A22" s="12"/>
      <c r="B22" s="13"/>
      <c r="C22" s="15"/>
      <c r="D22" s="22"/>
      <c r="E22" s="22"/>
      <c r="F22" s="22"/>
      <c r="G22" s="16"/>
      <c r="H22" s="16"/>
    </row>
    <row r="23" spans="1:8">
      <c r="A23" s="12"/>
      <c r="B23" s="13"/>
      <c r="C23" s="15"/>
      <c r="D23" s="22"/>
      <c r="E23" s="22"/>
      <c r="F23" s="22"/>
      <c r="G23" s="16"/>
      <c r="H23" s="16"/>
    </row>
    <row r="24" spans="1:8">
      <c r="A24" s="12"/>
      <c r="B24" s="13"/>
      <c r="C24" s="15"/>
      <c r="D24" s="22"/>
      <c r="E24" s="22"/>
      <c r="F24" s="22"/>
      <c r="G24" s="16"/>
      <c r="H24" s="16"/>
    </row>
    <row r="25" spans="1:8">
      <c r="A25" s="12"/>
      <c r="B25" s="13"/>
      <c r="C25" s="15"/>
      <c r="D25" s="23"/>
      <c r="E25" s="22"/>
      <c r="F25" s="22"/>
      <c r="G25" s="16"/>
      <c r="H25" s="16"/>
    </row>
    <row r="26" spans="1:8">
      <c r="A26" s="25"/>
      <c r="B26" s="19"/>
      <c r="C26" s="26" t="s">
        <v>107</v>
      </c>
      <c r="D26" s="27">
        <f>SUM(D21:D25)</f>
        <v>0</v>
      </c>
      <c r="E26" s="27"/>
      <c r="F26" s="27"/>
      <c r="G26" s="27"/>
      <c r="H26" s="27"/>
    </row>
    <row r="27" spans="1:8">
      <c r="A27" s="20"/>
      <c r="B27" s="19"/>
      <c r="C27" s="114" t="s">
        <v>21</v>
      </c>
      <c r="D27" s="10"/>
      <c r="E27" s="530">
        <f>D26</f>
        <v>0</v>
      </c>
      <c r="F27" s="530"/>
      <c r="G27" s="530"/>
      <c r="H27" s="530"/>
    </row>
    <row r="28" spans="1:8">
      <c r="A28" s="525" t="s">
        <v>115</v>
      </c>
      <c r="B28" s="525"/>
      <c r="C28" s="525"/>
      <c r="D28" s="111"/>
      <c r="E28" s="526">
        <f>E19+E27</f>
        <v>2920000</v>
      </c>
      <c r="F28" s="526"/>
      <c r="G28" s="526"/>
      <c r="H28" s="526"/>
    </row>
    <row r="29" spans="1:8">
      <c r="A29" s="524" t="s">
        <v>32</v>
      </c>
      <c r="B29" s="524"/>
      <c r="C29" s="524"/>
      <c r="D29" s="524"/>
      <c r="E29" s="524"/>
      <c r="F29" s="524"/>
      <c r="G29" s="524"/>
      <c r="H29" s="524"/>
    </row>
    <row r="30" spans="1:8">
      <c r="A30" s="33"/>
      <c r="B30" s="13"/>
      <c r="C30" s="22"/>
      <c r="D30" s="22"/>
      <c r="E30" s="22"/>
      <c r="F30" s="22"/>
      <c r="G30" s="16"/>
      <c r="H30" s="16"/>
    </row>
    <row r="31" spans="1:8">
      <c r="A31" s="33"/>
      <c r="B31" s="13"/>
      <c r="C31" s="22"/>
      <c r="D31" s="22"/>
      <c r="E31" s="22"/>
      <c r="F31" s="22"/>
      <c r="G31" s="16"/>
      <c r="H31" s="16"/>
    </row>
    <row r="32" spans="1:8">
      <c r="A32" s="33"/>
      <c r="B32" s="13"/>
      <c r="C32" s="22"/>
      <c r="D32" s="22"/>
      <c r="E32" s="22"/>
      <c r="F32" s="22"/>
      <c r="G32" s="16"/>
      <c r="H32" s="16"/>
    </row>
    <row r="33" spans="1:8">
      <c r="A33" s="20"/>
      <c r="B33" s="13"/>
      <c r="C33" s="22"/>
      <c r="D33" s="22"/>
      <c r="E33" s="22"/>
      <c r="F33" s="16"/>
      <c r="G33" s="16"/>
      <c r="H33" s="16"/>
    </row>
    <row r="34" spans="1:8">
      <c r="A34" s="20"/>
      <c r="B34" s="13"/>
      <c r="C34" s="22"/>
      <c r="D34" s="22"/>
      <c r="E34" s="22"/>
      <c r="F34" s="16"/>
      <c r="G34" s="16"/>
      <c r="H34" s="16"/>
    </row>
    <row r="35" spans="1:8">
      <c r="A35" s="525" t="s">
        <v>37</v>
      </c>
      <c r="B35" s="525"/>
      <c r="C35" s="525"/>
      <c r="D35" s="111">
        <f>SUM(D30:D34)</f>
        <v>0</v>
      </c>
      <c r="E35" s="526"/>
      <c r="F35" s="526"/>
      <c r="G35" s="526"/>
      <c r="H35" s="526"/>
    </row>
    <row r="36" spans="1:8">
      <c r="A36" s="34" t="s">
        <v>38</v>
      </c>
      <c r="B36" s="35"/>
      <c r="C36" s="111"/>
      <c r="D36" s="111"/>
      <c r="E36" s="112"/>
      <c r="F36" s="112"/>
      <c r="G36" s="526"/>
      <c r="H36" s="526"/>
    </row>
    <row r="37" spans="1:8">
      <c r="A37" s="37"/>
      <c r="B37" s="38"/>
      <c r="C37" s="39"/>
      <c r="D37" s="39"/>
      <c r="E37" s="39"/>
      <c r="F37" s="39"/>
      <c r="G37" s="39"/>
      <c r="H37" s="39"/>
    </row>
    <row r="38" spans="1:8">
      <c r="A38" s="519" t="s">
        <v>13</v>
      </c>
      <c r="B38" s="520"/>
      <c r="C38" s="520"/>
      <c r="D38" s="520"/>
      <c r="E38" s="521"/>
      <c r="F38" s="39"/>
      <c r="G38" s="39"/>
      <c r="H38" s="40"/>
    </row>
    <row r="39" spans="1:8">
      <c r="A39" s="41" t="s">
        <v>39</v>
      </c>
      <c r="B39" s="42" t="s">
        <v>40</v>
      </c>
      <c r="C39" s="43" t="s">
        <v>41</v>
      </c>
      <c r="D39" s="43" t="s">
        <v>42</v>
      </c>
      <c r="E39" s="43" t="s">
        <v>43</v>
      </c>
      <c r="F39" s="39"/>
      <c r="G39" s="39"/>
      <c r="H39" s="39"/>
    </row>
    <row r="40" spans="1:8">
      <c r="A40" s="41"/>
      <c r="B40" s="44"/>
      <c r="C40" s="45"/>
      <c r="D40" s="46"/>
      <c r="E40" s="46"/>
      <c r="F40" s="39"/>
      <c r="G40" s="39"/>
      <c r="H40" s="39"/>
    </row>
    <row r="41" spans="1:8">
      <c r="A41" s="41"/>
      <c r="B41" s="44"/>
      <c r="C41" s="45"/>
      <c r="D41" s="46"/>
      <c r="E41" s="46"/>
      <c r="F41" s="39"/>
      <c r="G41" s="39"/>
      <c r="H41" s="39"/>
    </row>
    <row r="42" spans="1:8">
      <c r="A42" s="41"/>
      <c r="B42" s="44"/>
      <c r="C42" s="45"/>
      <c r="D42" s="46"/>
      <c r="E42" s="46"/>
      <c r="F42" s="39"/>
      <c r="G42" s="39"/>
      <c r="H42" s="39"/>
    </row>
    <row r="43" spans="1:8">
      <c r="A43" s="41"/>
      <c r="B43" s="44"/>
      <c r="C43" s="47"/>
      <c r="D43" s="46"/>
      <c r="E43" s="46"/>
      <c r="F43" s="39"/>
      <c r="G43" s="39"/>
      <c r="H43" s="39"/>
    </row>
    <row r="44" spans="1:8">
      <c r="A44" s="41"/>
      <c r="B44" s="44"/>
      <c r="C44" s="46"/>
      <c r="D44" s="48"/>
      <c r="E44" s="46"/>
      <c r="F44" s="39"/>
      <c r="G44" s="39"/>
      <c r="H44" s="39"/>
    </row>
    <row r="45" spans="1:8">
      <c r="A45" s="49"/>
      <c r="B45" s="50"/>
      <c r="C45" s="51" t="s">
        <v>44</v>
      </c>
      <c r="D45" s="51">
        <f>SUM(D40:D44)</f>
        <v>0</v>
      </c>
      <c r="E45" s="52"/>
      <c r="F45" s="39"/>
      <c r="G45" s="39"/>
      <c r="H45" s="39"/>
    </row>
    <row r="46" spans="1:8">
      <c r="A46" s="53"/>
      <c r="B46" s="54"/>
      <c r="C46" s="55"/>
      <c r="D46" s="56"/>
      <c r="E46" s="3"/>
      <c r="F46" s="39"/>
      <c r="G46" s="39"/>
      <c r="H46" s="39"/>
    </row>
  </sheetData>
  <mergeCells count="13">
    <mergeCell ref="A38:E38"/>
    <mergeCell ref="A28:C28"/>
    <mergeCell ref="E28:H28"/>
    <mergeCell ref="A29:H29"/>
    <mergeCell ref="A35:C35"/>
    <mergeCell ref="E35:H35"/>
    <mergeCell ref="G36:H36"/>
    <mergeCell ref="E27:H27"/>
    <mergeCell ref="A3:H3"/>
    <mergeCell ref="A11:C11"/>
    <mergeCell ref="A12:H12"/>
    <mergeCell ref="E19:H19"/>
    <mergeCell ref="A20:H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4"/>
  <sheetViews>
    <sheetView workbookViewId="0"/>
  </sheetViews>
  <sheetFormatPr defaultRowHeight="15"/>
  <cols>
    <col min="1" max="1" width="52" bestFit="1" customWidth="1"/>
    <col min="2" max="2" width="10.5703125" bestFit="1" customWidth="1"/>
    <col min="3" max="3" width="25.140625" bestFit="1" customWidth="1"/>
    <col min="4" max="4" width="21.5703125" bestFit="1" customWidth="1"/>
    <col min="5" max="5" width="79" bestFit="1" customWidth="1"/>
    <col min="6" max="6" width="10.5703125" bestFit="1" customWidth="1"/>
    <col min="7" max="7" width="64.5703125" bestFit="1" customWidth="1"/>
    <col min="8" max="8" width="11.5703125" bestFit="1" customWidth="1"/>
    <col min="11" max="11" width="10.5703125" bestFit="1" customWidth="1"/>
    <col min="12" max="12" width="11.5703125" bestFit="1" customWidth="1"/>
  </cols>
  <sheetData>
    <row r="1" spans="1:12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  <c r="K1" s="108" t="s">
        <v>52</v>
      </c>
      <c r="L1" s="108"/>
    </row>
    <row r="2" spans="1:12">
      <c r="A2" s="14" t="s">
        <v>245</v>
      </c>
      <c r="B2" s="15">
        <v>300000</v>
      </c>
      <c r="C2" s="14" t="s">
        <v>258</v>
      </c>
      <c r="D2" s="15">
        <v>150000</v>
      </c>
      <c r="E2" s="15" t="s">
        <v>247</v>
      </c>
      <c r="F2" s="22">
        <v>1121000</v>
      </c>
      <c r="G2" s="14" t="s">
        <v>178</v>
      </c>
      <c r="H2" s="15">
        <v>350000</v>
      </c>
      <c r="I2" s="15"/>
      <c r="J2" s="22"/>
      <c r="K2" s="22"/>
      <c r="L2" s="29"/>
    </row>
    <row r="3" spans="1:12" ht="15.75">
      <c r="A3" s="15" t="s">
        <v>64</v>
      </c>
      <c r="B3" s="22">
        <v>220000</v>
      </c>
      <c r="C3" s="15" t="s">
        <v>262</v>
      </c>
      <c r="D3" s="23">
        <v>150000</v>
      </c>
      <c r="E3" s="15" t="s">
        <v>248</v>
      </c>
      <c r="F3" s="23">
        <v>270000</v>
      </c>
      <c r="G3" s="15" t="s">
        <v>219</v>
      </c>
      <c r="H3" s="22">
        <v>300000</v>
      </c>
      <c r="I3" s="15"/>
      <c r="J3" s="22"/>
      <c r="K3" s="60"/>
      <c r="L3" s="60"/>
    </row>
    <row r="4" spans="1:12">
      <c r="A4" s="15" t="s">
        <v>251</v>
      </c>
      <c r="B4" s="22">
        <v>150000</v>
      </c>
      <c r="C4" s="15" t="s">
        <v>152</v>
      </c>
      <c r="D4" s="22">
        <v>450000</v>
      </c>
      <c r="E4" s="15" t="s">
        <v>250</v>
      </c>
      <c r="F4" s="23">
        <v>635000</v>
      </c>
      <c r="G4" s="15"/>
      <c r="H4" s="22"/>
      <c r="I4" s="15"/>
      <c r="J4" s="22"/>
      <c r="K4" s="61"/>
      <c r="L4" s="61"/>
    </row>
    <row r="5" spans="1:12">
      <c r="A5" s="15" t="s">
        <v>257</v>
      </c>
      <c r="B5" s="23">
        <v>440000</v>
      </c>
      <c r="C5" s="22" t="s">
        <v>112</v>
      </c>
      <c r="D5" s="61">
        <v>450000</v>
      </c>
      <c r="E5" s="15" t="s">
        <v>253</v>
      </c>
      <c r="F5" s="23">
        <v>880000</v>
      </c>
      <c r="G5" s="22" t="s">
        <v>180</v>
      </c>
      <c r="H5" s="22">
        <v>1194312</v>
      </c>
      <c r="I5" s="14"/>
      <c r="J5" s="15"/>
      <c r="K5" s="62"/>
      <c r="L5" s="62"/>
    </row>
    <row r="6" spans="1:12">
      <c r="A6" s="15" t="s">
        <v>259</v>
      </c>
      <c r="B6" s="23">
        <v>306500</v>
      </c>
      <c r="C6" s="64"/>
      <c r="D6" s="61"/>
      <c r="E6" s="15" t="s">
        <v>256</v>
      </c>
      <c r="F6" s="22">
        <v>1625000</v>
      </c>
      <c r="G6" s="22" t="s">
        <v>181</v>
      </c>
      <c r="H6" s="29">
        <v>450000</v>
      </c>
      <c r="I6" s="14"/>
      <c r="J6" s="15"/>
      <c r="K6" s="62"/>
      <c r="L6" s="62"/>
    </row>
    <row r="7" spans="1:12">
      <c r="A7" s="23" t="s">
        <v>260</v>
      </c>
      <c r="B7" s="23">
        <v>2000000</v>
      </c>
      <c r="C7" s="22"/>
      <c r="D7" s="29"/>
      <c r="E7" s="15"/>
      <c r="F7" s="22"/>
      <c r="G7" s="15" t="s">
        <v>182</v>
      </c>
      <c r="H7" s="22">
        <v>202500</v>
      </c>
      <c r="I7" s="14"/>
      <c r="J7" s="15"/>
      <c r="K7" s="62"/>
      <c r="L7" s="62"/>
    </row>
    <row r="8" spans="1:12">
      <c r="A8" s="15" t="s">
        <v>263</v>
      </c>
      <c r="B8" s="22">
        <v>220000</v>
      </c>
      <c r="C8" s="22"/>
      <c r="D8" s="29"/>
      <c r="E8" s="22"/>
      <c r="F8" s="29"/>
      <c r="G8" s="14" t="s">
        <v>183</v>
      </c>
      <c r="H8" s="15">
        <v>250000</v>
      </c>
      <c r="I8" s="22"/>
      <c r="J8" s="29"/>
      <c r="K8" s="62"/>
      <c r="L8" s="62"/>
    </row>
    <row r="9" spans="1:12">
      <c r="A9" s="64" t="s">
        <v>246</v>
      </c>
      <c r="B9" s="61">
        <v>1625000</v>
      </c>
      <c r="C9" s="22"/>
      <c r="D9" s="29"/>
      <c r="E9" s="61"/>
      <c r="F9" s="65"/>
      <c r="G9" s="14" t="s">
        <v>73</v>
      </c>
      <c r="H9" s="15">
        <v>503500</v>
      </c>
      <c r="I9" s="22"/>
      <c r="J9" s="29"/>
      <c r="K9" s="62"/>
      <c r="L9" s="62"/>
    </row>
    <row r="10" spans="1:12">
      <c r="A10" s="64" t="s">
        <v>110</v>
      </c>
      <c r="B10" s="29">
        <v>220000</v>
      </c>
      <c r="C10" s="66"/>
      <c r="D10" s="66"/>
      <c r="E10" s="61"/>
      <c r="F10" s="65"/>
      <c r="G10" s="14" t="s">
        <v>19</v>
      </c>
      <c r="H10" s="15">
        <v>503500</v>
      </c>
      <c r="I10" s="22"/>
      <c r="J10" s="29"/>
      <c r="K10" s="62"/>
      <c r="L10" s="62"/>
    </row>
    <row r="11" spans="1:12">
      <c r="A11" s="64" t="s">
        <v>223</v>
      </c>
      <c r="B11" s="61">
        <v>49500</v>
      </c>
      <c r="C11" s="66"/>
      <c r="D11" s="66"/>
      <c r="E11" s="61"/>
      <c r="F11" s="65"/>
      <c r="G11" s="14" t="s">
        <v>227</v>
      </c>
      <c r="H11" s="15">
        <v>48000</v>
      </c>
      <c r="I11" s="22"/>
      <c r="J11" s="29"/>
      <c r="K11" s="62"/>
      <c r="L11" s="62"/>
    </row>
    <row r="12" spans="1:12">
      <c r="A12" s="64"/>
      <c r="B12" s="61"/>
      <c r="C12" s="66"/>
      <c r="D12" s="66"/>
      <c r="E12" s="61"/>
      <c r="F12" s="65"/>
      <c r="G12" s="15" t="s">
        <v>228</v>
      </c>
      <c r="H12" s="22">
        <v>736000</v>
      </c>
      <c r="I12" s="22"/>
      <c r="J12" s="29"/>
      <c r="K12" s="62"/>
      <c r="L12" s="62"/>
    </row>
    <row r="13" spans="1:12">
      <c r="A13" s="64"/>
      <c r="B13" s="61"/>
      <c r="C13" s="66"/>
      <c r="D13" s="66"/>
      <c r="E13" s="61"/>
      <c r="F13" s="65"/>
      <c r="G13" s="15" t="s">
        <v>242</v>
      </c>
      <c r="H13" s="22">
        <v>1000000</v>
      </c>
      <c r="I13" s="62"/>
      <c r="J13" s="67"/>
      <c r="K13" s="62"/>
      <c r="L13" s="62"/>
    </row>
    <row r="14" spans="1:12">
      <c r="A14" s="68"/>
      <c r="B14" s="69"/>
      <c r="C14" s="69"/>
      <c r="D14" s="69"/>
      <c r="E14" s="69"/>
      <c r="F14" s="69"/>
      <c r="G14" s="15" t="s">
        <v>195</v>
      </c>
      <c r="H14" s="22">
        <v>1500000</v>
      </c>
      <c r="I14" s="68"/>
      <c r="J14" s="69"/>
      <c r="K14" s="68"/>
      <c r="L14" s="68"/>
    </row>
    <row r="15" spans="1:12">
      <c r="A15" s="68"/>
      <c r="B15" s="69"/>
      <c r="C15" s="69"/>
      <c r="D15" s="69"/>
      <c r="E15" s="69"/>
      <c r="F15" s="69"/>
      <c r="G15" s="117" t="s">
        <v>230</v>
      </c>
      <c r="H15" s="118">
        <v>700000</v>
      </c>
      <c r="I15" s="68"/>
      <c r="J15" s="69"/>
      <c r="K15" s="68"/>
      <c r="L15" s="68"/>
    </row>
    <row r="16" spans="1:12">
      <c r="A16" s="68"/>
      <c r="B16" s="69"/>
      <c r="C16" s="69"/>
      <c r="D16" s="69"/>
      <c r="E16" s="69"/>
      <c r="F16" s="69"/>
      <c r="G16" s="119" t="s">
        <v>240</v>
      </c>
      <c r="H16" s="120">
        <v>69000</v>
      </c>
      <c r="I16" s="68"/>
      <c r="J16" s="69"/>
      <c r="K16" s="68"/>
      <c r="L16" s="68"/>
    </row>
    <row r="17" spans="1:13">
      <c r="A17" s="68"/>
      <c r="B17" s="69"/>
      <c r="C17" s="69"/>
      <c r="D17" s="69"/>
      <c r="E17" s="69"/>
      <c r="F17" s="69"/>
      <c r="G17" s="119" t="s">
        <v>241</v>
      </c>
      <c r="H17" s="120">
        <v>500000</v>
      </c>
      <c r="I17" s="68"/>
      <c r="J17" s="69"/>
      <c r="K17" s="68"/>
      <c r="L17" s="68"/>
    </row>
    <row r="18" spans="1:13">
      <c r="A18" s="68"/>
      <c r="B18" s="69"/>
      <c r="C18" s="69"/>
      <c r="D18" s="69"/>
      <c r="E18" s="69"/>
      <c r="F18" s="69"/>
      <c r="G18" s="119" t="s">
        <v>261</v>
      </c>
      <c r="H18" s="120">
        <v>151000</v>
      </c>
      <c r="I18" s="68"/>
      <c r="J18" s="69"/>
      <c r="K18" s="68"/>
      <c r="L18" s="68"/>
    </row>
    <row r="19" spans="1:13">
      <c r="A19" s="68"/>
      <c r="B19" s="69"/>
      <c r="C19" s="69"/>
      <c r="D19" s="69"/>
      <c r="E19" s="69"/>
      <c r="F19" s="69"/>
      <c r="G19" s="119" t="s">
        <v>191</v>
      </c>
      <c r="H19" s="120">
        <v>312000</v>
      </c>
      <c r="I19" s="68"/>
      <c r="J19" s="69"/>
      <c r="K19" s="68"/>
      <c r="L19" s="68"/>
    </row>
    <row r="20" spans="1:13">
      <c r="A20" s="68"/>
      <c r="B20" s="69"/>
      <c r="C20" s="69"/>
      <c r="D20" s="69"/>
      <c r="E20" s="69"/>
      <c r="F20" s="69"/>
      <c r="G20" s="119" t="s">
        <v>193</v>
      </c>
      <c r="H20" s="120">
        <v>1724500</v>
      </c>
      <c r="I20" s="68"/>
      <c r="J20" s="69"/>
      <c r="K20" s="68"/>
      <c r="L20" s="68"/>
    </row>
    <row r="21" spans="1:13">
      <c r="A21" s="68"/>
      <c r="B21" s="69"/>
      <c r="C21" s="69"/>
      <c r="D21" s="69"/>
      <c r="E21" s="69"/>
      <c r="F21" s="69"/>
      <c r="G21" s="119" t="s">
        <v>214</v>
      </c>
      <c r="H21" s="120">
        <v>12000</v>
      </c>
      <c r="I21" s="68"/>
      <c r="J21" s="69"/>
      <c r="K21" s="68"/>
      <c r="L21" s="68"/>
    </row>
    <row r="22" spans="1:13">
      <c r="A22" s="68"/>
      <c r="B22" s="69"/>
      <c r="C22" s="69"/>
      <c r="D22" s="69"/>
      <c r="E22" s="69"/>
      <c r="F22" s="69"/>
      <c r="G22" s="119" t="s">
        <v>235</v>
      </c>
      <c r="H22" s="120">
        <v>112000</v>
      </c>
      <c r="I22" s="68"/>
      <c r="J22" s="69"/>
      <c r="K22" s="68"/>
      <c r="L22" s="68"/>
    </row>
    <row r="23" spans="1:13">
      <c r="A23" s="68"/>
      <c r="B23" s="69"/>
      <c r="C23" s="69"/>
      <c r="D23" s="69"/>
      <c r="E23" s="69"/>
      <c r="F23" s="69"/>
      <c r="G23" s="119" t="s">
        <v>217</v>
      </c>
      <c r="H23" s="120">
        <v>215000</v>
      </c>
      <c r="I23" s="68"/>
      <c r="J23" s="69"/>
      <c r="K23" s="68"/>
      <c r="L23" s="68"/>
    </row>
    <row r="24" spans="1:13">
      <c r="A24" s="68"/>
      <c r="B24" s="69"/>
      <c r="C24" s="69"/>
      <c r="D24" s="69"/>
      <c r="E24" s="69"/>
      <c r="F24" s="69"/>
      <c r="G24" s="119" t="s">
        <v>218</v>
      </c>
      <c r="H24" s="120">
        <v>292500</v>
      </c>
      <c r="I24" s="68"/>
      <c r="J24" s="69"/>
      <c r="K24" s="68"/>
      <c r="L24" s="68"/>
    </row>
    <row r="25" spans="1:13">
      <c r="A25" s="68"/>
      <c r="B25" s="69"/>
      <c r="C25" s="69"/>
      <c r="D25" s="69"/>
      <c r="E25" s="69"/>
      <c r="F25" s="69"/>
      <c r="G25" s="119" t="s">
        <v>231</v>
      </c>
      <c r="H25" s="120">
        <v>78000</v>
      </c>
      <c r="I25" s="68"/>
      <c r="J25" s="69"/>
      <c r="K25" s="68"/>
      <c r="L25" s="68"/>
    </row>
    <row r="26" spans="1:13">
      <c r="A26" s="68"/>
      <c r="B26" s="69"/>
      <c r="C26" s="69"/>
      <c r="D26" s="69"/>
      <c r="E26" s="69"/>
      <c r="F26" s="69"/>
      <c r="G26" s="119" t="s">
        <v>236</v>
      </c>
      <c r="H26" s="120">
        <v>384000</v>
      </c>
      <c r="I26" s="68"/>
      <c r="J26" s="69"/>
      <c r="K26" s="68"/>
      <c r="L26" s="68"/>
    </row>
    <row r="27" spans="1:13">
      <c r="A27" s="68"/>
      <c r="B27" s="69"/>
      <c r="C27" s="69"/>
      <c r="D27" s="69"/>
      <c r="E27" s="69"/>
      <c r="F27" s="69"/>
      <c r="G27" s="119" t="s">
        <v>111</v>
      </c>
      <c r="H27" s="120">
        <v>2250000</v>
      </c>
      <c r="I27" s="68"/>
      <c r="J27" s="69"/>
      <c r="K27" s="68"/>
      <c r="L27" s="68"/>
    </row>
    <row r="28" spans="1:13">
      <c r="A28" s="68"/>
      <c r="B28" s="69"/>
      <c r="C28" s="69"/>
      <c r="D28" s="69"/>
      <c r="E28" s="69"/>
      <c r="F28" s="69"/>
      <c r="G28" s="119"/>
      <c r="H28" s="120"/>
      <c r="I28" s="68"/>
      <c r="J28" s="69"/>
      <c r="K28" s="68"/>
      <c r="L28" s="68"/>
    </row>
    <row r="29" spans="1:13">
      <c r="A29" s="70"/>
      <c r="B29" s="71">
        <f>SUM(B2:B27)</f>
        <v>5531000</v>
      </c>
      <c r="C29" s="71">
        <f t="shared" ref="C29:L29" si="0">SUM(C2:C27)</f>
        <v>0</v>
      </c>
      <c r="D29" s="71">
        <f t="shared" si="0"/>
        <v>1200000</v>
      </c>
      <c r="E29" s="71">
        <f t="shared" si="0"/>
        <v>0</v>
      </c>
      <c r="F29" s="71">
        <f t="shared" si="0"/>
        <v>4531000</v>
      </c>
      <c r="G29" s="71">
        <f t="shared" si="0"/>
        <v>0</v>
      </c>
      <c r="H29" s="71">
        <f t="shared" si="0"/>
        <v>13837812</v>
      </c>
      <c r="I29" s="71">
        <f t="shared" si="0"/>
        <v>0</v>
      </c>
      <c r="J29" s="71">
        <f t="shared" si="0"/>
        <v>0</v>
      </c>
      <c r="K29" s="71">
        <f t="shared" si="0"/>
        <v>0</v>
      </c>
      <c r="L29" s="71">
        <f t="shared" si="0"/>
        <v>0</v>
      </c>
      <c r="M29" s="72"/>
    </row>
    <row r="30" spans="1:13">
      <c r="C30" t="s">
        <v>98</v>
      </c>
      <c r="D30" s="77">
        <v>100000</v>
      </c>
    </row>
    <row r="31" spans="1:13">
      <c r="C31" t="s">
        <v>272</v>
      </c>
      <c r="D31" s="77">
        <v>100000</v>
      </c>
      <c r="F31" s="72">
        <f>4550000-F29</f>
        <v>19000</v>
      </c>
    </row>
    <row r="32" spans="1:13">
      <c r="L32" s="72">
        <f>H29+F29+D29+B29+A40-H27-D5-B10</f>
        <v>22179812</v>
      </c>
    </row>
    <row r="33" spans="4:11">
      <c r="D33" s="72">
        <f>D29-D30-D31</f>
        <v>1000000</v>
      </c>
    </row>
    <row r="37" spans="4:11">
      <c r="G37" t="s">
        <v>273</v>
      </c>
    </row>
    <row r="38" spans="4:11">
      <c r="G38" t="s">
        <v>326</v>
      </c>
      <c r="H38">
        <v>5</v>
      </c>
      <c r="I38" s="77">
        <v>125000</v>
      </c>
      <c r="K38" s="72">
        <f>I38*5</f>
        <v>625000</v>
      </c>
    </row>
    <row r="39" spans="4:11">
      <c r="G39" t="s">
        <v>274</v>
      </c>
      <c r="H39" t="s">
        <v>277</v>
      </c>
      <c r="I39" s="77">
        <v>120000</v>
      </c>
      <c r="K39" s="72">
        <f>I39*5</f>
        <v>600000</v>
      </c>
    </row>
    <row r="40" spans="4:11">
      <c r="G40" t="s">
        <v>275</v>
      </c>
      <c r="H40" t="s">
        <v>276</v>
      </c>
      <c r="I40" s="77">
        <v>130000</v>
      </c>
      <c r="K40" s="72">
        <f>I40*2</f>
        <v>260000</v>
      </c>
    </row>
    <row r="41" spans="4:11">
      <c r="K41" s="77"/>
    </row>
    <row r="42" spans="4:11">
      <c r="E42" s="77"/>
      <c r="K42" s="72">
        <f>SUM(K38:K41)+300000</f>
        <v>1785000</v>
      </c>
    </row>
    <row r="44" spans="4:11">
      <c r="E44" s="77"/>
      <c r="F44" s="7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115"/>
  <sheetViews>
    <sheetView workbookViewId="0"/>
  </sheetViews>
  <sheetFormatPr defaultRowHeight="15"/>
  <cols>
    <col min="1" max="1" width="6.42578125" customWidth="1"/>
    <col min="2" max="2" width="10" bestFit="1" customWidth="1"/>
    <col min="3" max="3" width="65.5703125" customWidth="1"/>
    <col min="4" max="4" width="11.85546875" customWidth="1"/>
    <col min="5" max="5" width="5.85546875" customWidth="1"/>
    <col min="6" max="6" width="6" customWidth="1"/>
    <col min="7" max="7" width="5.42578125" customWidth="1"/>
    <col min="8" max="8" width="12" bestFit="1" customWidth="1"/>
    <col min="11" max="11" width="10" bestFit="1" customWidth="1"/>
    <col min="12" max="12" width="68.42578125" bestFit="1" customWidth="1"/>
    <col min="13" max="13" width="12" bestFit="1" customWidth="1"/>
    <col min="17" max="17" width="10.5703125" customWidth="1"/>
    <col min="22" max="22" width="13.42578125" bestFit="1" customWidth="1"/>
    <col min="23" max="23" width="9.140625" style="77"/>
    <col min="25" max="25" width="10.57031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311</v>
      </c>
      <c r="B2" s="2"/>
      <c r="C2" s="3"/>
      <c r="D2" s="3"/>
      <c r="E2" s="3"/>
      <c r="F2" s="3"/>
      <c r="G2" s="3"/>
      <c r="H2" s="3"/>
      <c r="J2" s="1" t="s">
        <v>311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390633771</v>
      </c>
      <c r="E4" s="6"/>
      <c r="F4" s="6"/>
      <c r="G4" s="6"/>
      <c r="H4" s="6"/>
      <c r="J4" s="4"/>
      <c r="K4" s="5"/>
      <c r="L4" s="6" t="s">
        <v>2</v>
      </c>
      <c r="M4" s="7">
        <v>390633771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62265</v>
      </c>
      <c r="E5" s="6"/>
      <c r="F5" s="6"/>
      <c r="G5" s="6"/>
      <c r="H5" s="6"/>
      <c r="J5" s="4"/>
      <c r="K5" s="5"/>
      <c r="L5" s="6" t="s">
        <v>3</v>
      </c>
      <c r="M5" s="8">
        <v>62265</v>
      </c>
      <c r="N5" s="6"/>
      <c r="O5" s="6"/>
      <c r="P5" s="6"/>
      <c r="Q5" s="6"/>
    </row>
    <row r="6" spans="1:17">
      <c r="A6" s="4"/>
      <c r="B6" s="5"/>
      <c r="C6" s="6" t="s">
        <v>4</v>
      </c>
      <c r="D6" s="115">
        <v>288673500</v>
      </c>
      <c r="E6" s="6"/>
      <c r="F6" s="6"/>
      <c r="G6" s="6"/>
      <c r="H6" s="6"/>
      <c r="J6" s="4"/>
      <c r="K6" s="5"/>
      <c r="L6" s="6" t="s">
        <v>4</v>
      </c>
      <c r="M6" s="115">
        <v>288673500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312</v>
      </c>
      <c r="B11" s="532"/>
      <c r="C11" s="532"/>
      <c r="D11" s="532"/>
      <c r="E11" s="532"/>
      <c r="F11" s="532"/>
      <c r="G11" s="533"/>
      <c r="H11" s="10">
        <f>SUM(D4:D9)</f>
        <v>686440082</v>
      </c>
      <c r="J11" s="531" t="s">
        <v>312</v>
      </c>
      <c r="K11" s="532"/>
      <c r="L11" s="532"/>
      <c r="M11" s="532"/>
      <c r="N11" s="532"/>
      <c r="O11" s="532"/>
      <c r="P11" s="533"/>
      <c r="Q11" s="10">
        <f>SUM(M4:M9)</f>
        <v>686440082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124" t="s">
        <v>14</v>
      </c>
      <c r="F14" s="124" t="s">
        <v>15</v>
      </c>
      <c r="G14" s="124" t="s">
        <v>16</v>
      </c>
      <c r="H14" s="124" t="s">
        <v>17</v>
      </c>
      <c r="J14" s="536"/>
      <c r="K14" s="537"/>
      <c r="L14" s="538"/>
      <c r="M14" s="538"/>
      <c r="N14" s="128" t="s">
        <v>14</v>
      </c>
      <c r="O14" s="128" t="s">
        <v>15</v>
      </c>
      <c r="P14" s="128" t="s">
        <v>16</v>
      </c>
      <c r="Q14" s="128" t="s">
        <v>17</v>
      </c>
    </row>
    <row r="15" spans="1:17">
      <c r="A15" s="12"/>
      <c r="B15" s="13" t="s">
        <v>278</v>
      </c>
      <c r="C15" s="14" t="s">
        <v>279</v>
      </c>
      <c r="D15" s="15">
        <v>70000</v>
      </c>
      <c r="E15" s="16"/>
      <c r="F15" s="16"/>
      <c r="G15" s="16"/>
      <c r="H15" s="16"/>
      <c r="J15" s="12"/>
      <c r="K15" s="13" t="s">
        <v>278</v>
      </c>
      <c r="L15" s="14" t="s">
        <v>279</v>
      </c>
      <c r="M15" s="15">
        <v>70000</v>
      </c>
      <c r="N15" s="16"/>
      <c r="O15" s="16"/>
      <c r="P15" s="16"/>
      <c r="Q15" s="16"/>
    </row>
    <row r="16" spans="1:17">
      <c r="A16" s="12"/>
      <c r="B16" s="13" t="s">
        <v>278</v>
      </c>
      <c r="C16" s="14" t="s">
        <v>280</v>
      </c>
      <c r="D16" s="15">
        <v>500000</v>
      </c>
      <c r="E16" s="16"/>
      <c r="F16" s="16"/>
      <c r="G16" s="16"/>
      <c r="H16" s="16"/>
      <c r="J16" s="12"/>
      <c r="K16" s="13" t="s">
        <v>278</v>
      </c>
      <c r="L16" s="14" t="s">
        <v>280</v>
      </c>
      <c r="M16" s="15">
        <v>500000</v>
      </c>
      <c r="N16" s="16"/>
      <c r="O16" s="16"/>
      <c r="P16" s="16"/>
      <c r="Q16" s="16"/>
    </row>
    <row r="17" spans="1:17">
      <c r="A17" s="12"/>
      <c r="B17" s="13" t="s">
        <v>278</v>
      </c>
      <c r="C17" s="14" t="s">
        <v>281</v>
      </c>
      <c r="D17" s="15">
        <v>1120000</v>
      </c>
      <c r="E17" s="16"/>
      <c r="F17" s="16"/>
      <c r="G17" s="16"/>
      <c r="H17" s="16"/>
      <c r="J17" s="12"/>
      <c r="K17" s="13" t="s">
        <v>278</v>
      </c>
      <c r="L17" s="14" t="s">
        <v>281</v>
      </c>
      <c r="M17" s="15"/>
      <c r="N17" s="16"/>
      <c r="O17" s="16"/>
      <c r="P17" s="16"/>
      <c r="Q17" s="16"/>
    </row>
    <row r="18" spans="1:17">
      <c r="A18" s="12"/>
      <c r="B18" s="13" t="s">
        <v>278</v>
      </c>
      <c r="C18" s="14" t="s">
        <v>293</v>
      </c>
      <c r="D18" s="15">
        <v>2100000</v>
      </c>
      <c r="E18" s="16"/>
      <c r="F18" s="16"/>
      <c r="G18" s="16"/>
      <c r="H18" s="16"/>
      <c r="J18" s="12"/>
      <c r="K18" s="13" t="s">
        <v>278</v>
      </c>
      <c r="L18" s="14" t="s">
        <v>293</v>
      </c>
      <c r="M18" s="15">
        <v>2100000</v>
      </c>
      <c r="N18" s="16"/>
      <c r="O18" s="16"/>
      <c r="P18" s="16"/>
      <c r="Q18" s="16"/>
    </row>
    <row r="19" spans="1:17">
      <c r="A19" s="12"/>
      <c r="B19" s="13"/>
      <c r="C19" s="14"/>
      <c r="D19" s="15"/>
      <c r="E19" s="16"/>
      <c r="F19" s="16"/>
      <c r="G19" s="16"/>
      <c r="H19" s="16"/>
      <c r="J19" s="12"/>
      <c r="K19" s="13"/>
      <c r="L19" s="14"/>
      <c r="M19" s="15"/>
      <c r="N19" s="16"/>
      <c r="O19" s="16"/>
      <c r="P19" s="16"/>
      <c r="Q19" s="16"/>
    </row>
    <row r="20" spans="1:17" hidden="1">
      <c r="A20" s="12"/>
      <c r="B20" s="13"/>
      <c r="C20" s="14"/>
      <c r="D20" s="15"/>
      <c r="E20" s="16"/>
      <c r="F20" s="16"/>
      <c r="G20" s="16"/>
      <c r="H20" s="16"/>
      <c r="J20" s="12"/>
      <c r="K20" s="13"/>
      <c r="L20" s="14"/>
      <c r="M20" s="15"/>
      <c r="N20" s="16"/>
      <c r="O20" s="16"/>
      <c r="P20" s="16"/>
      <c r="Q20" s="16"/>
    </row>
    <row r="21" spans="1:17" hidden="1">
      <c r="A21" s="12"/>
      <c r="B21" s="13"/>
      <c r="C21" s="14"/>
      <c r="D21" s="15"/>
      <c r="E21" s="16"/>
      <c r="F21" s="16"/>
      <c r="G21" s="16"/>
      <c r="H21" s="16"/>
      <c r="J21" s="12"/>
      <c r="K21" s="13"/>
      <c r="L21" s="14"/>
      <c r="M21" s="15"/>
      <c r="N21" s="16"/>
      <c r="O21" s="16"/>
      <c r="P21" s="16"/>
      <c r="Q21" s="16"/>
    </row>
    <row r="22" spans="1:17" hidden="1">
      <c r="A22" s="12"/>
      <c r="B22" s="13"/>
      <c r="C22" s="14"/>
      <c r="D22" s="15"/>
      <c r="E22" s="16"/>
      <c r="F22" s="16"/>
      <c r="G22" s="16"/>
      <c r="H22" s="16"/>
      <c r="J22" s="12"/>
      <c r="K22" s="13"/>
      <c r="L22" s="14"/>
      <c r="M22" s="15"/>
      <c r="N22" s="16"/>
      <c r="O22" s="16"/>
      <c r="P22" s="16"/>
      <c r="Q22" s="16"/>
    </row>
    <row r="23" spans="1:17" hidden="1">
      <c r="A23" s="12"/>
      <c r="B23" s="13"/>
      <c r="C23" s="14"/>
      <c r="D23" s="15"/>
      <c r="E23" s="16"/>
      <c r="F23" s="16"/>
      <c r="G23" s="16"/>
      <c r="H23" s="16"/>
      <c r="J23" s="12"/>
      <c r="K23" s="13"/>
      <c r="L23" s="14"/>
      <c r="M23" s="15"/>
      <c r="N23" s="16"/>
      <c r="O23" s="16"/>
      <c r="P23" s="16"/>
      <c r="Q23" s="16"/>
    </row>
    <row r="24" spans="1:17" hidden="1">
      <c r="A24" s="12"/>
      <c r="B24" s="13"/>
      <c r="C24" s="14"/>
      <c r="D24" s="15"/>
      <c r="E24" s="16"/>
      <c r="F24" s="16"/>
      <c r="G24" s="16"/>
      <c r="H24" s="16"/>
      <c r="J24" s="12"/>
      <c r="K24" s="13"/>
      <c r="L24" s="14"/>
      <c r="M24" s="15"/>
      <c r="N24" s="16"/>
      <c r="O24" s="16"/>
      <c r="P24" s="16"/>
      <c r="Q24" s="16"/>
    </row>
    <row r="25" spans="1:17" hidden="1">
      <c r="A25" s="12"/>
      <c r="B25" s="13"/>
      <c r="C25" s="14"/>
      <c r="D25" s="15"/>
      <c r="E25" s="16"/>
      <c r="F25" s="16"/>
      <c r="G25" s="16"/>
      <c r="H25" s="16"/>
      <c r="J25" s="12"/>
      <c r="K25" s="13"/>
      <c r="L25" s="14"/>
      <c r="M25" s="15"/>
      <c r="N25" s="16"/>
      <c r="O25" s="16"/>
      <c r="P25" s="16"/>
      <c r="Q25" s="16"/>
    </row>
    <row r="26" spans="1:17" hidden="1">
      <c r="A26" s="12"/>
      <c r="B26" s="13"/>
      <c r="C26" s="14"/>
      <c r="D26" s="15"/>
      <c r="E26" s="16"/>
      <c r="F26" s="16"/>
      <c r="G26" s="16"/>
      <c r="H26" s="16"/>
      <c r="J26" s="12"/>
      <c r="K26" s="13"/>
      <c r="L26" s="14"/>
      <c r="M26" s="15"/>
      <c r="N26" s="16"/>
      <c r="O26" s="16"/>
      <c r="P26" s="16"/>
      <c r="Q26" s="16"/>
    </row>
    <row r="27" spans="1:17" hidden="1">
      <c r="A27" s="12"/>
      <c r="B27" s="13"/>
      <c r="C27" s="14"/>
      <c r="D27" s="15"/>
      <c r="E27" s="16"/>
      <c r="F27" s="16"/>
      <c r="G27" s="16"/>
      <c r="H27" s="16"/>
      <c r="J27" s="12"/>
      <c r="K27" s="13"/>
      <c r="L27" s="14"/>
      <c r="M27" s="15"/>
      <c r="N27" s="16"/>
      <c r="O27" s="16"/>
      <c r="P27" s="16"/>
      <c r="Q27" s="16"/>
    </row>
    <row r="28" spans="1:17" hidden="1">
      <c r="A28" s="12"/>
      <c r="B28" s="13"/>
      <c r="C28" s="14"/>
      <c r="D28" s="15"/>
      <c r="E28" s="16"/>
      <c r="F28" s="16"/>
      <c r="G28" s="16"/>
      <c r="H28" s="16"/>
      <c r="J28" s="12"/>
      <c r="K28" s="13"/>
      <c r="L28" s="14"/>
      <c r="M28" s="15"/>
      <c r="N28" s="16"/>
      <c r="O28" s="16"/>
      <c r="P28" s="16"/>
      <c r="Q28" s="16"/>
    </row>
    <row r="29" spans="1:17">
      <c r="A29" s="18"/>
      <c r="B29" s="19"/>
      <c r="C29" s="124" t="s">
        <v>20</v>
      </c>
      <c r="D29" s="10">
        <f>SUM(D15:D28)</f>
        <v>3790000</v>
      </c>
      <c r="E29" s="10"/>
      <c r="F29" s="10"/>
      <c r="G29" s="10"/>
      <c r="H29" s="10"/>
      <c r="J29" s="18"/>
      <c r="K29" s="19"/>
      <c r="L29" s="128" t="s">
        <v>20</v>
      </c>
      <c r="M29" s="10">
        <f>SUM(M15:M28)</f>
        <v>2670000</v>
      </c>
      <c r="N29" s="10"/>
      <c r="O29" s="10"/>
      <c r="P29" s="10"/>
      <c r="Q29" s="10"/>
    </row>
    <row r="30" spans="1:17">
      <c r="A30" s="20"/>
      <c r="B30" s="531" t="s">
        <v>21</v>
      </c>
      <c r="C30" s="532"/>
      <c r="D30" s="532"/>
      <c r="E30" s="532"/>
      <c r="F30" s="532"/>
      <c r="G30" s="533"/>
      <c r="H30" s="21">
        <f>+D29</f>
        <v>3790000</v>
      </c>
      <c r="J30" s="20"/>
      <c r="K30" s="531" t="s">
        <v>21</v>
      </c>
      <c r="L30" s="532"/>
      <c r="M30" s="532"/>
      <c r="N30" s="532"/>
      <c r="O30" s="532"/>
      <c r="P30" s="533"/>
      <c r="Q30" s="21">
        <f>+M29</f>
        <v>2670000</v>
      </c>
    </row>
    <row r="31" spans="1:17">
      <c r="A31" s="526" t="s">
        <v>22</v>
      </c>
      <c r="B31" s="526"/>
      <c r="C31" s="526"/>
      <c r="D31" s="526"/>
      <c r="E31" s="526">
        <f>+H30</f>
        <v>3790000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2670000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7">
      <c r="A33" s="12"/>
      <c r="B33" s="13" t="s">
        <v>282</v>
      </c>
      <c r="C33" s="15" t="s">
        <v>283</v>
      </c>
      <c r="D33" s="22">
        <v>14864000</v>
      </c>
      <c r="E33" s="22"/>
      <c r="F33" s="22"/>
      <c r="G33" s="16"/>
      <c r="H33" s="16"/>
      <c r="J33" s="12"/>
      <c r="K33" s="13" t="s">
        <v>282</v>
      </c>
      <c r="L33" s="15" t="s">
        <v>314</v>
      </c>
      <c r="M33" s="22">
        <v>14864000</v>
      </c>
      <c r="N33" s="22"/>
      <c r="O33" s="22"/>
      <c r="P33" s="16"/>
      <c r="Q33" s="16"/>
    </row>
    <row r="34" spans="1:17">
      <c r="A34" s="12"/>
      <c r="B34" s="13" t="s">
        <v>309</v>
      </c>
      <c r="C34" s="15" t="s">
        <v>285</v>
      </c>
      <c r="D34" s="22">
        <v>150000</v>
      </c>
      <c r="E34" s="22"/>
      <c r="F34" s="22"/>
      <c r="G34" s="16"/>
      <c r="H34" s="16"/>
      <c r="J34" s="12"/>
      <c r="K34" s="13" t="s">
        <v>309</v>
      </c>
      <c r="L34" s="15" t="s">
        <v>285</v>
      </c>
      <c r="M34" s="22">
        <v>150000</v>
      </c>
      <c r="N34" s="22"/>
      <c r="O34" s="22"/>
      <c r="P34" s="16"/>
      <c r="Q34" s="16"/>
    </row>
    <row r="35" spans="1:17">
      <c r="A35" s="12"/>
      <c r="B35" s="13" t="s">
        <v>309</v>
      </c>
      <c r="C35" s="15" t="s">
        <v>284</v>
      </c>
      <c r="D35" s="22">
        <v>360000</v>
      </c>
      <c r="E35" s="22"/>
      <c r="F35" s="22"/>
      <c r="G35" s="16"/>
      <c r="H35" s="16"/>
      <c r="J35" s="12"/>
      <c r="K35" s="13" t="s">
        <v>309</v>
      </c>
      <c r="L35" s="15" t="s">
        <v>284</v>
      </c>
      <c r="M35" s="22">
        <v>360000</v>
      </c>
      <c r="N35" s="22"/>
      <c r="O35" s="22"/>
      <c r="P35" s="16"/>
      <c r="Q35" s="16"/>
    </row>
    <row r="36" spans="1:17">
      <c r="A36" s="12"/>
      <c r="B36" s="13" t="s">
        <v>297</v>
      </c>
      <c r="C36" s="15" t="s">
        <v>298</v>
      </c>
      <c r="D36" s="22">
        <v>890000</v>
      </c>
      <c r="E36" s="22"/>
      <c r="F36" s="22"/>
      <c r="G36" s="16"/>
      <c r="H36" s="16"/>
      <c r="J36" s="12"/>
      <c r="K36" s="13" t="s">
        <v>297</v>
      </c>
      <c r="L36" s="15" t="s">
        <v>298</v>
      </c>
      <c r="M36" s="22">
        <v>890000</v>
      </c>
      <c r="N36" s="22"/>
      <c r="O36" s="22"/>
      <c r="P36" s="16"/>
      <c r="Q36" s="16"/>
    </row>
    <row r="37" spans="1:17">
      <c r="A37" s="12"/>
      <c r="B37" s="13" t="s">
        <v>299</v>
      </c>
      <c r="C37" s="15" t="s">
        <v>300</v>
      </c>
      <c r="D37" s="22">
        <v>1130000</v>
      </c>
      <c r="E37" s="22"/>
      <c r="F37" s="22"/>
      <c r="G37" s="16"/>
      <c r="H37" s="16"/>
      <c r="J37" s="12"/>
      <c r="K37" s="13" t="s">
        <v>299</v>
      </c>
      <c r="L37" s="15" t="s">
        <v>300</v>
      </c>
      <c r="M37" s="22">
        <v>1130000</v>
      </c>
      <c r="N37" s="22"/>
      <c r="O37" s="22"/>
      <c r="P37" s="16"/>
      <c r="Q37" s="16"/>
    </row>
    <row r="38" spans="1:17">
      <c r="A38" s="12"/>
      <c r="B38" s="13"/>
      <c r="C38" s="15"/>
      <c r="D38" s="23"/>
      <c r="E38" s="22"/>
      <c r="F38" s="22"/>
      <c r="G38" s="16"/>
      <c r="H38" s="16"/>
      <c r="J38" s="12"/>
      <c r="K38" s="13"/>
      <c r="L38" s="15"/>
      <c r="M38" s="23"/>
      <c r="N38" s="22"/>
      <c r="O38" s="22"/>
      <c r="P38" s="16"/>
      <c r="Q38" s="16"/>
    </row>
    <row r="39" spans="1:17" hidden="1">
      <c r="A39" s="12"/>
      <c r="B39" s="13"/>
      <c r="C39" s="15"/>
      <c r="D39" s="23"/>
      <c r="E39" s="22"/>
      <c r="F39" s="22"/>
      <c r="G39" s="16"/>
      <c r="H39" s="16"/>
      <c r="J39" s="12"/>
      <c r="K39" s="13"/>
      <c r="L39" s="15"/>
      <c r="M39" s="23"/>
      <c r="N39" s="22"/>
      <c r="O39" s="22"/>
      <c r="P39" s="16"/>
      <c r="Q39" s="16"/>
    </row>
    <row r="40" spans="1:17" hidden="1">
      <c r="A40" s="12"/>
      <c r="B40" s="13"/>
      <c r="C40" s="15"/>
      <c r="D40" s="23"/>
      <c r="E40" s="22"/>
      <c r="F40" s="22"/>
      <c r="G40" s="16"/>
      <c r="H40" s="16"/>
      <c r="J40" s="12"/>
      <c r="K40" s="13"/>
      <c r="L40" s="15"/>
      <c r="M40" s="23"/>
      <c r="N40" s="22"/>
      <c r="O40" s="22"/>
      <c r="P40" s="16"/>
      <c r="Q40" s="16"/>
    </row>
    <row r="41" spans="1:17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7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7" hidden="1">
      <c r="A43" s="12"/>
      <c r="B43" s="13"/>
      <c r="C43" s="15"/>
      <c r="D43" s="22"/>
      <c r="E43" s="22"/>
      <c r="F43" s="22"/>
      <c r="G43" s="16"/>
      <c r="H43" s="16"/>
      <c r="J43" s="12"/>
      <c r="K43" s="13"/>
      <c r="L43" s="15"/>
      <c r="M43" s="22"/>
      <c r="N43" s="22"/>
      <c r="O43" s="22"/>
      <c r="P43" s="16"/>
      <c r="Q43" s="16"/>
    </row>
    <row r="44" spans="1:17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>
      <c r="A45" s="25"/>
      <c r="B45" s="19"/>
      <c r="C45" s="26" t="s">
        <v>24</v>
      </c>
      <c r="D45" s="27">
        <f>SUM(D33:D44)</f>
        <v>17394000</v>
      </c>
      <c r="E45" s="27"/>
      <c r="F45" s="27"/>
      <c r="G45" s="27"/>
      <c r="H45" s="27"/>
      <c r="J45" s="25"/>
      <c r="K45" s="19"/>
      <c r="L45" s="26" t="s">
        <v>24</v>
      </c>
      <c r="M45" s="27">
        <f>SUM(M33:M44)</f>
        <v>17394000</v>
      </c>
      <c r="N45" s="27"/>
      <c r="O45" s="27"/>
      <c r="P45" s="27"/>
      <c r="Q45" s="27"/>
    </row>
    <row r="46" spans="1:17">
      <c r="A46" s="20"/>
      <c r="B46" s="19"/>
      <c r="C46" s="124" t="s">
        <v>21</v>
      </c>
      <c r="D46" s="10"/>
      <c r="E46" s="530">
        <f>D45</f>
        <v>17394000</v>
      </c>
      <c r="F46" s="530"/>
      <c r="G46" s="530"/>
      <c r="H46" s="530"/>
      <c r="J46" s="20"/>
      <c r="K46" s="19"/>
      <c r="L46" s="128" t="s">
        <v>21</v>
      </c>
      <c r="M46" s="10"/>
      <c r="N46" s="530">
        <f>M45</f>
        <v>17394000</v>
      </c>
      <c r="O46" s="530"/>
      <c r="P46" s="530"/>
      <c r="Q46" s="530"/>
    </row>
    <row r="47" spans="1:17">
      <c r="A47" s="524" t="s">
        <v>255</v>
      </c>
      <c r="B47" s="524"/>
      <c r="C47" s="524"/>
      <c r="D47" s="524"/>
      <c r="E47" s="524"/>
      <c r="F47" s="524"/>
      <c r="G47" s="524"/>
      <c r="H47" s="524"/>
      <c r="J47" s="524" t="s">
        <v>255</v>
      </c>
      <c r="K47" s="524"/>
      <c r="L47" s="524"/>
      <c r="M47" s="524"/>
      <c r="N47" s="524"/>
      <c r="O47" s="524"/>
      <c r="P47" s="524"/>
      <c r="Q47" s="524"/>
    </row>
    <row r="48" spans="1:17">
      <c r="A48" s="28"/>
      <c r="B48" s="23" t="s">
        <v>296</v>
      </c>
      <c r="C48" s="23" t="s">
        <v>258</v>
      </c>
      <c r="D48" s="23">
        <v>150000</v>
      </c>
      <c r="E48" s="28"/>
      <c r="F48" s="28"/>
      <c r="G48" s="28"/>
      <c r="H48" s="28"/>
      <c r="J48" s="28"/>
      <c r="K48" s="23" t="s">
        <v>296</v>
      </c>
      <c r="L48" s="23" t="s">
        <v>258</v>
      </c>
      <c r="M48" s="23">
        <v>150000</v>
      </c>
      <c r="N48" s="28"/>
      <c r="O48" s="28"/>
      <c r="P48" s="28"/>
      <c r="Q48" s="28"/>
    </row>
    <row r="49" spans="1:17">
      <c r="A49" s="28"/>
      <c r="B49" s="23"/>
      <c r="C49" s="23"/>
      <c r="D49" s="23"/>
      <c r="E49" s="28"/>
      <c r="F49" s="28"/>
      <c r="G49" s="28"/>
      <c r="H49" s="28"/>
      <c r="J49" s="28"/>
      <c r="K49" s="23"/>
      <c r="L49" s="23"/>
      <c r="M49" s="23"/>
      <c r="N49" s="28"/>
      <c r="O49" s="28"/>
      <c r="P49" s="28"/>
      <c r="Q49" s="28"/>
    </row>
    <row r="50" spans="1:17" hidden="1">
      <c r="A50" s="28"/>
      <c r="B50" s="23"/>
      <c r="C50" s="23"/>
      <c r="D50" s="23"/>
      <c r="E50" s="28"/>
      <c r="F50" s="28"/>
      <c r="G50" s="28"/>
      <c r="H50" s="28"/>
      <c r="J50" s="28"/>
      <c r="K50" s="23"/>
      <c r="L50" s="23"/>
      <c r="M50" s="23"/>
      <c r="N50" s="28"/>
      <c r="O50" s="28"/>
      <c r="P50" s="28"/>
      <c r="Q50" s="28"/>
    </row>
    <row r="51" spans="1:17" hidden="1">
      <c r="A51" s="28"/>
      <c r="B51" s="23"/>
      <c r="C51" s="23"/>
      <c r="D51" s="23"/>
      <c r="E51" s="28"/>
      <c r="F51" s="28"/>
      <c r="G51" s="28"/>
      <c r="H51" s="28"/>
      <c r="J51" s="28"/>
      <c r="K51" s="23"/>
      <c r="L51" s="23"/>
      <c r="M51" s="23"/>
      <c r="N51" s="28"/>
      <c r="O51" s="28"/>
      <c r="P51" s="28"/>
      <c r="Q51" s="28"/>
    </row>
    <row r="52" spans="1:17" hidden="1">
      <c r="A52" s="28"/>
      <c r="B52" s="23"/>
      <c r="C52" s="23"/>
      <c r="D52" s="23"/>
      <c r="E52" s="28"/>
      <c r="F52" s="28"/>
      <c r="G52" s="28"/>
      <c r="H52" s="28"/>
      <c r="J52" s="28"/>
      <c r="K52" s="23"/>
      <c r="L52" s="23"/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>
      <c r="A54" s="12"/>
      <c r="B54" s="13"/>
      <c r="C54" s="26" t="s">
        <v>270</v>
      </c>
      <c r="D54" s="27">
        <f>SUM(D48:D52)</f>
        <v>150000</v>
      </c>
      <c r="E54" s="27">
        <v>0</v>
      </c>
      <c r="F54" s="27">
        <v>0</v>
      </c>
      <c r="G54" s="27"/>
      <c r="H54" s="27"/>
      <c r="J54" s="12"/>
      <c r="K54" s="13"/>
      <c r="L54" s="26" t="s">
        <v>270</v>
      </c>
      <c r="M54" s="27">
        <f>SUM(M48:M52)</f>
        <v>150000</v>
      </c>
      <c r="N54" s="27">
        <v>0</v>
      </c>
      <c r="O54" s="27">
        <v>0</v>
      </c>
      <c r="P54" s="27"/>
      <c r="Q54" s="27"/>
    </row>
    <row r="55" spans="1:17">
      <c r="A55" s="20"/>
      <c r="B55" s="19"/>
      <c r="C55" s="124" t="s">
        <v>21</v>
      </c>
      <c r="D55" s="10"/>
      <c r="E55" s="530">
        <f>D54</f>
        <v>150000</v>
      </c>
      <c r="F55" s="530"/>
      <c r="G55" s="530"/>
      <c r="H55" s="530"/>
      <c r="J55" s="20"/>
      <c r="K55" s="19"/>
      <c r="L55" s="128" t="s">
        <v>21</v>
      </c>
      <c r="M55" s="10"/>
      <c r="N55" s="530">
        <f>M54</f>
        <v>150000</v>
      </c>
      <c r="O55" s="530"/>
      <c r="P55" s="530"/>
      <c r="Q55" s="530"/>
    </row>
    <row r="56" spans="1:17">
      <c r="A56" s="524" t="s">
        <v>87</v>
      </c>
      <c r="B56" s="524"/>
      <c r="C56" s="524"/>
      <c r="D56" s="524"/>
      <c r="E56" s="524"/>
      <c r="F56" s="524"/>
      <c r="G56" s="524"/>
      <c r="H56" s="524"/>
      <c r="J56" s="524" t="s">
        <v>87</v>
      </c>
      <c r="K56" s="524"/>
      <c r="L56" s="524"/>
      <c r="M56" s="524"/>
      <c r="N56" s="524"/>
      <c r="O56" s="524"/>
      <c r="P56" s="524"/>
      <c r="Q56" s="524"/>
    </row>
    <row r="57" spans="1:17">
      <c r="A57" s="28"/>
      <c r="B57" s="23" t="s">
        <v>294</v>
      </c>
      <c r="C57" s="23" t="s">
        <v>310</v>
      </c>
      <c r="D57" s="23">
        <v>84000</v>
      </c>
      <c r="E57" s="28"/>
      <c r="F57" s="28"/>
      <c r="G57" s="28"/>
      <c r="H57" s="28"/>
      <c r="J57" s="28"/>
      <c r="K57" s="23" t="s">
        <v>294</v>
      </c>
      <c r="L57" s="23" t="s">
        <v>310</v>
      </c>
      <c r="M57" s="23">
        <v>84000</v>
      </c>
      <c r="N57" s="28"/>
      <c r="O57" s="28"/>
      <c r="P57" s="28"/>
      <c r="Q57" s="28"/>
    </row>
    <row r="58" spans="1:17">
      <c r="A58" s="28"/>
      <c r="B58" s="23" t="s">
        <v>294</v>
      </c>
      <c r="C58" s="23" t="s">
        <v>295</v>
      </c>
      <c r="D58" s="23">
        <f>72000+88000</f>
        <v>160000</v>
      </c>
      <c r="E58" s="28"/>
      <c r="F58" s="28"/>
      <c r="G58" s="28"/>
      <c r="H58" s="28"/>
      <c r="J58" s="28"/>
      <c r="K58" s="23" t="s">
        <v>294</v>
      </c>
      <c r="L58" s="23" t="s">
        <v>295</v>
      </c>
      <c r="M58" s="23">
        <f>72000+88000</f>
        <v>160000</v>
      </c>
      <c r="N58" s="28"/>
      <c r="O58" s="28"/>
      <c r="P58" s="28"/>
      <c r="Q58" s="28"/>
    </row>
    <row r="59" spans="1:17">
      <c r="A59" s="28"/>
      <c r="B59" s="23"/>
      <c r="C59" s="23"/>
      <c r="D59" s="23"/>
      <c r="E59" s="28"/>
      <c r="F59" s="28"/>
      <c r="G59" s="28"/>
      <c r="H59" s="28"/>
      <c r="J59" s="28"/>
      <c r="K59" s="23"/>
      <c r="L59" s="23"/>
      <c r="M59" s="23"/>
      <c r="N59" s="28"/>
      <c r="O59" s="28"/>
      <c r="P59" s="28"/>
      <c r="Q59" s="28"/>
    </row>
    <row r="60" spans="1:17">
      <c r="A60" s="12"/>
      <c r="B60" s="13"/>
      <c r="C60" s="26" t="s">
        <v>166</v>
      </c>
      <c r="D60" s="27">
        <f>SUM(D57:D58)</f>
        <v>244000</v>
      </c>
      <c r="E60" s="27">
        <v>0</v>
      </c>
      <c r="F60" s="27">
        <v>0</v>
      </c>
      <c r="G60" s="27"/>
      <c r="H60" s="27"/>
      <c r="J60" s="12"/>
      <c r="K60" s="13"/>
      <c r="L60" s="26" t="s">
        <v>166</v>
      </c>
      <c r="M60" s="27">
        <f>SUM(M57:M58)</f>
        <v>244000</v>
      </c>
      <c r="N60" s="27">
        <v>0</v>
      </c>
      <c r="O60" s="27">
        <v>0</v>
      </c>
      <c r="P60" s="27"/>
      <c r="Q60" s="27"/>
    </row>
    <row r="61" spans="1:17">
      <c r="A61" s="20"/>
      <c r="B61" s="19"/>
      <c r="C61" s="124" t="s">
        <v>21</v>
      </c>
      <c r="D61" s="10"/>
      <c r="E61" s="530">
        <f>D60</f>
        <v>244000</v>
      </c>
      <c r="F61" s="530"/>
      <c r="G61" s="530"/>
      <c r="H61" s="530"/>
      <c r="J61" s="20"/>
      <c r="K61" s="19"/>
      <c r="L61" s="128" t="s">
        <v>21</v>
      </c>
      <c r="M61" s="10"/>
      <c r="N61" s="530">
        <f>M60</f>
        <v>244000</v>
      </c>
      <c r="O61" s="530"/>
      <c r="P61" s="530"/>
      <c r="Q61" s="530"/>
    </row>
    <row r="62" spans="1:17">
      <c r="A62" s="524" t="s">
        <v>54</v>
      </c>
      <c r="B62" s="524"/>
      <c r="C62" s="524"/>
      <c r="D62" s="524"/>
      <c r="E62" s="524"/>
      <c r="F62" s="524"/>
      <c r="G62" s="524"/>
      <c r="H62" s="524"/>
      <c r="J62" s="524" t="s">
        <v>54</v>
      </c>
      <c r="K62" s="524"/>
      <c r="L62" s="524"/>
      <c r="M62" s="524"/>
      <c r="N62" s="524"/>
      <c r="O62" s="524"/>
      <c r="P62" s="524"/>
      <c r="Q62" s="524"/>
    </row>
    <row r="63" spans="1:17">
      <c r="A63" s="28"/>
      <c r="B63" s="19" t="s">
        <v>307</v>
      </c>
      <c r="C63" s="23" t="s">
        <v>263</v>
      </c>
      <c r="D63" s="23">
        <v>1320000</v>
      </c>
      <c r="E63" s="28"/>
      <c r="F63" s="28"/>
      <c r="G63" s="28"/>
      <c r="H63" s="28"/>
      <c r="J63" s="28"/>
      <c r="K63" s="19" t="s">
        <v>307</v>
      </c>
      <c r="L63" s="23" t="s">
        <v>263</v>
      </c>
      <c r="M63" s="23">
        <v>1320000</v>
      </c>
      <c r="N63" s="28"/>
      <c r="O63" s="28"/>
      <c r="P63" s="28"/>
      <c r="Q63" s="28"/>
    </row>
    <row r="64" spans="1:17">
      <c r="A64" s="28"/>
      <c r="B64" s="19" t="s">
        <v>307</v>
      </c>
      <c r="C64" s="23" t="s">
        <v>262</v>
      </c>
      <c r="D64" s="23">
        <v>600000</v>
      </c>
      <c r="E64" s="28"/>
      <c r="F64" s="28"/>
      <c r="G64" s="28"/>
      <c r="H64" s="28"/>
      <c r="J64" s="28"/>
      <c r="K64" s="19" t="s">
        <v>307</v>
      </c>
      <c r="L64" s="23" t="s">
        <v>262</v>
      </c>
      <c r="M64" s="23">
        <v>600000</v>
      </c>
      <c r="N64" s="28"/>
      <c r="O64" s="28"/>
      <c r="P64" s="28"/>
      <c r="Q64" s="28"/>
    </row>
    <row r="65" spans="1:25">
      <c r="A65" s="28"/>
      <c r="B65" s="19" t="s">
        <v>307</v>
      </c>
      <c r="C65" s="23" t="s">
        <v>305</v>
      </c>
      <c r="D65" s="23">
        <v>5000000</v>
      </c>
      <c r="E65" s="28"/>
      <c r="F65" s="28"/>
      <c r="G65" s="28"/>
      <c r="H65" s="28"/>
      <c r="J65" s="28"/>
      <c r="K65" s="19" t="s">
        <v>307</v>
      </c>
      <c r="L65" s="23" t="s">
        <v>305</v>
      </c>
      <c r="M65" s="23">
        <v>5000000</v>
      </c>
      <c r="N65" s="28"/>
      <c r="O65" s="28"/>
      <c r="P65" s="28"/>
      <c r="Q65" s="28"/>
      <c r="V65" t="s">
        <v>321</v>
      </c>
      <c r="W65" s="77">
        <v>120000</v>
      </c>
      <c r="X65" t="s">
        <v>325</v>
      </c>
      <c r="Y65" s="77">
        <f>W65*5</f>
        <v>600000</v>
      </c>
    </row>
    <row r="66" spans="1:25">
      <c r="A66" s="28"/>
      <c r="B66" s="19" t="s">
        <v>307</v>
      </c>
      <c r="C66" s="23" t="s">
        <v>306</v>
      </c>
      <c r="D66" s="23">
        <f>300000+1485000</f>
        <v>1785000</v>
      </c>
      <c r="E66" s="28"/>
      <c r="F66" s="28"/>
      <c r="G66" s="28"/>
      <c r="H66" s="28"/>
      <c r="J66" s="28"/>
      <c r="K66" s="19" t="s">
        <v>307</v>
      </c>
      <c r="L66" s="23" t="s">
        <v>306</v>
      </c>
      <c r="M66" s="23">
        <f>300000+1485000</f>
        <v>1785000</v>
      </c>
      <c r="N66" s="28"/>
      <c r="O66" s="28"/>
      <c r="P66" s="28"/>
      <c r="Q66" s="28"/>
      <c r="V66" t="s">
        <v>322</v>
      </c>
      <c r="W66" s="77">
        <v>130000</v>
      </c>
      <c r="X66" t="s">
        <v>324</v>
      </c>
      <c r="Y66" s="77">
        <f>130000*2</f>
        <v>260000</v>
      </c>
    </row>
    <row r="67" spans="1:25">
      <c r="A67" s="12"/>
      <c r="B67" s="19" t="s">
        <v>307</v>
      </c>
      <c r="C67" s="24" t="s">
        <v>308</v>
      </c>
      <c r="D67" s="23">
        <v>24000</v>
      </c>
      <c r="E67" s="124"/>
      <c r="F67" s="124"/>
      <c r="G67" s="124"/>
      <c r="H67" s="124"/>
      <c r="J67" s="12"/>
      <c r="K67" s="19" t="s">
        <v>307</v>
      </c>
      <c r="L67" s="24" t="s">
        <v>308</v>
      </c>
      <c r="M67" s="23">
        <v>24000</v>
      </c>
      <c r="N67" s="128"/>
      <c r="O67" s="128"/>
      <c r="P67" s="128"/>
      <c r="Q67" s="128"/>
      <c r="V67" t="s">
        <v>323</v>
      </c>
      <c r="W67" s="77">
        <v>125000</v>
      </c>
      <c r="X67" t="s">
        <v>325</v>
      </c>
      <c r="Y67" s="77">
        <f>125000*5</f>
        <v>625000</v>
      </c>
    </row>
    <row r="68" spans="1:25">
      <c r="A68" s="12"/>
      <c r="B68" s="19"/>
      <c r="C68" s="24"/>
      <c r="D68" s="23"/>
      <c r="E68" s="124"/>
      <c r="F68" s="124"/>
      <c r="G68" s="124"/>
      <c r="H68" s="124"/>
      <c r="J68" s="12"/>
      <c r="K68" s="19"/>
      <c r="L68" s="24"/>
      <c r="M68" s="23"/>
      <c r="N68" s="128"/>
      <c r="O68" s="128"/>
      <c r="P68" s="128"/>
      <c r="Q68" s="128"/>
    </row>
    <row r="69" spans="1:25">
      <c r="A69" s="12"/>
      <c r="B69" s="13"/>
      <c r="C69" s="26" t="s">
        <v>55</v>
      </c>
      <c r="D69" s="27">
        <f>SUM(D63:D67)</f>
        <v>8729000</v>
      </c>
      <c r="E69" s="27">
        <v>0</v>
      </c>
      <c r="F69" s="27">
        <v>0</v>
      </c>
      <c r="G69" s="27"/>
      <c r="H69" s="27"/>
      <c r="J69" s="12"/>
      <c r="K69" s="13"/>
      <c r="L69" s="26" t="s">
        <v>55</v>
      </c>
      <c r="M69" s="27">
        <f>SUM(M63:M67)</f>
        <v>8729000</v>
      </c>
      <c r="N69" s="27">
        <v>0</v>
      </c>
      <c r="O69" s="27">
        <v>0</v>
      </c>
      <c r="P69" s="27"/>
      <c r="Q69" s="27"/>
      <c r="Y69" s="135">
        <f>SUM(Y65:Y68)</f>
        <v>1485000</v>
      </c>
    </row>
    <row r="70" spans="1:25">
      <c r="A70" s="20"/>
      <c r="B70" s="19"/>
      <c r="C70" s="124" t="s">
        <v>21</v>
      </c>
      <c r="D70" s="10"/>
      <c r="E70" s="530">
        <f>D69</f>
        <v>8729000</v>
      </c>
      <c r="F70" s="530"/>
      <c r="G70" s="530"/>
      <c r="H70" s="530"/>
      <c r="J70" s="20"/>
      <c r="K70" s="19"/>
      <c r="L70" s="128" t="s">
        <v>21</v>
      </c>
      <c r="M70" s="10"/>
      <c r="N70" s="530">
        <f>M69</f>
        <v>8729000</v>
      </c>
      <c r="O70" s="530"/>
      <c r="P70" s="530"/>
      <c r="Q70" s="530"/>
    </row>
    <row r="71" spans="1:25">
      <c r="A71" s="524" t="s">
        <v>144</v>
      </c>
      <c r="B71" s="524"/>
      <c r="C71" s="524"/>
      <c r="D71" s="524"/>
      <c r="E71" s="524"/>
      <c r="F71" s="524"/>
      <c r="G71" s="524"/>
      <c r="H71" s="524"/>
      <c r="J71" s="524" t="s">
        <v>144</v>
      </c>
      <c r="K71" s="524"/>
      <c r="L71" s="524"/>
      <c r="M71" s="524"/>
      <c r="N71" s="524"/>
      <c r="O71" s="524"/>
      <c r="P71" s="524"/>
      <c r="Q71" s="524"/>
    </row>
    <row r="72" spans="1:25">
      <c r="A72" s="28"/>
      <c r="B72" s="23" t="s">
        <v>291</v>
      </c>
      <c r="C72" s="23" t="s">
        <v>246</v>
      </c>
      <c r="D72" s="23">
        <v>1625000</v>
      </c>
      <c r="E72" s="28"/>
      <c r="F72" s="28"/>
      <c r="G72" s="28"/>
      <c r="H72" s="28"/>
      <c r="J72" s="28"/>
      <c r="K72" s="23" t="s">
        <v>291</v>
      </c>
      <c r="L72" s="23" t="s">
        <v>246</v>
      </c>
      <c r="M72" s="23">
        <v>1625000</v>
      </c>
      <c r="N72" s="28"/>
      <c r="O72" s="28"/>
      <c r="P72" s="28"/>
      <c r="Q72" s="28"/>
    </row>
    <row r="73" spans="1:25">
      <c r="A73" s="28"/>
      <c r="B73" s="23" t="s">
        <v>291</v>
      </c>
      <c r="C73" s="23" t="s">
        <v>292</v>
      </c>
      <c r="D73" s="23">
        <v>450000</v>
      </c>
      <c r="E73" s="28"/>
      <c r="F73" s="28"/>
      <c r="G73" s="28"/>
      <c r="H73" s="28"/>
      <c r="J73" s="28"/>
      <c r="K73" s="23" t="s">
        <v>291</v>
      </c>
      <c r="L73" s="23" t="s">
        <v>292</v>
      </c>
      <c r="M73" s="23">
        <v>450000</v>
      </c>
      <c r="N73" s="28"/>
      <c r="O73" s="28"/>
      <c r="P73" s="28"/>
      <c r="Q73" s="28"/>
    </row>
    <row r="74" spans="1:25">
      <c r="A74" s="12"/>
      <c r="B74" s="19"/>
      <c r="C74" s="24"/>
      <c r="D74" s="23"/>
      <c r="E74" s="124"/>
      <c r="F74" s="124"/>
      <c r="G74" s="124"/>
      <c r="H74" s="124"/>
      <c r="J74" s="12"/>
      <c r="K74" s="19"/>
      <c r="L74" s="24"/>
      <c r="M74" s="23"/>
      <c r="N74" s="128"/>
      <c r="O74" s="128"/>
      <c r="P74" s="128"/>
      <c r="Q74" s="128"/>
    </row>
    <row r="75" spans="1:25">
      <c r="A75" s="12"/>
      <c r="B75" s="13"/>
      <c r="C75" s="26" t="s">
        <v>196</v>
      </c>
      <c r="D75" s="27">
        <f>SUM(D72:D74)</f>
        <v>2075000</v>
      </c>
      <c r="E75" s="27">
        <v>0</v>
      </c>
      <c r="F75" s="27">
        <v>0</v>
      </c>
      <c r="G75" s="27"/>
      <c r="H75" s="27"/>
      <c r="J75" s="12"/>
      <c r="K75" s="13"/>
      <c r="L75" s="26" t="s">
        <v>196</v>
      </c>
      <c r="M75" s="27">
        <f>SUM(M72:M74)</f>
        <v>2075000</v>
      </c>
      <c r="N75" s="27">
        <v>0</v>
      </c>
      <c r="O75" s="27">
        <v>0</v>
      </c>
      <c r="P75" s="27"/>
      <c r="Q75" s="27"/>
    </row>
    <row r="76" spans="1:25">
      <c r="A76" s="20"/>
      <c r="B76" s="19"/>
      <c r="C76" s="124" t="s">
        <v>21</v>
      </c>
      <c r="D76" s="10"/>
      <c r="E76" s="530">
        <f>D75</f>
        <v>2075000</v>
      </c>
      <c r="F76" s="530"/>
      <c r="G76" s="530"/>
      <c r="H76" s="530"/>
      <c r="J76" s="20"/>
      <c r="K76" s="19"/>
      <c r="L76" s="128" t="s">
        <v>21</v>
      </c>
      <c r="M76" s="10"/>
      <c r="N76" s="530">
        <f>M75</f>
        <v>2075000</v>
      </c>
      <c r="O76" s="530"/>
      <c r="P76" s="530"/>
      <c r="Q76" s="530"/>
    </row>
    <row r="77" spans="1:25">
      <c r="A77" s="527" t="s">
        <v>26</v>
      </c>
      <c r="B77" s="528"/>
      <c r="C77" s="528"/>
      <c r="D77" s="528"/>
      <c r="E77" s="528"/>
      <c r="F77" s="528"/>
      <c r="G77" s="528"/>
      <c r="H77" s="529"/>
      <c r="J77" s="527" t="s">
        <v>26</v>
      </c>
      <c r="K77" s="528"/>
      <c r="L77" s="528"/>
      <c r="M77" s="528"/>
      <c r="N77" s="528"/>
      <c r="O77" s="528"/>
      <c r="P77" s="528"/>
      <c r="Q77" s="529"/>
    </row>
    <row r="78" spans="1:25">
      <c r="A78" s="12"/>
      <c r="B78" s="19" t="s">
        <v>232</v>
      </c>
      <c r="C78" s="23" t="s">
        <v>233</v>
      </c>
      <c r="D78" s="23">
        <v>220000</v>
      </c>
      <c r="E78" s="22"/>
      <c r="F78" s="22"/>
      <c r="G78" s="16"/>
      <c r="H78" s="16"/>
      <c r="J78" s="12"/>
      <c r="K78" s="19" t="s">
        <v>232</v>
      </c>
      <c r="L78" s="23" t="s">
        <v>233</v>
      </c>
      <c r="M78" s="23">
        <v>220000</v>
      </c>
      <c r="N78" s="22"/>
      <c r="O78" s="22"/>
      <c r="P78" s="16"/>
      <c r="Q78" s="16"/>
    </row>
    <row r="79" spans="1:25">
      <c r="A79" s="12"/>
      <c r="B79" s="19" t="s">
        <v>232</v>
      </c>
      <c r="C79" s="23" t="s">
        <v>234</v>
      </c>
      <c r="D79" s="23">
        <v>75000</v>
      </c>
      <c r="E79" s="22"/>
      <c r="F79" s="22"/>
      <c r="G79" s="16"/>
      <c r="H79" s="16"/>
      <c r="J79" s="12"/>
      <c r="K79" s="19" t="s">
        <v>232</v>
      </c>
      <c r="L79" s="23" t="s">
        <v>234</v>
      </c>
      <c r="M79" s="23">
        <v>75000</v>
      </c>
      <c r="N79" s="22"/>
      <c r="O79" s="22"/>
      <c r="P79" s="16"/>
      <c r="Q79" s="16"/>
    </row>
    <row r="80" spans="1:25">
      <c r="A80" s="12"/>
      <c r="B80" s="19" t="s">
        <v>232</v>
      </c>
      <c r="C80" s="24" t="s">
        <v>243</v>
      </c>
      <c r="D80" s="23">
        <v>736000</v>
      </c>
      <c r="E80" s="22"/>
      <c r="F80" s="22"/>
      <c r="G80" s="16"/>
      <c r="H80" s="16"/>
      <c r="J80" s="12"/>
      <c r="K80" s="19" t="s">
        <v>232</v>
      </c>
      <c r="L80" s="24" t="s">
        <v>243</v>
      </c>
      <c r="M80" s="23">
        <v>736000</v>
      </c>
      <c r="N80" s="22"/>
      <c r="O80" s="22"/>
      <c r="P80" s="16"/>
      <c r="Q80" s="16"/>
    </row>
    <row r="81" spans="1:17">
      <c r="A81" s="12"/>
      <c r="B81" s="19" t="s">
        <v>266</v>
      </c>
      <c r="C81" s="24" t="s">
        <v>267</v>
      </c>
      <c r="D81" s="23">
        <v>414000</v>
      </c>
      <c r="E81" s="22"/>
      <c r="F81" s="22"/>
      <c r="G81" s="16"/>
      <c r="H81" s="16"/>
      <c r="J81" s="12"/>
      <c r="K81" s="19" t="s">
        <v>266</v>
      </c>
      <c r="L81" s="24" t="s">
        <v>267</v>
      </c>
      <c r="M81" s="23">
        <v>414000</v>
      </c>
      <c r="N81" s="22"/>
      <c r="O81" s="22"/>
      <c r="P81" s="16"/>
      <c r="Q81" s="16"/>
    </row>
    <row r="82" spans="1:17">
      <c r="A82" s="12"/>
      <c r="B82" s="19" t="s">
        <v>289</v>
      </c>
      <c r="C82" s="24" t="s">
        <v>286</v>
      </c>
      <c r="D82" s="23">
        <v>2465000</v>
      </c>
      <c r="E82" s="22"/>
      <c r="F82" s="22"/>
      <c r="G82" s="16"/>
      <c r="H82" s="16"/>
      <c r="J82" s="12"/>
      <c r="K82" s="19" t="s">
        <v>289</v>
      </c>
      <c r="L82" s="24" t="s">
        <v>286</v>
      </c>
      <c r="M82" s="23"/>
      <c r="N82" s="22"/>
      <c r="O82" s="22"/>
      <c r="P82" s="16"/>
      <c r="Q82" s="16"/>
    </row>
    <row r="83" spans="1:17">
      <c r="A83" s="12"/>
      <c r="B83" s="19" t="s">
        <v>290</v>
      </c>
      <c r="C83" s="24" t="s">
        <v>287</v>
      </c>
      <c r="D83" s="23">
        <v>389900</v>
      </c>
      <c r="E83" s="22"/>
      <c r="F83" s="22"/>
      <c r="G83" s="16"/>
      <c r="H83" s="16"/>
      <c r="J83" s="12"/>
      <c r="K83" s="19" t="s">
        <v>290</v>
      </c>
      <c r="L83" s="24" t="s">
        <v>287</v>
      </c>
      <c r="M83" s="23">
        <v>389900</v>
      </c>
      <c r="N83" s="22"/>
      <c r="O83" s="22"/>
      <c r="P83" s="16"/>
      <c r="Q83" s="16"/>
    </row>
    <row r="84" spans="1:17">
      <c r="A84" s="12"/>
      <c r="B84" s="19" t="s">
        <v>290</v>
      </c>
      <c r="C84" s="23" t="s">
        <v>288</v>
      </c>
      <c r="D84" s="23">
        <v>947000</v>
      </c>
      <c r="E84" s="22"/>
      <c r="F84" s="22"/>
      <c r="G84" s="16"/>
      <c r="H84" s="16"/>
      <c r="J84" s="12"/>
      <c r="K84" s="19" t="s">
        <v>290</v>
      </c>
      <c r="L84" s="23" t="s">
        <v>288</v>
      </c>
      <c r="M84" s="23">
        <v>947000</v>
      </c>
      <c r="N84" s="22"/>
      <c r="O84" s="22"/>
      <c r="P84" s="16"/>
      <c r="Q84" s="16"/>
    </row>
    <row r="85" spans="1:17">
      <c r="A85" s="12"/>
      <c r="B85" s="19" t="s">
        <v>290</v>
      </c>
      <c r="C85" s="23" t="s">
        <v>301</v>
      </c>
      <c r="D85" s="23">
        <v>317750</v>
      </c>
      <c r="E85" s="22"/>
      <c r="F85" s="22"/>
      <c r="G85" s="16"/>
      <c r="H85" s="16"/>
      <c r="J85" s="12"/>
      <c r="K85" s="19" t="s">
        <v>290</v>
      </c>
      <c r="L85" s="23" t="s">
        <v>301</v>
      </c>
      <c r="M85" s="23">
        <v>317750</v>
      </c>
      <c r="N85" s="22"/>
      <c r="O85" s="22"/>
      <c r="P85" s="16"/>
      <c r="Q85" s="16"/>
    </row>
    <row r="86" spans="1:17">
      <c r="A86" s="12"/>
      <c r="B86" s="19" t="s">
        <v>290</v>
      </c>
      <c r="C86" s="23" t="s">
        <v>302</v>
      </c>
      <c r="D86" s="23">
        <v>228000</v>
      </c>
      <c r="E86" s="22"/>
      <c r="F86" s="22"/>
      <c r="G86" s="16"/>
      <c r="H86" s="16"/>
      <c r="J86" s="12"/>
      <c r="K86" s="19" t="s">
        <v>290</v>
      </c>
      <c r="L86" s="23" t="s">
        <v>302</v>
      </c>
      <c r="M86" s="23">
        <v>228000</v>
      </c>
      <c r="N86" s="22"/>
      <c r="O86" s="22"/>
      <c r="P86" s="16"/>
      <c r="Q86" s="16"/>
    </row>
    <row r="87" spans="1:17">
      <c r="A87" s="12"/>
      <c r="B87" s="19" t="s">
        <v>303</v>
      </c>
      <c r="C87" s="24" t="s">
        <v>304</v>
      </c>
      <c r="D87" s="23">
        <v>363500</v>
      </c>
      <c r="E87" s="22"/>
      <c r="F87" s="22"/>
      <c r="G87" s="16"/>
      <c r="H87" s="16"/>
      <c r="J87" s="12"/>
      <c r="K87" s="19" t="s">
        <v>303</v>
      </c>
      <c r="L87" s="24" t="s">
        <v>304</v>
      </c>
      <c r="M87" s="23"/>
      <c r="N87" s="22"/>
      <c r="O87" s="22"/>
      <c r="P87" s="16"/>
      <c r="Q87" s="16"/>
    </row>
    <row r="88" spans="1:17">
      <c r="A88" s="12"/>
      <c r="B88" s="19"/>
      <c r="C88" s="24"/>
      <c r="D88" s="23"/>
      <c r="E88" s="22"/>
      <c r="F88" s="22"/>
      <c r="G88" s="16"/>
      <c r="H88" s="16"/>
      <c r="J88" s="12"/>
      <c r="K88" s="19"/>
      <c r="L88" s="24"/>
      <c r="M88" s="23"/>
      <c r="N88" s="22"/>
      <c r="O88" s="22"/>
      <c r="P88" s="16"/>
      <c r="Q88" s="16"/>
    </row>
    <row r="89" spans="1:17">
      <c r="A89" s="25"/>
      <c r="B89" s="19"/>
      <c r="C89" s="26" t="s">
        <v>31</v>
      </c>
      <c r="D89" s="27">
        <f>SUM(D78:D88)</f>
        <v>6156150</v>
      </c>
      <c r="E89" s="27"/>
      <c r="F89" s="27"/>
      <c r="G89" s="27"/>
      <c r="H89" s="27"/>
      <c r="J89" s="25"/>
      <c r="K89" s="19"/>
      <c r="L89" s="26" t="s">
        <v>31</v>
      </c>
      <c r="M89" s="27">
        <f>SUM(M78:M88)</f>
        <v>3327650</v>
      </c>
      <c r="N89" s="27"/>
      <c r="O89" s="27"/>
      <c r="P89" s="27"/>
      <c r="Q89" s="27"/>
    </row>
    <row r="90" spans="1:17">
      <c r="A90" s="20"/>
      <c r="B90" s="19"/>
      <c r="C90" s="124" t="s">
        <v>21</v>
      </c>
      <c r="D90" s="10"/>
      <c r="E90" s="530">
        <f>D89</f>
        <v>6156150</v>
      </c>
      <c r="F90" s="530"/>
      <c r="G90" s="530"/>
      <c r="H90" s="530"/>
      <c r="J90" s="20"/>
      <c r="K90" s="19"/>
      <c r="L90" s="128" t="s">
        <v>21</v>
      </c>
      <c r="M90" s="10"/>
      <c r="N90" s="530">
        <f>M89</f>
        <v>3327650</v>
      </c>
      <c r="O90" s="530"/>
      <c r="P90" s="530"/>
      <c r="Q90" s="530"/>
    </row>
    <row r="91" spans="1:17">
      <c r="A91" s="527" t="s">
        <v>32</v>
      </c>
      <c r="B91" s="528"/>
      <c r="C91" s="528"/>
      <c r="D91" s="528"/>
      <c r="E91" s="528"/>
      <c r="F91" s="528"/>
      <c r="G91" s="528"/>
      <c r="H91" s="529"/>
      <c r="J91" s="527" t="s">
        <v>32</v>
      </c>
      <c r="K91" s="528"/>
      <c r="L91" s="528"/>
      <c r="M91" s="528"/>
      <c r="N91" s="528"/>
      <c r="O91" s="528"/>
      <c r="P91" s="528"/>
      <c r="Q91" s="529"/>
    </row>
    <row r="92" spans="1:17">
      <c r="A92" s="12"/>
      <c r="B92" s="13"/>
      <c r="C92" s="22"/>
      <c r="D92" s="22"/>
      <c r="E92" s="124"/>
      <c r="F92" s="124"/>
      <c r="G92" s="124"/>
      <c r="H92" s="124"/>
      <c r="J92" s="12"/>
      <c r="K92" s="13"/>
      <c r="L92" s="22"/>
      <c r="M92" s="22"/>
      <c r="N92" s="128"/>
      <c r="O92" s="128"/>
      <c r="P92" s="128"/>
      <c r="Q92" s="128"/>
    </row>
    <row r="93" spans="1:17">
      <c r="A93" s="12"/>
      <c r="B93" s="13"/>
      <c r="C93" s="22"/>
      <c r="D93" s="29"/>
      <c r="E93" s="124"/>
      <c r="F93" s="124"/>
      <c r="G93" s="124"/>
      <c r="H93" s="124"/>
      <c r="J93" s="12"/>
      <c r="K93" s="13"/>
      <c r="L93" s="22"/>
      <c r="M93" s="29"/>
      <c r="N93" s="128"/>
      <c r="O93" s="128"/>
      <c r="P93" s="128"/>
      <c r="Q93" s="128"/>
    </row>
    <row r="94" spans="1:17">
      <c r="A94" s="12"/>
      <c r="B94" s="13"/>
      <c r="C94" s="26" t="s">
        <v>34</v>
      </c>
      <c r="D94" s="27">
        <f>SUM(D92:D93)</f>
        <v>0</v>
      </c>
      <c r="E94" s="27">
        <v>0</v>
      </c>
      <c r="F94" s="27">
        <v>0</v>
      </c>
      <c r="G94" s="27"/>
      <c r="H94" s="27"/>
      <c r="J94" s="12"/>
      <c r="K94" s="13"/>
      <c r="L94" s="26" t="s">
        <v>34</v>
      </c>
      <c r="M94" s="27">
        <f>SUM(M92:M93)</f>
        <v>0</v>
      </c>
      <c r="N94" s="27">
        <v>0</v>
      </c>
      <c r="O94" s="27">
        <v>0</v>
      </c>
      <c r="P94" s="27"/>
      <c r="Q94" s="27"/>
    </row>
    <row r="95" spans="1:17">
      <c r="A95" s="20"/>
      <c r="B95" s="19"/>
      <c r="C95" s="124" t="s">
        <v>21</v>
      </c>
      <c r="D95" s="10"/>
      <c r="E95" s="531">
        <f>D94</f>
        <v>0</v>
      </c>
      <c r="F95" s="532"/>
      <c r="G95" s="532"/>
      <c r="H95" s="533"/>
      <c r="J95" s="20"/>
      <c r="K95" s="19"/>
      <c r="L95" s="128" t="s">
        <v>21</v>
      </c>
      <c r="M95" s="10"/>
      <c r="N95" s="531">
        <f>M94</f>
        <v>0</v>
      </c>
      <c r="O95" s="532"/>
      <c r="P95" s="532"/>
      <c r="Q95" s="533"/>
    </row>
    <row r="96" spans="1:17">
      <c r="A96" s="525" t="s">
        <v>35</v>
      </c>
      <c r="B96" s="525"/>
      <c r="C96" s="525"/>
      <c r="D96" s="122"/>
      <c r="E96" s="526">
        <f>E46+E55+E90+E95+E70+E76+E61</f>
        <v>34748150</v>
      </c>
      <c r="F96" s="526"/>
      <c r="G96" s="526"/>
      <c r="H96" s="526"/>
      <c r="J96" s="525" t="s">
        <v>35</v>
      </c>
      <c r="K96" s="525"/>
      <c r="L96" s="525"/>
      <c r="M96" s="126"/>
      <c r="N96" s="526">
        <f>N46+N55+N90+N95+N70+N76+N61</f>
        <v>31919650</v>
      </c>
      <c r="O96" s="526"/>
      <c r="P96" s="526"/>
      <c r="Q96" s="526"/>
    </row>
    <row r="97" spans="1:17">
      <c r="A97" s="522" t="s">
        <v>36</v>
      </c>
      <c r="B97" s="522"/>
      <c r="C97" s="522"/>
      <c r="D97" s="121"/>
      <c r="E97" s="523">
        <f>+E31+E96</f>
        <v>38538150</v>
      </c>
      <c r="F97" s="523"/>
      <c r="G97" s="523"/>
      <c r="H97" s="523"/>
      <c r="J97" s="522" t="s">
        <v>36</v>
      </c>
      <c r="K97" s="522"/>
      <c r="L97" s="522"/>
      <c r="M97" s="125"/>
      <c r="N97" s="523">
        <f>+N31+N96</f>
        <v>34589650</v>
      </c>
      <c r="O97" s="523"/>
      <c r="P97" s="523"/>
      <c r="Q97" s="523"/>
    </row>
    <row r="98" spans="1:17">
      <c r="A98" s="524" t="s">
        <v>32</v>
      </c>
      <c r="B98" s="524"/>
      <c r="C98" s="524"/>
      <c r="D98" s="524"/>
      <c r="E98" s="524"/>
      <c r="F98" s="524"/>
      <c r="G98" s="524"/>
      <c r="H98" s="524"/>
      <c r="J98" s="524" t="s">
        <v>32</v>
      </c>
      <c r="K98" s="524"/>
      <c r="L98" s="524"/>
      <c r="M98" s="524"/>
      <c r="N98" s="524"/>
      <c r="O98" s="524"/>
      <c r="P98" s="524"/>
      <c r="Q98" s="524"/>
    </row>
    <row r="99" spans="1:17">
      <c r="A99" s="33"/>
      <c r="B99" s="13"/>
      <c r="C99" s="22"/>
      <c r="D99" s="22"/>
      <c r="E99" s="22"/>
      <c r="F99" s="22"/>
      <c r="G99" s="16"/>
      <c r="H99" s="16"/>
      <c r="J99" s="33"/>
      <c r="K99" s="13"/>
      <c r="L99" s="22"/>
      <c r="M99" s="22"/>
      <c r="N99" s="22"/>
      <c r="O99" s="22"/>
      <c r="P99" s="16"/>
      <c r="Q99" s="16"/>
    </row>
    <row r="100" spans="1:17">
      <c r="A100" s="33"/>
      <c r="B100" s="13"/>
      <c r="C100" s="22"/>
      <c r="D100" s="22"/>
      <c r="E100" s="22"/>
      <c r="F100" s="22"/>
      <c r="G100" s="16"/>
      <c r="H100" s="16"/>
      <c r="J100" s="33"/>
      <c r="K100" s="13"/>
      <c r="L100" s="22"/>
      <c r="M100" s="22"/>
      <c r="N100" s="22"/>
      <c r="O100" s="22"/>
      <c r="P100" s="16"/>
      <c r="Q100" s="16"/>
    </row>
    <row r="101" spans="1:17">
      <c r="A101" s="33"/>
      <c r="B101" s="13"/>
      <c r="C101" s="22"/>
      <c r="D101" s="22"/>
      <c r="E101" s="22"/>
      <c r="F101" s="22"/>
      <c r="G101" s="16"/>
      <c r="H101" s="16"/>
      <c r="J101" s="33"/>
      <c r="K101" s="13"/>
      <c r="L101" s="22"/>
      <c r="M101" s="22"/>
      <c r="N101" s="22"/>
      <c r="O101" s="22"/>
      <c r="P101" s="16"/>
      <c r="Q101" s="16"/>
    </row>
    <row r="102" spans="1:17">
      <c r="A102" s="20"/>
      <c r="B102" s="13"/>
      <c r="C102" s="22"/>
      <c r="D102" s="22"/>
      <c r="E102" s="22"/>
      <c r="F102" s="16"/>
      <c r="G102" s="16"/>
      <c r="H102" s="16"/>
      <c r="J102" s="20"/>
      <c r="K102" s="13"/>
      <c r="L102" s="22"/>
      <c r="M102" s="22"/>
      <c r="N102" s="22"/>
      <c r="O102" s="16"/>
      <c r="P102" s="16"/>
      <c r="Q102" s="16"/>
    </row>
    <row r="103" spans="1:17">
      <c r="A103" s="20"/>
      <c r="B103" s="13"/>
      <c r="C103" s="22"/>
      <c r="D103" s="22"/>
      <c r="E103" s="22"/>
      <c r="F103" s="16"/>
      <c r="G103" s="16"/>
      <c r="H103" s="16"/>
      <c r="J103" s="20"/>
      <c r="K103" s="13"/>
      <c r="L103" s="22"/>
      <c r="M103" s="22"/>
      <c r="N103" s="22"/>
      <c r="O103" s="16"/>
      <c r="P103" s="16"/>
      <c r="Q103" s="16"/>
    </row>
    <row r="104" spans="1:17">
      <c r="A104" s="525" t="s">
        <v>37</v>
      </c>
      <c r="B104" s="525"/>
      <c r="C104" s="525"/>
      <c r="D104" s="122">
        <f>SUM(D99:D103)</f>
        <v>0</v>
      </c>
      <c r="E104" s="526"/>
      <c r="F104" s="526"/>
      <c r="G104" s="526"/>
      <c r="H104" s="526"/>
      <c r="J104" s="525" t="s">
        <v>37</v>
      </c>
      <c r="K104" s="525"/>
      <c r="L104" s="525"/>
      <c r="M104" s="126">
        <f>SUM(M99:M103)</f>
        <v>0</v>
      </c>
      <c r="N104" s="526"/>
      <c r="O104" s="526"/>
      <c r="P104" s="526"/>
      <c r="Q104" s="526"/>
    </row>
    <row r="105" spans="1:17">
      <c r="A105" s="34" t="s">
        <v>38</v>
      </c>
      <c r="B105" s="35"/>
      <c r="C105" s="122"/>
      <c r="D105" s="122"/>
      <c r="E105" s="123"/>
      <c r="F105" s="123"/>
      <c r="G105" s="526"/>
      <c r="H105" s="526"/>
      <c r="J105" s="34" t="s">
        <v>38</v>
      </c>
      <c r="K105" s="35"/>
      <c r="L105" s="126"/>
      <c r="M105" s="126"/>
      <c r="N105" s="127"/>
      <c r="O105" s="127"/>
      <c r="P105" s="526"/>
      <c r="Q105" s="526"/>
    </row>
    <row r="106" spans="1:17">
      <c r="A106" s="37"/>
      <c r="B106" s="38"/>
      <c r="C106" s="39"/>
      <c r="D106" s="39"/>
      <c r="E106" s="39"/>
      <c r="F106" s="39"/>
      <c r="G106" s="39"/>
      <c r="H106" s="39"/>
      <c r="J106" s="37"/>
      <c r="K106" s="38"/>
      <c r="L106" s="39"/>
      <c r="M106" s="39"/>
      <c r="N106" s="39"/>
      <c r="O106" s="39"/>
      <c r="P106" s="39"/>
      <c r="Q106" s="39"/>
    </row>
    <row r="107" spans="1:17">
      <c r="A107" s="519" t="s">
        <v>13</v>
      </c>
      <c r="B107" s="520"/>
      <c r="C107" s="520"/>
      <c r="D107" s="520"/>
      <c r="E107" s="521"/>
      <c r="F107" s="39"/>
      <c r="G107" s="39"/>
      <c r="H107" s="40"/>
      <c r="J107" s="519" t="s">
        <v>13</v>
      </c>
      <c r="K107" s="520"/>
      <c r="L107" s="520"/>
      <c r="M107" s="520"/>
      <c r="N107" s="521"/>
      <c r="O107" s="39"/>
      <c r="P107" s="39"/>
      <c r="Q107" s="40">
        <f>N97-34589000</f>
        <v>650</v>
      </c>
    </row>
    <row r="108" spans="1:17">
      <c r="A108" s="41" t="s">
        <v>39</v>
      </c>
      <c r="B108" s="42" t="s">
        <v>40</v>
      </c>
      <c r="C108" s="43" t="s">
        <v>41</v>
      </c>
      <c r="D108" s="43" t="s">
        <v>42</v>
      </c>
      <c r="E108" s="43" t="s">
        <v>43</v>
      </c>
      <c r="F108" s="39"/>
      <c r="G108" s="39"/>
      <c r="H108" s="39"/>
      <c r="J108" s="41" t="s">
        <v>39</v>
      </c>
      <c r="K108" s="42" t="s">
        <v>40</v>
      </c>
      <c r="L108" s="43" t="s">
        <v>41</v>
      </c>
      <c r="M108" s="43" t="s">
        <v>42</v>
      </c>
      <c r="N108" s="43" t="s">
        <v>43</v>
      </c>
      <c r="O108" s="39"/>
      <c r="P108" s="39"/>
      <c r="Q108" s="39"/>
    </row>
    <row r="109" spans="1:17">
      <c r="A109" s="41"/>
      <c r="B109" s="44"/>
      <c r="C109" s="45"/>
      <c r="D109" s="46"/>
      <c r="E109" s="46"/>
      <c r="F109" s="39"/>
      <c r="G109" s="39"/>
      <c r="H109" s="39"/>
      <c r="J109" s="41"/>
      <c r="K109" s="44"/>
      <c r="L109" s="45" t="s">
        <v>313</v>
      </c>
      <c r="M109" s="46">
        <v>34589000</v>
      </c>
      <c r="N109" s="46"/>
      <c r="O109" s="39"/>
      <c r="P109" s="39"/>
      <c r="Q109" s="39"/>
    </row>
    <row r="110" spans="1:17">
      <c r="A110" s="41"/>
      <c r="B110" s="44"/>
      <c r="C110" s="45"/>
      <c r="D110" s="46"/>
      <c r="E110" s="46"/>
      <c r="F110" s="39"/>
      <c r="G110" s="39"/>
      <c r="H110" s="39"/>
      <c r="J110" s="41"/>
      <c r="K110" s="44"/>
      <c r="L110" s="45"/>
      <c r="M110" s="46"/>
      <c r="N110" s="46"/>
      <c r="O110" s="39"/>
      <c r="P110" s="39"/>
      <c r="Q110" s="39"/>
    </row>
    <row r="111" spans="1:17">
      <c r="A111" s="41"/>
      <c r="B111" s="44"/>
      <c r="C111" s="45"/>
      <c r="D111" s="46"/>
      <c r="E111" s="46"/>
      <c r="F111" s="39"/>
      <c r="G111" s="39"/>
      <c r="H111" s="39"/>
      <c r="J111" s="41"/>
      <c r="K111" s="44"/>
      <c r="L111" s="45"/>
      <c r="M111" s="46"/>
      <c r="N111" s="46"/>
      <c r="O111" s="39"/>
      <c r="P111" s="39"/>
      <c r="Q111" s="39"/>
    </row>
    <row r="112" spans="1:17">
      <c r="A112" s="41"/>
      <c r="B112" s="44"/>
      <c r="C112" s="47"/>
      <c r="D112" s="46"/>
      <c r="E112" s="46"/>
      <c r="F112" s="39"/>
      <c r="G112" s="39"/>
      <c r="H112" s="39"/>
      <c r="J112" s="41"/>
      <c r="K112" s="44"/>
      <c r="L112" s="47"/>
      <c r="M112" s="46"/>
      <c r="N112" s="46"/>
      <c r="O112" s="39"/>
      <c r="P112" s="39"/>
      <c r="Q112" s="39"/>
    </row>
    <row r="113" spans="1:17">
      <c r="A113" s="41"/>
      <c r="B113" s="44"/>
      <c r="C113" s="46"/>
      <c r="D113" s="48"/>
      <c r="E113" s="46"/>
      <c r="F113" s="39"/>
      <c r="G113" s="39"/>
      <c r="H113" s="39"/>
      <c r="J113" s="41"/>
      <c r="K113" s="44"/>
      <c r="L113" s="46"/>
      <c r="M113" s="48"/>
      <c r="N113" s="46"/>
      <c r="O113" s="39"/>
      <c r="P113" s="39"/>
      <c r="Q113" s="39"/>
    </row>
    <row r="114" spans="1:17">
      <c r="A114" s="49"/>
      <c r="B114" s="50"/>
      <c r="C114" s="51" t="s">
        <v>44</v>
      </c>
      <c r="D114" s="51">
        <f>SUM(D109:D113)</f>
        <v>0</v>
      </c>
      <c r="E114" s="52"/>
      <c r="F114" s="39"/>
      <c r="G114" s="39"/>
      <c r="H114" s="39"/>
      <c r="J114" s="49"/>
      <c r="K114" s="50"/>
      <c r="L114" s="51" t="s">
        <v>44</v>
      </c>
      <c r="M114" s="51">
        <f>SUM(M109:M113)</f>
        <v>34589000</v>
      </c>
      <c r="N114" s="52"/>
      <c r="O114" s="39"/>
      <c r="P114" s="39"/>
      <c r="Q114" s="39"/>
    </row>
    <row r="115" spans="1:17">
      <c r="A115" s="53"/>
      <c r="B115" s="54"/>
      <c r="C115" s="55"/>
      <c r="D115" s="56"/>
      <c r="E115" s="3"/>
      <c r="F115" s="39"/>
      <c r="G115" s="39"/>
      <c r="H115" s="39"/>
      <c r="J115" s="53"/>
      <c r="K115" s="54"/>
      <c r="L115" s="130" t="s">
        <v>319</v>
      </c>
      <c r="M115" s="116">
        <f>M109-N97</f>
        <v>-650</v>
      </c>
      <c r="N115" s="3"/>
      <c r="O115" s="39"/>
      <c r="P115" s="39"/>
      <c r="Q115" s="39"/>
    </row>
  </sheetData>
  <mergeCells count="68">
    <mergeCell ref="A47:H47"/>
    <mergeCell ref="A3:H3"/>
    <mergeCell ref="A11:G11"/>
    <mergeCell ref="A12:H12"/>
    <mergeCell ref="A13:A14"/>
    <mergeCell ref="B13:B14"/>
    <mergeCell ref="C13:C14"/>
    <mergeCell ref="D13:D14"/>
    <mergeCell ref="E13:H13"/>
    <mergeCell ref="B30:G30"/>
    <mergeCell ref="A31:D31"/>
    <mergeCell ref="E31:H31"/>
    <mergeCell ref="A32:H32"/>
    <mergeCell ref="E46:H46"/>
    <mergeCell ref="A96:C96"/>
    <mergeCell ref="E96:H96"/>
    <mergeCell ref="E55:H55"/>
    <mergeCell ref="A56:H56"/>
    <mergeCell ref="E61:H61"/>
    <mergeCell ref="A62:H62"/>
    <mergeCell ref="E70:H70"/>
    <mergeCell ref="A71:H71"/>
    <mergeCell ref="E76:H76"/>
    <mergeCell ref="A77:H77"/>
    <mergeCell ref="E90:H90"/>
    <mergeCell ref="A91:H91"/>
    <mergeCell ref="E95:H95"/>
    <mergeCell ref="A107:E107"/>
    <mergeCell ref="A97:C97"/>
    <mergeCell ref="E97:H97"/>
    <mergeCell ref="A98:H98"/>
    <mergeCell ref="A104:C104"/>
    <mergeCell ref="E104:H104"/>
    <mergeCell ref="G105:H105"/>
    <mergeCell ref="J3:Q3"/>
    <mergeCell ref="J11:P11"/>
    <mergeCell ref="J12:Q12"/>
    <mergeCell ref="J13:J14"/>
    <mergeCell ref="K13:K14"/>
    <mergeCell ref="L13:L14"/>
    <mergeCell ref="M13:M14"/>
    <mergeCell ref="N13:Q13"/>
    <mergeCell ref="K30:P30"/>
    <mergeCell ref="J31:M31"/>
    <mergeCell ref="N31:Q31"/>
    <mergeCell ref="J32:Q32"/>
    <mergeCell ref="N46:Q46"/>
    <mergeCell ref="J47:Q47"/>
    <mergeCell ref="N55:Q55"/>
    <mergeCell ref="J56:Q56"/>
    <mergeCell ref="N61:Q61"/>
    <mergeCell ref="J62:Q62"/>
    <mergeCell ref="N70:Q70"/>
    <mergeCell ref="J71:Q71"/>
    <mergeCell ref="N76:Q76"/>
    <mergeCell ref="J77:Q77"/>
    <mergeCell ref="N90:Q90"/>
    <mergeCell ref="J91:Q91"/>
    <mergeCell ref="N95:Q95"/>
    <mergeCell ref="J96:L96"/>
    <mergeCell ref="N96:Q96"/>
    <mergeCell ref="J97:L97"/>
    <mergeCell ref="N97:Q97"/>
    <mergeCell ref="J98:Q98"/>
    <mergeCell ref="J104:L104"/>
    <mergeCell ref="N104:Q104"/>
    <mergeCell ref="P105:Q105"/>
    <mergeCell ref="J107:N107"/>
  </mergeCells>
  <pageMargins left="0.11811023622047245" right="0.11811023622047245" top="0.19685039370078741" bottom="0.55118110236220474" header="0.11811023622047245" footer="0.31496062992125984"/>
  <pageSetup paperSize="9" scale="80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6"/>
  <sheetViews>
    <sheetView workbookViewId="0"/>
  </sheetViews>
  <sheetFormatPr defaultRowHeight="15"/>
  <cols>
    <col min="3" max="3" width="27.28515625" bestFit="1" customWidth="1"/>
    <col min="4" max="4" width="11" bestFit="1" customWidth="1"/>
    <col min="8" max="8" width="11" bestFit="1" customWidth="1"/>
  </cols>
  <sheetData>
    <row r="1" spans="1:8">
      <c r="A1" s="1" t="s">
        <v>0</v>
      </c>
      <c r="B1" s="2"/>
      <c r="C1" s="3"/>
      <c r="D1" s="3"/>
      <c r="E1" s="3"/>
      <c r="F1" s="3"/>
      <c r="G1" s="3"/>
      <c r="H1" s="3"/>
    </row>
    <row r="2" spans="1:8">
      <c r="A2" s="1" t="s">
        <v>311</v>
      </c>
      <c r="B2" s="2"/>
      <c r="C2" s="3"/>
      <c r="D2" s="3"/>
      <c r="E2" s="3"/>
      <c r="F2" s="3"/>
      <c r="G2" s="3"/>
      <c r="H2" s="3"/>
    </row>
    <row r="3" spans="1:8">
      <c r="A3" s="534" t="s">
        <v>1</v>
      </c>
      <c r="B3" s="534"/>
      <c r="C3" s="534"/>
      <c r="D3" s="534"/>
      <c r="E3" s="534"/>
      <c r="F3" s="534"/>
      <c r="G3" s="534"/>
      <c r="H3" s="534"/>
    </row>
    <row r="4" spans="1:8">
      <c r="A4" s="4"/>
      <c r="B4" s="5"/>
      <c r="C4" s="6" t="s">
        <v>2</v>
      </c>
      <c r="D4" s="7">
        <v>28060000</v>
      </c>
      <c r="E4" s="6"/>
      <c r="F4" s="6"/>
      <c r="G4" s="6"/>
      <c r="H4" s="6"/>
    </row>
    <row r="5" spans="1:8">
      <c r="A5" s="4"/>
      <c r="B5" s="5"/>
      <c r="C5" s="6" t="s">
        <v>3</v>
      </c>
      <c r="D5" s="8"/>
      <c r="E5" s="6"/>
      <c r="F5" s="6"/>
      <c r="G5" s="6"/>
      <c r="H5" s="6"/>
    </row>
    <row r="6" spans="1:8">
      <c r="A6" s="4"/>
      <c r="B6" s="5"/>
      <c r="C6" s="6" t="s">
        <v>4</v>
      </c>
      <c r="D6" s="9"/>
      <c r="E6" s="6"/>
      <c r="F6" s="6"/>
      <c r="G6" s="6"/>
      <c r="H6" s="6"/>
    </row>
    <row r="7" spans="1:8">
      <c r="A7" s="4"/>
      <c r="B7" s="5"/>
      <c r="C7" s="6" t="s">
        <v>5</v>
      </c>
      <c r="D7" s="6"/>
      <c r="E7" s="6"/>
      <c r="F7" s="6"/>
      <c r="G7" s="6"/>
      <c r="H7" s="6"/>
    </row>
    <row r="8" spans="1:8">
      <c r="A8" s="4"/>
      <c r="B8" s="5"/>
      <c r="C8" s="6" t="s">
        <v>6</v>
      </c>
      <c r="D8" s="6"/>
      <c r="E8" s="6"/>
      <c r="F8" s="6"/>
      <c r="G8" s="6"/>
      <c r="H8" s="6"/>
    </row>
    <row r="9" spans="1:8">
      <c r="A9" s="4"/>
      <c r="B9" s="5"/>
      <c r="C9" s="6" t="s">
        <v>7</v>
      </c>
      <c r="D9" s="6"/>
      <c r="E9" s="6"/>
      <c r="F9" s="6"/>
      <c r="G9" s="6"/>
      <c r="H9" s="6"/>
    </row>
    <row r="10" spans="1:8">
      <c r="A10" s="4"/>
      <c r="B10" s="5"/>
      <c r="C10" s="6"/>
      <c r="D10" s="6"/>
      <c r="E10" s="6"/>
      <c r="F10" s="6"/>
      <c r="G10" s="6"/>
      <c r="H10" s="6"/>
    </row>
    <row r="11" spans="1:8">
      <c r="A11" s="530" t="s">
        <v>154</v>
      </c>
      <c r="B11" s="530"/>
      <c r="C11" s="530"/>
      <c r="D11" s="10"/>
      <c r="E11" s="10"/>
      <c r="F11" s="10"/>
      <c r="G11" s="10"/>
      <c r="H11" s="10">
        <f>SUM(D4:D9)</f>
        <v>28060000</v>
      </c>
    </row>
    <row r="12" spans="1:8">
      <c r="A12" s="524" t="s">
        <v>109</v>
      </c>
      <c r="B12" s="524"/>
      <c r="C12" s="524"/>
      <c r="D12" s="524"/>
      <c r="E12" s="524"/>
      <c r="F12" s="524"/>
      <c r="G12" s="524"/>
      <c r="H12" s="524"/>
    </row>
    <row r="13" spans="1:8">
      <c r="A13" s="12"/>
      <c r="B13" s="13" t="s">
        <v>213</v>
      </c>
      <c r="C13" s="15" t="s">
        <v>111</v>
      </c>
      <c r="D13" s="22">
        <v>3328000</v>
      </c>
      <c r="E13" s="22"/>
      <c r="F13" s="22"/>
      <c r="G13" s="16"/>
      <c r="H13" s="16"/>
    </row>
    <row r="14" spans="1:8">
      <c r="A14" s="12"/>
      <c r="B14" s="13" t="s">
        <v>213</v>
      </c>
      <c r="C14" s="15" t="s">
        <v>112</v>
      </c>
      <c r="D14" s="22">
        <v>300000</v>
      </c>
      <c r="E14" s="22"/>
      <c r="F14" s="22"/>
      <c r="G14" s="16"/>
      <c r="H14" s="16"/>
    </row>
    <row r="15" spans="1:8">
      <c r="A15" s="12"/>
      <c r="B15" s="13"/>
      <c r="C15" s="15"/>
      <c r="D15" s="22"/>
      <c r="E15" s="22"/>
      <c r="F15" s="22"/>
      <c r="G15" s="16"/>
      <c r="H15" s="16"/>
    </row>
    <row r="16" spans="1:8">
      <c r="A16" s="12"/>
      <c r="B16" s="13"/>
      <c r="C16" s="15"/>
      <c r="D16" s="22"/>
      <c r="E16" s="22"/>
      <c r="F16" s="22"/>
      <c r="G16" s="16"/>
      <c r="H16" s="16"/>
    </row>
    <row r="17" spans="1:8">
      <c r="A17" s="12"/>
      <c r="B17" s="13"/>
      <c r="C17" s="15"/>
      <c r="D17" s="23"/>
      <c r="E17" s="22"/>
      <c r="F17" s="22"/>
      <c r="G17" s="16"/>
      <c r="H17" s="16"/>
    </row>
    <row r="18" spans="1:8">
      <c r="A18" s="25"/>
      <c r="B18" s="19"/>
      <c r="C18" s="26" t="s">
        <v>107</v>
      </c>
      <c r="D18" s="27">
        <f>SUM(D13:D17)</f>
        <v>3628000</v>
      </c>
      <c r="E18" s="27"/>
      <c r="F18" s="27"/>
      <c r="G18" s="27"/>
      <c r="H18" s="27"/>
    </row>
    <row r="19" spans="1:8">
      <c r="A19" s="20"/>
      <c r="B19" s="19"/>
      <c r="C19" s="128" t="s">
        <v>21</v>
      </c>
      <c r="D19" s="10"/>
      <c r="E19" s="530">
        <f>D18</f>
        <v>3628000</v>
      </c>
      <c r="F19" s="530"/>
      <c r="G19" s="530"/>
      <c r="H19" s="530"/>
    </row>
    <row r="20" spans="1:8">
      <c r="A20" s="524" t="s">
        <v>114</v>
      </c>
      <c r="B20" s="524"/>
      <c r="C20" s="524"/>
      <c r="D20" s="524"/>
      <c r="E20" s="524"/>
      <c r="F20" s="524"/>
      <c r="G20" s="524"/>
      <c r="H20" s="524"/>
    </row>
    <row r="21" spans="1:8">
      <c r="A21" s="12"/>
      <c r="B21" s="19"/>
      <c r="C21" s="24"/>
      <c r="D21" s="22"/>
      <c r="E21" s="22"/>
      <c r="F21" s="22"/>
      <c r="G21" s="16"/>
      <c r="H21" s="16"/>
    </row>
    <row r="22" spans="1:8">
      <c r="A22" s="12"/>
      <c r="B22" s="13"/>
      <c r="C22" s="15"/>
      <c r="D22" s="22"/>
      <c r="E22" s="22"/>
      <c r="F22" s="22"/>
      <c r="G22" s="16"/>
      <c r="H22" s="16"/>
    </row>
    <row r="23" spans="1:8">
      <c r="A23" s="12"/>
      <c r="B23" s="13"/>
      <c r="C23" s="15"/>
      <c r="D23" s="22"/>
      <c r="E23" s="22"/>
      <c r="F23" s="22"/>
      <c r="G23" s="16"/>
      <c r="H23" s="16"/>
    </row>
    <row r="24" spans="1:8">
      <c r="A24" s="12"/>
      <c r="B24" s="13"/>
      <c r="C24" s="15"/>
      <c r="D24" s="22"/>
      <c r="E24" s="22"/>
      <c r="F24" s="22"/>
      <c r="G24" s="16"/>
      <c r="H24" s="16"/>
    </row>
    <row r="25" spans="1:8">
      <c r="A25" s="12"/>
      <c r="B25" s="13"/>
      <c r="C25" s="15"/>
      <c r="D25" s="23"/>
      <c r="E25" s="22"/>
      <c r="F25" s="22"/>
      <c r="G25" s="16"/>
      <c r="H25" s="16"/>
    </row>
    <row r="26" spans="1:8">
      <c r="A26" s="25"/>
      <c r="B26" s="19"/>
      <c r="C26" s="26" t="s">
        <v>107</v>
      </c>
      <c r="D26" s="27">
        <f>SUM(D21:D25)</f>
        <v>0</v>
      </c>
      <c r="E26" s="27"/>
      <c r="F26" s="27"/>
      <c r="G26" s="27"/>
      <c r="H26" s="27"/>
    </row>
    <row r="27" spans="1:8">
      <c r="A27" s="20"/>
      <c r="B27" s="19"/>
      <c r="C27" s="128" t="s">
        <v>21</v>
      </c>
      <c r="D27" s="10"/>
      <c r="E27" s="530">
        <f>D26</f>
        <v>0</v>
      </c>
      <c r="F27" s="530"/>
      <c r="G27" s="530"/>
      <c r="H27" s="530"/>
    </row>
    <row r="28" spans="1:8">
      <c r="A28" s="525" t="s">
        <v>115</v>
      </c>
      <c r="B28" s="525"/>
      <c r="C28" s="525"/>
      <c r="D28" s="126"/>
      <c r="E28" s="526">
        <f>E19+E27</f>
        <v>3628000</v>
      </c>
      <c r="F28" s="526"/>
      <c r="G28" s="526"/>
      <c r="H28" s="526"/>
    </row>
    <row r="29" spans="1:8">
      <c r="A29" s="524" t="s">
        <v>32</v>
      </c>
      <c r="B29" s="524"/>
      <c r="C29" s="524"/>
      <c r="D29" s="524"/>
      <c r="E29" s="524"/>
      <c r="F29" s="524"/>
      <c r="G29" s="524"/>
      <c r="H29" s="524"/>
    </row>
    <row r="30" spans="1:8">
      <c r="A30" s="33"/>
      <c r="B30" s="13"/>
      <c r="C30" s="22"/>
      <c r="D30" s="22"/>
      <c r="E30" s="22"/>
      <c r="F30" s="22"/>
      <c r="G30" s="16"/>
      <c r="H30" s="16"/>
    </row>
    <row r="31" spans="1:8">
      <c r="A31" s="33"/>
      <c r="B31" s="13"/>
      <c r="C31" s="22"/>
      <c r="D31" s="22"/>
      <c r="E31" s="22"/>
      <c r="F31" s="22"/>
      <c r="G31" s="16"/>
      <c r="H31" s="16"/>
    </row>
    <row r="32" spans="1:8">
      <c r="A32" s="33"/>
      <c r="B32" s="13"/>
      <c r="C32" s="22"/>
      <c r="D32" s="22"/>
      <c r="E32" s="22"/>
      <c r="F32" s="22"/>
      <c r="G32" s="16"/>
      <c r="H32" s="16"/>
    </row>
    <row r="33" spans="1:8">
      <c r="A33" s="20"/>
      <c r="B33" s="13"/>
      <c r="C33" s="22"/>
      <c r="D33" s="22"/>
      <c r="E33" s="22"/>
      <c r="F33" s="16"/>
      <c r="G33" s="16"/>
      <c r="H33" s="16"/>
    </row>
    <row r="34" spans="1:8">
      <c r="A34" s="20"/>
      <c r="B34" s="13"/>
      <c r="C34" s="22"/>
      <c r="D34" s="22"/>
      <c r="E34" s="22"/>
      <c r="F34" s="16"/>
      <c r="G34" s="16"/>
      <c r="H34" s="16"/>
    </row>
    <row r="35" spans="1:8">
      <c r="A35" s="525" t="s">
        <v>37</v>
      </c>
      <c r="B35" s="525"/>
      <c r="C35" s="525"/>
      <c r="D35" s="126">
        <f>SUM(D30:D34)</f>
        <v>0</v>
      </c>
      <c r="E35" s="526"/>
      <c r="F35" s="526"/>
      <c r="G35" s="526"/>
      <c r="H35" s="526"/>
    </row>
    <row r="36" spans="1:8">
      <c r="A36" s="34" t="s">
        <v>38</v>
      </c>
      <c r="B36" s="35"/>
      <c r="C36" s="126"/>
      <c r="D36" s="126"/>
      <c r="E36" s="127"/>
      <c r="F36" s="127"/>
      <c r="G36" s="526"/>
      <c r="H36" s="526"/>
    </row>
    <row r="37" spans="1:8">
      <c r="A37" s="37"/>
      <c r="B37" s="38"/>
      <c r="C37" s="39"/>
      <c r="D37" s="39"/>
      <c r="E37" s="39"/>
      <c r="F37" s="39"/>
      <c r="G37" s="39"/>
      <c r="H37" s="39"/>
    </row>
    <row r="38" spans="1:8">
      <c r="A38" s="519" t="s">
        <v>13</v>
      </c>
      <c r="B38" s="520"/>
      <c r="C38" s="520"/>
      <c r="D38" s="520"/>
      <c r="E38" s="521"/>
      <c r="F38" s="39"/>
      <c r="G38" s="39"/>
      <c r="H38" s="40"/>
    </row>
    <row r="39" spans="1:8">
      <c r="A39" s="41" t="s">
        <v>39</v>
      </c>
      <c r="B39" s="42" t="s">
        <v>40</v>
      </c>
      <c r="C39" s="43" t="s">
        <v>41</v>
      </c>
      <c r="D39" s="43" t="s">
        <v>42</v>
      </c>
      <c r="E39" s="43" t="s">
        <v>43</v>
      </c>
      <c r="F39" s="39"/>
      <c r="G39" s="39"/>
      <c r="H39" s="39"/>
    </row>
    <row r="40" spans="1:8">
      <c r="A40" s="41"/>
      <c r="B40" s="44"/>
      <c r="C40" s="45"/>
      <c r="D40" s="46"/>
      <c r="E40" s="46"/>
      <c r="F40" s="39"/>
      <c r="G40" s="39"/>
      <c r="H40" s="39"/>
    </row>
    <row r="41" spans="1:8">
      <c r="A41" s="41"/>
      <c r="B41" s="44"/>
      <c r="C41" s="45"/>
      <c r="D41" s="46"/>
      <c r="E41" s="46"/>
      <c r="F41" s="39"/>
      <c r="G41" s="39"/>
      <c r="H41" s="39"/>
    </row>
    <row r="42" spans="1:8">
      <c r="A42" s="41"/>
      <c r="B42" s="44"/>
      <c r="C42" s="45"/>
      <c r="D42" s="46"/>
      <c r="E42" s="46"/>
      <c r="F42" s="39"/>
      <c r="G42" s="39"/>
      <c r="H42" s="39"/>
    </row>
    <row r="43" spans="1:8">
      <c r="A43" s="41"/>
      <c r="B43" s="44"/>
      <c r="C43" s="47"/>
      <c r="D43" s="46"/>
      <c r="E43" s="46"/>
      <c r="F43" s="39"/>
      <c r="G43" s="39"/>
      <c r="H43" s="39"/>
    </row>
    <row r="44" spans="1:8">
      <c r="A44" s="41"/>
      <c r="B44" s="44"/>
      <c r="C44" s="46"/>
      <c r="D44" s="48"/>
      <c r="E44" s="46"/>
      <c r="F44" s="39"/>
      <c r="G44" s="39"/>
      <c r="H44" s="39"/>
    </row>
    <row r="45" spans="1:8">
      <c r="A45" s="49"/>
      <c r="B45" s="50"/>
      <c r="C45" s="51" t="s">
        <v>44</v>
      </c>
      <c r="D45" s="51">
        <f>SUM(D40:D44)</f>
        <v>0</v>
      </c>
      <c r="E45" s="52"/>
      <c r="F45" s="39"/>
      <c r="G45" s="39"/>
      <c r="H45" s="39"/>
    </row>
    <row r="46" spans="1:8">
      <c r="A46" s="53"/>
      <c r="B46" s="54"/>
      <c r="C46" s="55"/>
      <c r="D46" s="56"/>
      <c r="E46" s="3"/>
      <c r="F46" s="39"/>
      <c r="G46" s="39"/>
      <c r="H46" s="39"/>
    </row>
  </sheetData>
  <mergeCells count="13">
    <mergeCell ref="E27:H27"/>
    <mergeCell ref="A3:H3"/>
    <mergeCell ref="A11:C11"/>
    <mergeCell ref="A12:H12"/>
    <mergeCell ref="E19:H19"/>
    <mergeCell ref="A20:H20"/>
    <mergeCell ref="A38:E38"/>
    <mergeCell ref="A28:C28"/>
    <mergeCell ref="E28:H28"/>
    <mergeCell ref="A29:H29"/>
    <mergeCell ref="A35:C35"/>
    <mergeCell ref="E35:H35"/>
    <mergeCell ref="G36:H3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3"/>
  <sheetViews>
    <sheetView workbookViewId="0"/>
  </sheetViews>
  <sheetFormatPr defaultRowHeight="15"/>
  <cols>
    <col min="1" max="1" width="52" bestFit="1" customWidth="1"/>
    <col min="2" max="2" width="10.5703125" bestFit="1" customWidth="1"/>
    <col min="3" max="3" width="42.28515625" bestFit="1" customWidth="1"/>
    <col min="4" max="4" width="10.5703125" bestFit="1" customWidth="1"/>
    <col min="5" max="5" width="63.7109375" bestFit="1" customWidth="1"/>
    <col min="6" max="6" width="10.5703125" bestFit="1" customWidth="1"/>
    <col min="7" max="7" width="64.5703125" bestFit="1" customWidth="1"/>
    <col min="8" max="8" width="11.5703125" bestFit="1" customWidth="1"/>
    <col min="9" max="9" width="22.85546875" bestFit="1" customWidth="1"/>
    <col min="10" max="10" width="9" bestFit="1" customWidth="1"/>
    <col min="14" max="14" width="11.5703125" bestFit="1" customWidth="1"/>
  </cols>
  <sheetData>
    <row r="1" spans="1:12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  <c r="K1" s="129" t="s">
        <v>52</v>
      </c>
      <c r="L1" s="129"/>
    </row>
    <row r="2" spans="1:12">
      <c r="A2" s="14" t="s">
        <v>285</v>
      </c>
      <c r="B2" s="15">
        <v>150000</v>
      </c>
      <c r="C2" s="14" t="s">
        <v>258</v>
      </c>
      <c r="D2" s="15">
        <v>150000</v>
      </c>
      <c r="E2" s="15" t="s">
        <v>298</v>
      </c>
      <c r="F2" s="22">
        <v>890000</v>
      </c>
      <c r="G2" s="14" t="s">
        <v>293</v>
      </c>
      <c r="H2" s="15">
        <v>2100000</v>
      </c>
      <c r="I2" s="15" t="s">
        <v>279</v>
      </c>
      <c r="J2" s="22">
        <v>70000</v>
      </c>
      <c r="K2" s="22"/>
      <c r="L2" s="29"/>
    </row>
    <row r="3" spans="1:12" ht="15.75">
      <c r="A3" s="15" t="s">
        <v>284</v>
      </c>
      <c r="B3" s="22">
        <v>360000</v>
      </c>
      <c r="C3" s="15" t="s">
        <v>310</v>
      </c>
      <c r="D3" s="23">
        <v>84000</v>
      </c>
      <c r="E3" s="15" t="s">
        <v>300</v>
      </c>
      <c r="F3" s="23">
        <v>1130000</v>
      </c>
      <c r="G3" s="15" t="s">
        <v>314</v>
      </c>
      <c r="H3" s="22">
        <v>14864000</v>
      </c>
      <c r="I3" s="15" t="s">
        <v>308</v>
      </c>
      <c r="J3" s="22">
        <v>24000</v>
      </c>
      <c r="K3" s="60"/>
      <c r="L3" s="60"/>
    </row>
    <row r="4" spans="1:12">
      <c r="A4" s="15" t="s">
        <v>295</v>
      </c>
      <c r="B4" s="22">
        <v>160000</v>
      </c>
      <c r="C4" s="15" t="s">
        <v>262</v>
      </c>
      <c r="D4" s="22">
        <v>600000</v>
      </c>
      <c r="E4" s="15" t="s">
        <v>316</v>
      </c>
      <c r="F4" s="23">
        <v>300000</v>
      </c>
      <c r="G4" s="15" t="s">
        <v>305</v>
      </c>
      <c r="H4" s="22">
        <v>5000000</v>
      </c>
      <c r="I4" s="15"/>
      <c r="J4" s="22"/>
      <c r="K4" s="61"/>
      <c r="L4" s="61"/>
    </row>
    <row r="5" spans="1:12">
      <c r="A5" s="15" t="s">
        <v>263</v>
      </c>
      <c r="B5" s="23">
        <v>1320000</v>
      </c>
      <c r="C5" s="22" t="s">
        <v>280</v>
      </c>
      <c r="D5" s="61">
        <v>500000</v>
      </c>
      <c r="E5" s="15"/>
      <c r="F5" s="23"/>
      <c r="G5" s="22" t="s">
        <v>233</v>
      </c>
      <c r="H5" s="22">
        <v>220000</v>
      </c>
      <c r="I5" s="14"/>
      <c r="J5" s="15"/>
      <c r="K5" s="62"/>
      <c r="L5" s="62"/>
    </row>
    <row r="6" spans="1:12">
      <c r="A6" s="15" t="s">
        <v>315</v>
      </c>
      <c r="B6" s="23">
        <f>1785000-300000</f>
        <v>1485000</v>
      </c>
      <c r="C6" s="64" t="s">
        <v>112</v>
      </c>
      <c r="D6" s="61">
        <v>300000</v>
      </c>
      <c r="E6" s="15"/>
      <c r="F6" s="22"/>
      <c r="G6" s="22" t="s">
        <v>234</v>
      </c>
      <c r="H6" s="29">
        <v>75000</v>
      </c>
      <c r="I6" s="14"/>
      <c r="J6" s="15"/>
      <c r="K6" s="62"/>
      <c r="L6" s="62"/>
    </row>
    <row r="7" spans="1:12">
      <c r="A7" s="23" t="s">
        <v>320</v>
      </c>
      <c r="B7" s="23">
        <v>1625000</v>
      </c>
      <c r="C7" s="22"/>
      <c r="D7" s="29"/>
      <c r="E7" s="15"/>
      <c r="F7" s="22"/>
      <c r="G7" s="15" t="s">
        <v>243</v>
      </c>
      <c r="H7" s="22">
        <v>736000</v>
      </c>
      <c r="I7" s="14"/>
      <c r="J7" s="15"/>
      <c r="K7" s="62"/>
      <c r="L7" s="62"/>
    </row>
    <row r="8" spans="1:12">
      <c r="A8" s="15" t="s">
        <v>292</v>
      </c>
      <c r="B8" s="22">
        <v>450000</v>
      </c>
      <c r="C8" s="22"/>
      <c r="D8" s="29"/>
      <c r="E8" s="22"/>
      <c r="F8" s="29"/>
      <c r="G8" s="14" t="s">
        <v>267</v>
      </c>
      <c r="H8" s="15">
        <v>414000</v>
      </c>
      <c r="I8" s="22"/>
      <c r="J8" s="29"/>
      <c r="K8" s="62"/>
      <c r="L8" s="62"/>
    </row>
    <row r="9" spans="1:12">
      <c r="A9" s="64"/>
      <c r="B9" s="61"/>
      <c r="C9" s="22"/>
      <c r="D9" s="29"/>
      <c r="E9" s="61"/>
      <c r="F9" s="65"/>
      <c r="G9" s="14" t="s">
        <v>287</v>
      </c>
      <c r="H9" s="15">
        <v>389900</v>
      </c>
      <c r="I9" s="22"/>
      <c r="J9" s="29"/>
      <c r="K9" s="62"/>
      <c r="L9" s="62"/>
    </row>
    <row r="10" spans="1:12">
      <c r="A10" s="64"/>
      <c r="B10" s="29"/>
      <c r="C10" s="66"/>
      <c r="D10" s="66"/>
      <c r="E10" s="61"/>
      <c r="F10" s="65"/>
      <c r="G10" s="14" t="s">
        <v>288</v>
      </c>
      <c r="H10" s="15">
        <v>947000</v>
      </c>
      <c r="I10" s="22"/>
      <c r="J10" s="29"/>
      <c r="K10" s="62"/>
      <c r="L10" s="62"/>
    </row>
    <row r="11" spans="1:12">
      <c r="A11" s="64"/>
      <c r="B11" s="61"/>
      <c r="C11" s="66"/>
      <c r="D11" s="66"/>
      <c r="E11" s="61"/>
      <c r="F11" s="65"/>
      <c r="G11" s="14" t="s">
        <v>301</v>
      </c>
      <c r="H11" s="15">
        <v>317750</v>
      </c>
      <c r="I11" s="22"/>
      <c r="J11" s="29"/>
      <c r="K11" s="62"/>
      <c r="L11" s="62"/>
    </row>
    <row r="12" spans="1:12">
      <c r="A12" s="64"/>
      <c r="B12" s="61"/>
      <c r="C12" s="66"/>
      <c r="D12" s="66"/>
      <c r="E12" s="61"/>
      <c r="F12" s="65"/>
      <c r="G12" s="15" t="s">
        <v>302</v>
      </c>
      <c r="H12" s="22">
        <v>228000</v>
      </c>
      <c r="I12" s="22"/>
      <c r="J12" s="29"/>
      <c r="K12" s="62"/>
      <c r="L12" s="62"/>
    </row>
    <row r="13" spans="1:12">
      <c r="A13" s="64"/>
      <c r="B13" s="61"/>
      <c r="C13" s="66"/>
      <c r="D13" s="66"/>
      <c r="E13" s="61"/>
      <c r="F13" s="65"/>
      <c r="G13" s="15" t="s">
        <v>111</v>
      </c>
      <c r="H13" s="22">
        <v>3328000</v>
      </c>
      <c r="I13" s="62"/>
      <c r="J13" s="67"/>
      <c r="K13" s="62"/>
      <c r="L13" s="62"/>
    </row>
    <row r="14" spans="1:12">
      <c r="A14" s="68"/>
      <c r="B14" s="69"/>
      <c r="C14" s="69"/>
      <c r="D14" s="69"/>
      <c r="E14" s="69"/>
      <c r="F14" s="69"/>
      <c r="G14" s="15"/>
      <c r="H14" s="22"/>
      <c r="I14" s="68"/>
      <c r="J14" s="69"/>
      <c r="K14" s="68"/>
      <c r="L14" s="68"/>
    </row>
    <row r="15" spans="1:12" hidden="1">
      <c r="A15" s="68"/>
      <c r="B15" s="69"/>
      <c r="C15" s="69"/>
      <c r="D15" s="69"/>
      <c r="E15" s="69"/>
      <c r="F15" s="69"/>
      <c r="G15" s="117"/>
      <c r="H15" s="118"/>
      <c r="I15" s="68"/>
      <c r="J15" s="69"/>
      <c r="K15" s="68"/>
      <c r="L15" s="68"/>
    </row>
    <row r="16" spans="1:12" hidden="1">
      <c r="A16" s="68"/>
      <c r="B16" s="69"/>
      <c r="C16" s="69"/>
      <c r="D16" s="69"/>
      <c r="E16" s="69"/>
      <c r="F16" s="69"/>
      <c r="G16" s="119"/>
      <c r="H16" s="120"/>
      <c r="I16" s="68"/>
      <c r="J16" s="69"/>
      <c r="K16" s="68"/>
      <c r="L16" s="68"/>
    </row>
    <row r="17" spans="1:14" hidden="1">
      <c r="A17" s="68"/>
      <c r="B17" s="69"/>
      <c r="C17" s="69"/>
      <c r="D17" s="69"/>
      <c r="E17" s="69"/>
      <c r="F17" s="69"/>
      <c r="G17" s="119"/>
      <c r="H17" s="120"/>
      <c r="I17" s="68"/>
      <c r="J17" s="69"/>
      <c r="K17" s="68"/>
      <c r="L17" s="68"/>
    </row>
    <row r="18" spans="1:14" hidden="1">
      <c r="A18" s="68"/>
      <c r="B18" s="69"/>
      <c r="C18" s="69"/>
      <c r="D18" s="69"/>
      <c r="E18" s="69"/>
      <c r="F18" s="69"/>
      <c r="G18" s="119"/>
      <c r="H18" s="120"/>
      <c r="I18" s="68"/>
      <c r="J18" s="69"/>
      <c r="K18" s="68"/>
      <c r="L18" s="68"/>
    </row>
    <row r="19" spans="1:14" hidden="1">
      <c r="A19" s="68"/>
      <c r="B19" s="69"/>
      <c r="C19" s="69"/>
      <c r="D19" s="69"/>
      <c r="E19" s="69"/>
      <c r="F19" s="69"/>
      <c r="G19" s="119"/>
      <c r="H19" s="120"/>
      <c r="I19" s="68"/>
      <c r="J19" s="69"/>
      <c r="K19" s="68"/>
      <c r="L19" s="68"/>
    </row>
    <row r="20" spans="1:14" hidden="1">
      <c r="A20" s="68"/>
      <c r="B20" s="69"/>
      <c r="C20" s="69"/>
      <c r="D20" s="69"/>
      <c r="E20" s="69"/>
      <c r="F20" s="69"/>
      <c r="G20" s="119"/>
      <c r="H20" s="120"/>
      <c r="I20" s="68"/>
      <c r="J20" s="69"/>
      <c r="K20" s="68"/>
      <c r="L20" s="68"/>
    </row>
    <row r="21" spans="1:14" hidden="1">
      <c r="A21" s="68"/>
      <c r="B21" s="69"/>
      <c r="C21" s="69"/>
      <c r="D21" s="69"/>
      <c r="E21" s="69"/>
      <c r="F21" s="69"/>
      <c r="G21" s="119"/>
      <c r="H21" s="120"/>
      <c r="I21" s="68"/>
      <c r="J21" s="69"/>
      <c r="K21" s="68"/>
      <c r="L21" s="68"/>
    </row>
    <row r="22" spans="1:14" hidden="1">
      <c r="A22" s="68"/>
      <c r="B22" s="69"/>
      <c r="C22" s="69"/>
      <c r="D22" s="69"/>
      <c r="E22" s="69"/>
      <c r="F22" s="69"/>
      <c r="G22" s="119"/>
      <c r="H22" s="120"/>
      <c r="I22" s="68"/>
      <c r="J22" s="69"/>
      <c r="K22" s="68"/>
      <c r="L22" s="68"/>
    </row>
    <row r="23" spans="1:14" hidden="1">
      <c r="A23" s="68"/>
      <c r="B23" s="69"/>
      <c r="C23" s="69"/>
      <c r="D23" s="69"/>
      <c r="E23" s="69"/>
      <c r="F23" s="69"/>
      <c r="G23" s="119"/>
      <c r="H23" s="120"/>
      <c r="I23" s="68"/>
      <c r="J23" s="69"/>
      <c r="K23" s="68"/>
      <c r="L23" s="68"/>
    </row>
    <row r="24" spans="1:14" hidden="1">
      <c r="A24" s="68"/>
      <c r="B24" s="69"/>
      <c r="C24" s="69"/>
      <c r="D24" s="69"/>
      <c r="E24" s="69"/>
      <c r="F24" s="69"/>
      <c r="G24" s="119"/>
      <c r="H24" s="120"/>
      <c r="I24" s="68"/>
      <c r="J24" s="69"/>
      <c r="K24" s="68"/>
      <c r="L24" s="68"/>
    </row>
    <row r="25" spans="1:14" hidden="1">
      <c r="A25" s="68"/>
      <c r="B25" s="69"/>
      <c r="C25" s="69"/>
      <c r="D25" s="69"/>
      <c r="E25" s="69"/>
      <c r="F25" s="69"/>
      <c r="G25" s="119"/>
      <c r="H25" s="120"/>
      <c r="I25" s="68"/>
      <c r="J25" s="69"/>
      <c r="K25" s="68"/>
      <c r="L25" s="68"/>
    </row>
    <row r="26" spans="1:14" hidden="1">
      <c r="A26" s="68"/>
      <c r="B26" s="69"/>
      <c r="C26" s="69"/>
      <c r="D26" s="69"/>
      <c r="E26" s="69"/>
      <c r="F26" s="69"/>
      <c r="G26" s="119"/>
      <c r="H26" s="120"/>
      <c r="I26" s="68"/>
      <c r="J26" s="69"/>
      <c r="K26" s="68"/>
      <c r="L26" s="68"/>
    </row>
    <row r="27" spans="1:14" hidden="1">
      <c r="A27" s="68"/>
      <c r="B27" s="69"/>
      <c r="C27" s="69"/>
      <c r="D27" s="69"/>
      <c r="E27" s="69"/>
      <c r="F27" s="69"/>
      <c r="G27" s="119"/>
      <c r="H27" s="120"/>
      <c r="I27" s="68"/>
      <c r="J27" s="69"/>
      <c r="K27" s="68"/>
      <c r="L27" s="68"/>
    </row>
    <row r="28" spans="1:14" hidden="1">
      <c r="A28" s="68"/>
      <c r="B28" s="69"/>
      <c r="C28" s="69"/>
      <c r="D28" s="69"/>
      <c r="E28" s="69"/>
      <c r="F28" s="69"/>
      <c r="G28" s="119"/>
      <c r="H28" s="120"/>
      <c r="I28" s="68"/>
      <c r="J28" s="69"/>
      <c r="K28" s="68"/>
      <c r="L28" s="68"/>
    </row>
    <row r="29" spans="1:14">
      <c r="A29" s="70"/>
      <c r="B29" s="71">
        <f>SUM(B2:B27)</f>
        <v>5550000</v>
      </c>
      <c r="C29" s="71">
        <f t="shared" ref="C29:L29" si="0">SUM(C2:C27)</f>
        <v>0</v>
      </c>
      <c r="D29" s="71">
        <f t="shared" si="0"/>
        <v>1634000</v>
      </c>
      <c r="E29" s="71">
        <f t="shared" si="0"/>
        <v>0</v>
      </c>
      <c r="F29" s="71">
        <f t="shared" si="0"/>
        <v>2320000</v>
      </c>
      <c r="G29" s="71">
        <f t="shared" si="0"/>
        <v>0</v>
      </c>
      <c r="H29" s="71">
        <f t="shared" si="0"/>
        <v>28619650</v>
      </c>
      <c r="I29" s="71">
        <f t="shared" si="0"/>
        <v>0</v>
      </c>
      <c r="J29" s="71">
        <f t="shared" si="0"/>
        <v>94000</v>
      </c>
      <c r="K29" s="71">
        <f t="shared" si="0"/>
        <v>0</v>
      </c>
      <c r="L29" s="71">
        <f t="shared" si="0"/>
        <v>0</v>
      </c>
      <c r="M29" s="72"/>
      <c r="N29" s="72">
        <f>J29+H29+F29+D29+B29-H13-D6</f>
        <v>34589650</v>
      </c>
    </row>
    <row r="30" spans="1:14">
      <c r="A30" t="s">
        <v>318</v>
      </c>
      <c r="B30" s="77">
        <v>490000</v>
      </c>
      <c r="C30" t="s">
        <v>317</v>
      </c>
      <c r="D30" s="77">
        <v>100000</v>
      </c>
    </row>
    <row r="31" spans="1:14">
      <c r="C31" t="s">
        <v>272</v>
      </c>
      <c r="D31" s="77">
        <v>83500</v>
      </c>
      <c r="F31" s="72">
        <f>4550000-F29</f>
        <v>2230000</v>
      </c>
    </row>
    <row r="32" spans="1:14">
      <c r="B32" s="72">
        <f>B29-B30</f>
        <v>5060000</v>
      </c>
      <c r="L32" s="72"/>
    </row>
    <row r="33" spans="4:4">
      <c r="D33" s="72">
        <f>D29-D30-D31</f>
        <v>1450500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103"/>
  <sheetViews>
    <sheetView workbookViewId="0"/>
  </sheetViews>
  <sheetFormatPr defaultRowHeight="15"/>
  <cols>
    <col min="3" max="3" width="68.42578125" bestFit="1" customWidth="1"/>
    <col min="4" max="4" width="12" bestFit="1" customWidth="1"/>
    <col min="5" max="5" width="6.28515625" customWidth="1"/>
    <col min="6" max="6" width="6.42578125" customWidth="1"/>
    <col min="7" max="7" width="5.140625" customWidth="1"/>
    <col min="8" max="8" width="10.7109375" customWidth="1"/>
    <col min="12" max="12" width="68.85546875" bestFit="1" customWidth="1"/>
    <col min="13" max="13" width="12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346</v>
      </c>
      <c r="B2" s="2"/>
      <c r="C2" s="3"/>
      <c r="D2" s="3"/>
      <c r="E2" s="3"/>
      <c r="F2" s="3"/>
      <c r="G2" s="3"/>
      <c r="H2" s="3"/>
      <c r="J2" s="1" t="s">
        <v>346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235143722</v>
      </c>
      <c r="E4" s="6"/>
      <c r="F4" s="6"/>
      <c r="G4" s="6"/>
      <c r="H4" s="6"/>
      <c r="J4" s="4"/>
      <c r="K4" s="5"/>
      <c r="L4" s="6" t="s">
        <v>2</v>
      </c>
      <c r="M4" s="7">
        <v>235143722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43630264</v>
      </c>
      <c r="E5" s="6"/>
      <c r="F5" s="6"/>
      <c r="G5" s="6"/>
      <c r="H5" s="6"/>
      <c r="J5" s="4"/>
      <c r="K5" s="5"/>
      <c r="L5" s="6" t="s">
        <v>3</v>
      </c>
      <c r="M5" s="8">
        <v>43630264</v>
      </c>
      <c r="N5" s="6"/>
      <c r="O5" s="6"/>
      <c r="P5" s="6"/>
      <c r="Q5" s="6"/>
    </row>
    <row r="6" spans="1:17">
      <c r="A6" s="4"/>
      <c r="B6" s="5"/>
      <c r="C6" s="6" t="s">
        <v>4</v>
      </c>
      <c r="D6" s="115">
        <v>349127500</v>
      </c>
      <c r="E6" s="6"/>
      <c r="F6" s="6"/>
      <c r="G6" s="6"/>
      <c r="H6" s="6"/>
      <c r="J6" s="4"/>
      <c r="K6" s="5"/>
      <c r="L6" s="6" t="s">
        <v>4</v>
      </c>
      <c r="M6" s="115">
        <v>349127500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347</v>
      </c>
      <c r="B11" s="532"/>
      <c r="C11" s="532"/>
      <c r="D11" s="532"/>
      <c r="E11" s="532"/>
      <c r="F11" s="532"/>
      <c r="G11" s="533"/>
      <c r="H11" s="10">
        <f>SUM(D4:D9)</f>
        <v>634972032</v>
      </c>
      <c r="J11" s="531" t="s">
        <v>347</v>
      </c>
      <c r="K11" s="532"/>
      <c r="L11" s="532"/>
      <c r="M11" s="532"/>
      <c r="N11" s="532"/>
      <c r="O11" s="532"/>
      <c r="P11" s="533"/>
      <c r="Q11" s="10">
        <f>SUM(M4:M9)</f>
        <v>634972032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134" t="s">
        <v>14</v>
      </c>
      <c r="F14" s="134" t="s">
        <v>15</v>
      </c>
      <c r="G14" s="134" t="s">
        <v>16</v>
      </c>
      <c r="H14" s="134" t="s">
        <v>17</v>
      </c>
      <c r="J14" s="536"/>
      <c r="K14" s="537"/>
      <c r="L14" s="538"/>
      <c r="M14" s="538"/>
      <c r="N14" s="139" t="s">
        <v>14</v>
      </c>
      <c r="O14" s="139" t="s">
        <v>15</v>
      </c>
      <c r="P14" s="139" t="s">
        <v>16</v>
      </c>
      <c r="Q14" s="139" t="s">
        <v>17</v>
      </c>
    </row>
    <row r="15" spans="1:17">
      <c r="A15" s="12"/>
      <c r="B15" s="13"/>
      <c r="C15" s="14"/>
      <c r="D15" s="15"/>
      <c r="E15" s="16"/>
      <c r="F15" s="16"/>
      <c r="G15" s="16"/>
      <c r="H15" s="16"/>
      <c r="J15" s="12"/>
      <c r="K15" s="13"/>
      <c r="L15" s="14"/>
      <c r="M15" s="15"/>
      <c r="N15" s="16"/>
      <c r="O15" s="16"/>
      <c r="P15" s="16"/>
      <c r="Q15" s="16"/>
    </row>
    <row r="16" spans="1:17">
      <c r="A16" s="12"/>
      <c r="B16" s="13"/>
      <c r="C16" s="14"/>
      <c r="D16" s="15"/>
      <c r="E16" s="16"/>
      <c r="F16" s="16"/>
      <c r="G16" s="16"/>
      <c r="H16" s="16"/>
      <c r="J16" s="12"/>
      <c r="K16" s="13"/>
      <c r="L16" s="14"/>
      <c r="M16" s="15"/>
      <c r="N16" s="16"/>
      <c r="O16" s="16"/>
      <c r="P16" s="16"/>
      <c r="Q16" s="16"/>
    </row>
    <row r="17" spans="1:17">
      <c r="A17" s="12"/>
      <c r="B17" s="13"/>
      <c r="C17" s="14"/>
      <c r="D17" s="15"/>
      <c r="E17" s="16"/>
      <c r="F17" s="16"/>
      <c r="G17" s="16"/>
      <c r="H17" s="16"/>
      <c r="J17" s="12"/>
      <c r="K17" s="13"/>
      <c r="L17" s="14"/>
      <c r="M17" s="15"/>
      <c r="N17" s="16"/>
      <c r="O17" s="16"/>
      <c r="P17" s="16"/>
      <c r="Q17" s="16"/>
    </row>
    <row r="18" spans="1:17">
      <c r="A18" s="12"/>
      <c r="B18" s="13"/>
      <c r="C18" s="14"/>
      <c r="D18" s="15"/>
      <c r="E18" s="16"/>
      <c r="F18" s="16"/>
      <c r="G18" s="16"/>
      <c r="H18" s="16"/>
      <c r="J18" s="12"/>
      <c r="K18" s="13"/>
      <c r="L18" s="14"/>
      <c r="M18" s="15"/>
      <c r="N18" s="16"/>
      <c r="O18" s="16"/>
      <c r="P18" s="16"/>
      <c r="Q18" s="16"/>
    </row>
    <row r="19" spans="1:17">
      <c r="A19" s="18"/>
      <c r="B19" s="19"/>
      <c r="C19" s="134" t="s">
        <v>20</v>
      </c>
      <c r="D19" s="10">
        <f>SUM(D15:D18)</f>
        <v>0</v>
      </c>
      <c r="E19" s="10"/>
      <c r="F19" s="10"/>
      <c r="G19" s="10"/>
      <c r="H19" s="10"/>
      <c r="J19" s="18"/>
      <c r="K19" s="19"/>
      <c r="L19" s="139" t="s">
        <v>20</v>
      </c>
      <c r="M19" s="10">
        <f>SUM(M15:M18)</f>
        <v>0</v>
      </c>
      <c r="N19" s="10"/>
      <c r="O19" s="10"/>
      <c r="P19" s="10"/>
      <c r="Q19" s="10"/>
    </row>
    <row r="20" spans="1:17">
      <c r="A20" s="20"/>
      <c r="B20" s="531" t="s">
        <v>21</v>
      </c>
      <c r="C20" s="532"/>
      <c r="D20" s="532"/>
      <c r="E20" s="532"/>
      <c r="F20" s="532"/>
      <c r="G20" s="533"/>
      <c r="H20" s="21">
        <f>+D19</f>
        <v>0</v>
      </c>
      <c r="J20" s="20"/>
      <c r="K20" s="531" t="s">
        <v>21</v>
      </c>
      <c r="L20" s="532"/>
      <c r="M20" s="532"/>
      <c r="N20" s="532"/>
      <c r="O20" s="532"/>
      <c r="P20" s="533"/>
      <c r="Q20" s="21">
        <f>+M19</f>
        <v>0</v>
      </c>
    </row>
    <row r="21" spans="1:17">
      <c r="A21" s="526" t="s">
        <v>22</v>
      </c>
      <c r="B21" s="526"/>
      <c r="C21" s="526"/>
      <c r="D21" s="526"/>
      <c r="E21" s="526">
        <f>+H20</f>
        <v>0</v>
      </c>
      <c r="F21" s="526"/>
      <c r="G21" s="526"/>
      <c r="H21" s="526"/>
      <c r="J21" s="526" t="s">
        <v>22</v>
      </c>
      <c r="K21" s="526"/>
      <c r="L21" s="526"/>
      <c r="M21" s="526"/>
      <c r="N21" s="526">
        <f>+Q20</f>
        <v>0</v>
      </c>
      <c r="O21" s="526"/>
      <c r="P21" s="526"/>
      <c r="Q21" s="526"/>
    </row>
    <row r="22" spans="1:17">
      <c r="A22" s="524" t="s">
        <v>23</v>
      </c>
      <c r="B22" s="524"/>
      <c r="C22" s="524"/>
      <c r="D22" s="524"/>
      <c r="E22" s="524"/>
      <c r="F22" s="524"/>
      <c r="G22" s="524"/>
      <c r="H22" s="524"/>
      <c r="J22" s="524" t="s">
        <v>23</v>
      </c>
      <c r="K22" s="524"/>
      <c r="L22" s="524"/>
      <c r="M22" s="524"/>
      <c r="N22" s="524"/>
      <c r="O22" s="524"/>
      <c r="P22" s="524"/>
      <c r="Q22" s="524"/>
    </row>
    <row r="23" spans="1:17">
      <c r="A23" s="12"/>
      <c r="B23" s="13" t="s">
        <v>297</v>
      </c>
      <c r="C23" s="15" t="s">
        <v>329</v>
      </c>
      <c r="D23" s="22">
        <v>690000</v>
      </c>
      <c r="E23" s="22"/>
      <c r="F23" s="22"/>
      <c r="G23" s="16"/>
      <c r="H23" s="16"/>
      <c r="J23" s="12"/>
      <c r="K23" s="13" t="s">
        <v>297</v>
      </c>
      <c r="L23" s="15" t="s">
        <v>329</v>
      </c>
      <c r="M23" s="22">
        <v>690000</v>
      </c>
      <c r="N23" s="22"/>
      <c r="O23" s="22"/>
      <c r="P23" s="16"/>
      <c r="Q23" s="16"/>
    </row>
    <row r="24" spans="1:17">
      <c r="A24" s="12"/>
      <c r="B24" s="13" t="s">
        <v>299</v>
      </c>
      <c r="C24" s="15" t="s">
        <v>327</v>
      </c>
      <c r="D24" s="22">
        <v>370000</v>
      </c>
      <c r="E24" s="22"/>
      <c r="F24" s="22"/>
      <c r="G24" s="16"/>
      <c r="H24" s="16"/>
      <c r="J24" s="12"/>
      <c r="K24" s="13" t="s">
        <v>299</v>
      </c>
      <c r="L24" s="15" t="s">
        <v>327</v>
      </c>
      <c r="M24" s="22">
        <v>370000</v>
      </c>
      <c r="N24" s="22"/>
      <c r="O24" s="22"/>
      <c r="P24" s="16"/>
      <c r="Q24" s="16"/>
    </row>
    <row r="25" spans="1:17">
      <c r="A25" s="12"/>
      <c r="B25" s="13" t="s">
        <v>296</v>
      </c>
      <c r="C25" s="15" t="s">
        <v>328</v>
      </c>
      <c r="D25" s="23">
        <v>800000</v>
      </c>
      <c r="E25" s="22"/>
      <c r="F25" s="22"/>
      <c r="G25" s="16"/>
      <c r="H25" s="16"/>
      <c r="J25" s="12"/>
      <c r="K25" s="13" t="s">
        <v>296</v>
      </c>
      <c r="L25" s="15" t="s">
        <v>328</v>
      </c>
      <c r="M25" s="23">
        <v>800000</v>
      </c>
      <c r="N25" s="22"/>
      <c r="O25" s="22"/>
      <c r="P25" s="16"/>
      <c r="Q25" s="16"/>
    </row>
    <row r="26" spans="1:17">
      <c r="A26" s="12"/>
      <c r="B26" s="13"/>
      <c r="C26" s="15"/>
      <c r="D26" s="23"/>
      <c r="E26" s="22"/>
      <c r="F26" s="22"/>
      <c r="G26" s="16"/>
      <c r="H26" s="16"/>
      <c r="J26" s="12"/>
      <c r="K26" s="13"/>
      <c r="L26" s="15"/>
      <c r="M26" s="23"/>
      <c r="N26" s="22"/>
      <c r="O26" s="22"/>
      <c r="P26" s="16"/>
      <c r="Q26" s="16"/>
    </row>
    <row r="27" spans="1:17" hidden="1">
      <c r="A27" s="12"/>
      <c r="B27" s="13"/>
      <c r="C27" s="15"/>
      <c r="D27" s="23"/>
      <c r="E27" s="22"/>
      <c r="F27" s="22"/>
      <c r="G27" s="16"/>
      <c r="H27" s="16"/>
      <c r="J27" s="12"/>
      <c r="K27" s="13"/>
      <c r="L27" s="15"/>
      <c r="M27" s="23"/>
      <c r="N27" s="22"/>
      <c r="O27" s="22"/>
      <c r="P27" s="16"/>
      <c r="Q27" s="16"/>
    </row>
    <row r="28" spans="1:17" hidden="1">
      <c r="A28" s="12"/>
      <c r="B28" s="13"/>
      <c r="C28" s="15"/>
      <c r="D28" s="23"/>
      <c r="E28" s="22"/>
      <c r="F28" s="22"/>
      <c r="G28" s="16"/>
      <c r="H28" s="16"/>
      <c r="J28" s="12"/>
      <c r="K28" s="13"/>
      <c r="L28" s="15"/>
      <c r="M28" s="23"/>
      <c r="N28" s="22"/>
      <c r="O28" s="22"/>
      <c r="P28" s="16"/>
      <c r="Q28" s="16"/>
    </row>
    <row r="29" spans="1:17" hidden="1">
      <c r="A29" s="12"/>
      <c r="B29" s="13"/>
      <c r="C29" s="15"/>
      <c r="D29" s="23"/>
      <c r="E29" s="22"/>
      <c r="F29" s="22"/>
      <c r="G29" s="16"/>
      <c r="H29" s="16"/>
      <c r="J29" s="12"/>
      <c r="K29" s="13"/>
      <c r="L29" s="15"/>
      <c r="M29" s="23"/>
      <c r="N29" s="22"/>
      <c r="O29" s="22"/>
      <c r="P29" s="16"/>
      <c r="Q29" s="16"/>
    </row>
    <row r="30" spans="1:17" hidden="1">
      <c r="A30" s="12"/>
      <c r="B30" s="13"/>
      <c r="C30" s="15"/>
      <c r="D30" s="22"/>
      <c r="E30" s="22"/>
      <c r="F30" s="22"/>
      <c r="G30" s="16"/>
      <c r="H30" s="16"/>
      <c r="J30" s="12"/>
      <c r="K30" s="13"/>
      <c r="L30" s="15"/>
      <c r="M30" s="22"/>
      <c r="N30" s="22"/>
      <c r="O30" s="22"/>
      <c r="P30" s="16"/>
      <c r="Q30" s="16"/>
    </row>
    <row r="31" spans="1:17" hidden="1">
      <c r="A31" s="12"/>
      <c r="B31" s="13"/>
      <c r="C31" s="15"/>
      <c r="D31" s="23"/>
      <c r="E31" s="22"/>
      <c r="F31" s="22"/>
      <c r="G31" s="16"/>
      <c r="H31" s="16"/>
      <c r="J31" s="12"/>
      <c r="K31" s="13"/>
      <c r="L31" s="15"/>
      <c r="M31" s="23"/>
      <c r="N31" s="22"/>
      <c r="O31" s="22"/>
      <c r="P31" s="16"/>
      <c r="Q31" s="16"/>
    </row>
    <row r="32" spans="1:17">
      <c r="A32" s="25"/>
      <c r="B32" s="19"/>
      <c r="C32" s="26" t="s">
        <v>24</v>
      </c>
      <c r="D32" s="27">
        <f>SUM(D23:D31)</f>
        <v>1860000</v>
      </c>
      <c r="E32" s="27"/>
      <c r="F32" s="27"/>
      <c r="G32" s="27"/>
      <c r="H32" s="27"/>
      <c r="J32" s="25"/>
      <c r="K32" s="19"/>
      <c r="L32" s="26" t="s">
        <v>24</v>
      </c>
      <c r="M32" s="27">
        <f>SUM(M23:M31)</f>
        <v>1860000</v>
      </c>
      <c r="N32" s="27"/>
      <c r="O32" s="27"/>
      <c r="P32" s="27"/>
      <c r="Q32" s="27"/>
    </row>
    <row r="33" spans="1:17">
      <c r="A33" s="20"/>
      <c r="B33" s="19"/>
      <c r="C33" s="134" t="s">
        <v>21</v>
      </c>
      <c r="D33" s="10"/>
      <c r="E33" s="530">
        <f>D32</f>
        <v>1860000</v>
      </c>
      <c r="F33" s="530"/>
      <c r="G33" s="530"/>
      <c r="H33" s="530"/>
      <c r="J33" s="20"/>
      <c r="K33" s="19"/>
      <c r="L33" s="139" t="s">
        <v>21</v>
      </c>
      <c r="M33" s="10"/>
      <c r="N33" s="530">
        <f>M32</f>
        <v>1860000</v>
      </c>
      <c r="O33" s="530"/>
      <c r="P33" s="530"/>
      <c r="Q33" s="530"/>
    </row>
    <row r="34" spans="1:17">
      <c r="A34" s="524" t="s">
        <v>333</v>
      </c>
      <c r="B34" s="524"/>
      <c r="C34" s="524"/>
      <c r="D34" s="524"/>
      <c r="E34" s="524"/>
      <c r="F34" s="524"/>
      <c r="G34" s="524"/>
      <c r="H34" s="524"/>
      <c r="J34" s="524" t="s">
        <v>333</v>
      </c>
      <c r="K34" s="524"/>
      <c r="L34" s="524"/>
      <c r="M34" s="524"/>
      <c r="N34" s="524"/>
      <c r="O34" s="524"/>
      <c r="P34" s="524"/>
      <c r="Q34" s="524"/>
    </row>
    <row r="35" spans="1:17">
      <c r="A35" s="28"/>
      <c r="B35" s="23" t="s">
        <v>296</v>
      </c>
      <c r="C35" s="23" t="s">
        <v>335</v>
      </c>
      <c r="D35" s="23">
        <v>130000</v>
      </c>
      <c r="E35" s="28"/>
      <c r="F35" s="28"/>
      <c r="G35" s="28"/>
      <c r="H35" s="28"/>
      <c r="J35" s="28"/>
      <c r="K35" s="23" t="s">
        <v>296</v>
      </c>
      <c r="L35" s="23" t="s">
        <v>335</v>
      </c>
      <c r="M35" s="23">
        <v>130000</v>
      </c>
      <c r="N35" s="28"/>
      <c r="O35" s="28"/>
      <c r="P35" s="28"/>
      <c r="Q35" s="28"/>
    </row>
    <row r="36" spans="1:17">
      <c r="A36" s="28"/>
      <c r="B36" s="23"/>
      <c r="C36" s="23"/>
      <c r="D36" s="23"/>
      <c r="E36" s="28"/>
      <c r="F36" s="28"/>
      <c r="G36" s="28"/>
      <c r="H36" s="28"/>
      <c r="J36" s="28"/>
      <c r="K36" s="23"/>
      <c r="L36" s="23"/>
      <c r="M36" s="23"/>
      <c r="N36" s="28"/>
      <c r="O36" s="28"/>
      <c r="P36" s="28"/>
      <c r="Q36" s="28"/>
    </row>
    <row r="37" spans="1:17" hidden="1">
      <c r="A37" s="28"/>
      <c r="B37" s="23"/>
      <c r="C37" s="23"/>
      <c r="D37" s="23"/>
      <c r="E37" s="28"/>
      <c r="F37" s="28"/>
      <c r="G37" s="28"/>
      <c r="H37" s="28"/>
      <c r="J37" s="28"/>
      <c r="K37" s="23"/>
      <c r="L37" s="23"/>
      <c r="M37" s="23"/>
      <c r="N37" s="28"/>
      <c r="O37" s="28"/>
      <c r="P37" s="28"/>
      <c r="Q37" s="28"/>
    </row>
    <row r="38" spans="1:17" hidden="1">
      <c r="A38" s="28"/>
      <c r="B38" s="23"/>
      <c r="C38" s="23"/>
      <c r="D38" s="23"/>
      <c r="E38" s="28"/>
      <c r="F38" s="28"/>
      <c r="G38" s="28"/>
      <c r="H38" s="28"/>
      <c r="J38" s="28"/>
      <c r="K38" s="23"/>
      <c r="L38" s="23"/>
      <c r="M38" s="23"/>
      <c r="N38" s="28"/>
      <c r="O38" s="28"/>
      <c r="P38" s="28"/>
      <c r="Q38" s="28"/>
    </row>
    <row r="39" spans="1:17" hidden="1">
      <c r="A39" s="28"/>
      <c r="B39" s="23"/>
      <c r="C39" s="23"/>
      <c r="D39" s="23"/>
      <c r="E39" s="28"/>
      <c r="F39" s="28"/>
      <c r="G39" s="28"/>
      <c r="H39" s="28"/>
      <c r="J39" s="28"/>
      <c r="K39" s="23"/>
      <c r="L39" s="23"/>
      <c r="M39" s="23"/>
      <c r="N39" s="28"/>
      <c r="O39" s="28"/>
      <c r="P39" s="28"/>
      <c r="Q39" s="28"/>
    </row>
    <row r="40" spans="1:17" hidden="1">
      <c r="A40" s="28"/>
      <c r="B40" s="23"/>
      <c r="C40" s="23"/>
      <c r="D40" s="23"/>
      <c r="E40" s="28"/>
      <c r="F40" s="28"/>
      <c r="G40" s="28"/>
      <c r="H40" s="28"/>
      <c r="J40" s="28"/>
      <c r="K40" s="23"/>
      <c r="L40" s="23"/>
      <c r="M40" s="23"/>
      <c r="N40" s="28"/>
      <c r="O40" s="28"/>
      <c r="P40" s="28"/>
      <c r="Q40" s="28"/>
    </row>
    <row r="41" spans="1:17">
      <c r="A41" s="12"/>
      <c r="B41" s="13"/>
      <c r="C41" s="26" t="s">
        <v>334</v>
      </c>
      <c r="D41" s="27">
        <f>SUM(D35:D39)</f>
        <v>130000</v>
      </c>
      <c r="E41" s="27">
        <v>0</v>
      </c>
      <c r="F41" s="27">
        <v>0</v>
      </c>
      <c r="G41" s="27"/>
      <c r="H41" s="27"/>
      <c r="J41" s="12"/>
      <c r="K41" s="13"/>
      <c r="L41" s="26" t="s">
        <v>334</v>
      </c>
      <c r="M41" s="27">
        <f>SUM(M35:M39)</f>
        <v>130000</v>
      </c>
      <c r="N41" s="27">
        <v>0</v>
      </c>
      <c r="O41" s="27">
        <v>0</v>
      </c>
      <c r="P41" s="27"/>
      <c r="Q41" s="27"/>
    </row>
    <row r="42" spans="1:17">
      <c r="A42" s="20"/>
      <c r="B42" s="19"/>
      <c r="C42" s="134" t="s">
        <v>21</v>
      </c>
      <c r="D42" s="10"/>
      <c r="E42" s="530">
        <f>D41</f>
        <v>130000</v>
      </c>
      <c r="F42" s="530"/>
      <c r="G42" s="530"/>
      <c r="H42" s="530"/>
      <c r="J42" s="20"/>
      <c r="K42" s="19"/>
      <c r="L42" s="139" t="s">
        <v>21</v>
      </c>
      <c r="M42" s="10"/>
      <c r="N42" s="530">
        <f>M41</f>
        <v>130000</v>
      </c>
      <c r="O42" s="530"/>
      <c r="P42" s="530"/>
      <c r="Q42" s="530"/>
    </row>
    <row r="43" spans="1:17">
      <c r="A43" s="524" t="s">
        <v>87</v>
      </c>
      <c r="B43" s="524"/>
      <c r="C43" s="524"/>
      <c r="D43" s="524"/>
      <c r="E43" s="524"/>
      <c r="F43" s="524"/>
      <c r="G43" s="524"/>
      <c r="H43" s="524"/>
      <c r="J43" s="524" t="s">
        <v>87</v>
      </c>
      <c r="K43" s="524"/>
      <c r="L43" s="524"/>
      <c r="M43" s="524"/>
      <c r="N43" s="524"/>
      <c r="O43" s="524"/>
      <c r="P43" s="524"/>
      <c r="Q43" s="524"/>
    </row>
    <row r="44" spans="1:17">
      <c r="A44" s="28"/>
      <c r="B44" s="23" t="s">
        <v>294</v>
      </c>
      <c r="C44" s="23" t="s">
        <v>345</v>
      </c>
      <c r="D44" s="23">
        <f>165000+130000</f>
        <v>295000</v>
      </c>
      <c r="E44" s="28"/>
      <c r="F44" s="28"/>
      <c r="G44" s="28"/>
      <c r="H44" s="28"/>
      <c r="J44" s="28"/>
      <c r="K44" s="23" t="s">
        <v>294</v>
      </c>
      <c r="L44" s="23" t="s">
        <v>345</v>
      </c>
      <c r="M44" s="23">
        <f>165000+130000</f>
        <v>295000</v>
      </c>
      <c r="N44" s="28"/>
      <c r="O44" s="28"/>
      <c r="P44" s="28"/>
      <c r="Q44" s="28"/>
    </row>
    <row r="45" spans="1:17">
      <c r="A45" s="28"/>
      <c r="B45" s="23"/>
      <c r="C45" s="23"/>
      <c r="D45" s="23"/>
      <c r="E45" s="28"/>
      <c r="F45" s="28"/>
      <c r="G45" s="28"/>
      <c r="H45" s="28"/>
      <c r="J45" s="28"/>
      <c r="K45" s="23"/>
      <c r="L45" s="23"/>
      <c r="M45" s="23"/>
      <c r="N45" s="28"/>
      <c r="O45" s="28"/>
      <c r="P45" s="28"/>
      <c r="Q45" s="28"/>
    </row>
    <row r="46" spans="1:17" hidden="1">
      <c r="A46" s="28"/>
      <c r="B46" s="23"/>
      <c r="C46" s="23"/>
      <c r="D46" s="23"/>
      <c r="E46" s="28"/>
      <c r="F46" s="28"/>
      <c r="G46" s="28"/>
      <c r="H46" s="28"/>
      <c r="J46" s="28"/>
      <c r="K46" s="23"/>
      <c r="L46" s="23"/>
      <c r="M46" s="23"/>
      <c r="N46" s="28"/>
      <c r="O46" s="28"/>
      <c r="P46" s="28"/>
      <c r="Q46" s="28"/>
    </row>
    <row r="47" spans="1:17">
      <c r="A47" s="12"/>
      <c r="B47" s="13"/>
      <c r="C47" s="26" t="s">
        <v>166</v>
      </c>
      <c r="D47" s="27">
        <f>SUM(D44:D45)</f>
        <v>295000</v>
      </c>
      <c r="E47" s="27">
        <v>0</v>
      </c>
      <c r="F47" s="27">
        <v>0</v>
      </c>
      <c r="G47" s="27"/>
      <c r="H47" s="27"/>
      <c r="J47" s="12"/>
      <c r="K47" s="13"/>
      <c r="L47" s="26" t="s">
        <v>166</v>
      </c>
      <c r="M47" s="27">
        <f>SUM(M44:M45)</f>
        <v>295000</v>
      </c>
      <c r="N47" s="27">
        <v>0</v>
      </c>
      <c r="O47" s="27">
        <v>0</v>
      </c>
      <c r="P47" s="27"/>
      <c r="Q47" s="27"/>
    </row>
    <row r="48" spans="1:17">
      <c r="A48" s="20"/>
      <c r="B48" s="19"/>
      <c r="C48" s="134" t="s">
        <v>21</v>
      </c>
      <c r="D48" s="10"/>
      <c r="E48" s="530">
        <f>D47</f>
        <v>295000</v>
      </c>
      <c r="F48" s="530"/>
      <c r="G48" s="530"/>
      <c r="H48" s="530"/>
      <c r="J48" s="20"/>
      <c r="K48" s="19"/>
      <c r="L48" s="139" t="s">
        <v>21</v>
      </c>
      <c r="M48" s="10"/>
      <c r="N48" s="530">
        <f>M47</f>
        <v>295000</v>
      </c>
      <c r="O48" s="530"/>
      <c r="P48" s="530"/>
      <c r="Q48" s="530"/>
    </row>
    <row r="49" spans="1:17">
      <c r="A49" s="524" t="s">
        <v>54</v>
      </c>
      <c r="B49" s="524"/>
      <c r="C49" s="524"/>
      <c r="D49" s="524"/>
      <c r="E49" s="524"/>
      <c r="F49" s="524"/>
      <c r="G49" s="524"/>
      <c r="H49" s="524"/>
      <c r="J49" s="524" t="s">
        <v>54</v>
      </c>
      <c r="K49" s="524"/>
      <c r="L49" s="524"/>
      <c r="M49" s="524"/>
      <c r="N49" s="524"/>
      <c r="O49" s="524"/>
      <c r="P49" s="524"/>
      <c r="Q49" s="524"/>
    </row>
    <row r="50" spans="1:17">
      <c r="A50" s="28"/>
      <c r="B50" s="19" t="s">
        <v>342</v>
      </c>
      <c r="C50" s="23" t="s">
        <v>343</v>
      </c>
      <c r="D50" s="23">
        <v>12000000</v>
      </c>
      <c r="E50" s="28"/>
      <c r="F50" s="28"/>
      <c r="G50" s="28"/>
      <c r="H50" s="28"/>
      <c r="J50" s="28"/>
      <c r="K50" s="19" t="s">
        <v>342</v>
      </c>
      <c r="L50" s="23" t="s">
        <v>343</v>
      </c>
      <c r="M50" s="23">
        <v>12000000</v>
      </c>
      <c r="N50" s="28"/>
      <c r="O50" s="28"/>
      <c r="P50" s="28"/>
      <c r="Q50" s="28"/>
    </row>
    <row r="51" spans="1:17">
      <c r="A51" s="28"/>
      <c r="B51" s="19" t="s">
        <v>340</v>
      </c>
      <c r="C51" s="23" t="s">
        <v>263</v>
      </c>
      <c r="D51" s="23">
        <f>220000*7</f>
        <v>1540000</v>
      </c>
      <c r="E51" s="28"/>
      <c r="F51" s="28"/>
      <c r="G51" s="28"/>
      <c r="H51" s="28"/>
      <c r="J51" s="28"/>
      <c r="K51" s="19" t="s">
        <v>340</v>
      </c>
      <c r="L51" s="23" t="s">
        <v>263</v>
      </c>
      <c r="M51" s="23">
        <f>220000*7</f>
        <v>1540000</v>
      </c>
      <c r="N51" s="28"/>
      <c r="O51" s="28"/>
      <c r="P51" s="28"/>
      <c r="Q51" s="28"/>
    </row>
    <row r="52" spans="1:17">
      <c r="A52" s="28"/>
      <c r="B52" s="19" t="s">
        <v>340</v>
      </c>
      <c r="C52" s="23" t="s">
        <v>262</v>
      </c>
      <c r="D52" s="23">
        <f>150000*5</f>
        <v>750000</v>
      </c>
      <c r="E52" s="28"/>
      <c r="F52" s="28"/>
      <c r="G52" s="28"/>
      <c r="H52" s="28"/>
      <c r="J52" s="28"/>
      <c r="K52" s="19" t="s">
        <v>340</v>
      </c>
      <c r="L52" s="23" t="s">
        <v>262</v>
      </c>
      <c r="M52" s="23">
        <f>150000*5</f>
        <v>750000</v>
      </c>
      <c r="N52" s="28"/>
      <c r="O52" s="28"/>
      <c r="P52" s="28"/>
      <c r="Q52" s="28"/>
    </row>
    <row r="53" spans="1:17">
      <c r="A53" s="28"/>
      <c r="B53" s="19" t="s">
        <v>340</v>
      </c>
      <c r="C53" s="23" t="s">
        <v>305</v>
      </c>
      <c r="D53" s="23">
        <v>12000000</v>
      </c>
      <c r="E53" s="28"/>
      <c r="F53" s="28"/>
      <c r="G53" s="28"/>
      <c r="H53" s="28"/>
      <c r="J53" s="28"/>
      <c r="K53" s="19" t="s">
        <v>340</v>
      </c>
      <c r="L53" s="23" t="s">
        <v>305</v>
      </c>
      <c r="M53" s="23">
        <v>12000000</v>
      </c>
      <c r="N53" s="28"/>
      <c r="O53" s="28"/>
      <c r="P53" s="28"/>
      <c r="Q53" s="28"/>
    </row>
    <row r="54" spans="1:17">
      <c r="A54" s="28"/>
      <c r="B54" s="19" t="s">
        <v>340</v>
      </c>
      <c r="C54" s="23" t="s">
        <v>330</v>
      </c>
      <c r="D54" s="23">
        <v>5950000</v>
      </c>
      <c r="E54" s="28"/>
      <c r="F54" s="28"/>
      <c r="G54" s="28"/>
      <c r="H54" s="28"/>
      <c r="J54" s="28"/>
      <c r="K54" s="19" t="s">
        <v>340</v>
      </c>
      <c r="L54" s="23" t="s">
        <v>330</v>
      </c>
      <c r="M54" s="23">
        <v>5950000</v>
      </c>
      <c r="N54" s="28"/>
      <c r="O54" s="28"/>
      <c r="P54" s="28"/>
      <c r="Q54" s="28"/>
    </row>
    <row r="55" spans="1:17">
      <c r="A55" s="12"/>
      <c r="B55" s="19" t="s">
        <v>340</v>
      </c>
      <c r="C55" s="24" t="s">
        <v>331</v>
      </c>
      <c r="D55" s="23">
        <v>300000</v>
      </c>
      <c r="E55" s="134"/>
      <c r="F55" s="134"/>
      <c r="G55" s="134"/>
      <c r="H55" s="134"/>
      <c r="J55" s="12"/>
      <c r="K55" s="19" t="s">
        <v>340</v>
      </c>
      <c r="L55" s="24" t="s">
        <v>331</v>
      </c>
      <c r="M55" s="23">
        <v>300000</v>
      </c>
      <c r="N55" s="139"/>
      <c r="O55" s="139"/>
      <c r="P55" s="139"/>
      <c r="Q55" s="139"/>
    </row>
    <row r="56" spans="1:17">
      <c r="A56" s="12"/>
      <c r="B56" s="19"/>
      <c r="C56" s="24"/>
      <c r="D56" s="23"/>
      <c r="E56" s="134"/>
      <c r="F56" s="134"/>
      <c r="G56" s="134"/>
      <c r="H56" s="134"/>
      <c r="J56" s="12"/>
      <c r="K56" s="19"/>
      <c r="L56" s="24"/>
      <c r="M56" s="23"/>
      <c r="N56" s="139"/>
      <c r="O56" s="139"/>
      <c r="P56" s="139"/>
      <c r="Q56" s="139"/>
    </row>
    <row r="57" spans="1:17">
      <c r="A57" s="12"/>
      <c r="B57" s="13"/>
      <c r="C57" s="26" t="s">
        <v>55</v>
      </c>
      <c r="D57" s="27">
        <f>SUM(D50:D55)</f>
        <v>32540000</v>
      </c>
      <c r="E57" s="27">
        <v>0</v>
      </c>
      <c r="F57" s="27">
        <v>0</v>
      </c>
      <c r="G57" s="27"/>
      <c r="H57" s="27"/>
      <c r="J57" s="12"/>
      <c r="K57" s="13"/>
      <c r="L57" s="26" t="s">
        <v>55</v>
      </c>
      <c r="M57" s="27">
        <f>SUM(M50:M55)</f>
        <v>32540000</v>
      </c>
      <c r="N57" s="27">
        <v>0</v>
      </c>
      <c r="O57" s="27">
        <v>0</v>
      </c>
      <c r="P57" s="27"/>
      <c r="Q57" s="27"/>
    </row>
    <row r="58" spans="1:17">
      <c r="A58" s="20"/>
      <c r="B58" s="19"/>
      <c r="C58" s="134" t="s">
        <v>21</v>
      </c>
      <c r="D58" s="10"/>
      <c r="E58" s="530">
        <f>D57</f>
        <v>32540000</v>
      </c>
      <c r="F58" s="530"/>
      <c r="G58" s="530"/>
      <c r="H58" s="530"/>
      <c r="J58" s="20"/>
      <c r="K58" s="19"/>
      <c r="L58" s="139" t="s">
        <v>21</v>
      </c>
      <c r="M58" s="10"/>
      <c r="N58" s="530">
        <f>M57</f>
        <v>32540000</v>
      </c>
      <c r="O58" s="530"/>
      <c r="P58" s="530"/>
      <c r="Q58" s="530"/>
    </row>
    <row r="59" spans="1:17">
      <c r="A59" s="524" t="s">
        <v>144</v>
      </c>
      <c r="B59" s="524"/>
      <c r="C59" s="524"/>
      <c r="D59" s="524"/>
      <c r="E59" s="524"/>
      <c r="F59" s="524"/>
      <c r="G59" s="524"/>
      <c r="H59" s="524"/>
      <c r="J59" s="524" t="s">
        <v>144</v>
      </c>
      <c r="K59" s="524"/>
      <c r="L59" s="524"/>
      <c r="M59" s="524"/>
      <c r="N59" s="524"/>
      <c r="O59" s="524"/>
      <c r="P59" s="524"/>
      <c r="Q59" s="524"/>
    </row>
    <row r="60" spans="1:17">
      <c r="A60" s="28"/>
      <c r="B60" s="23" t="s">
        <v>341</v>
      </c>
      <c r="C60" s="23" t="s">
        <v>332</v>
      </c>
      <c r="D60" s="23">
        <v>150000</v>
      </c>
      <c r="E60" s="28"/>
      <c r="F60" s="28"/>
      <c r="G60" s="28"/>
      <c r="H60" s="28"/>
      <c r="J60" s="28"/>
      <c r="K60" s="23" t="s">
        <v>341</v>
      </c>
      <c r="L60" s="23" t="s">
        <v>332</v>
      </c>
      <c r="M60" s="23">
        <v>150000</v>
      </c>
      <c r="N60" s="28"/>
      <c r="O60" s="28"/>
      <c r="P60" s="28"/>
      <c r="Q60" s="28"/>
    </row>
    <row r="61" spans="1:17">
      <c r="A61" s="28"/>
      <c r="B61" s="23"/>
      <c r="C61" s="23"/>
      <c r="D61" s="23"/>
      <c r="E61" s="28"/>
      <c r="F61" s="28"/>
      <c r="G61" s="28"/>
      <c r="H61" s="28"/>
      <c r="J61" s="28"/>
      <c r="K61" s="23"/>
      <c r="L61" s="23"/>
      <c r="M61" s="23"/>
      <c r="N61" s="28"/>
      <c r="O61" s="28"/>
      <c r="P61" s="28"/>
      <c r="Q61" s="28"/>
    </row>
    <row r="62" spans="1:17">
      <c r="A62" s="12"/>
      <c r="B62" s="19"/>
      <c r="C62" s="24"/>
      <c r="D62" s="23"/>
      <c r="E62" s="134"/>
      <c r="F62" s="134"/>
      <c r="G62" s="134"/>
      <c r="H62" s="134"/>
      <c r="J62" s="12"/>
      <c r="K62" s="19"/>
      <c r="L62" s="24"/>
      <c r="M62" s="23"/>
      <c r="N62" s="139"/>
      <c r="O62" s="139"/>
      <c r="P62" s="139"/>
      <c r="Q62" s="139"/>
    </row>
    <row r="63" spans="1:17">
      <c r="A63" s="12"/>
      <c r="B63" s="13"/>
      <c r="C63" s="26" t="s">
        <v>196</v>
      </c>
      <c r="D63" s="27">
        <f>SUM(D60:D62)</f>
        <v>150000</v>
      </c>
      <c r="E63" s="27">
        <v>0</v>
      </c>
      <c r="F63" s="27">
        <v>0</v>
      </c>
      <c r="G63" s="27"/>
      <c r="H63" s="27"/>
      <c r="J63" s="12"/>
      <c r="K63" s="13"/>
      <c r="L63" s="26" t="s">
        <v>196</v>
      </c>
      <c r="M63" s="27">
        <f>SUM(M60:M62)</f>
        <v>150000</v>
      </c>
      <c r="N63" s="27">
        <v>0</v>
      </c>
      <c r="O63" s="27">
        <v>0</v>
      </c>
      <c r="P63" s="27"/>
      <c r="Q63" s="27"/>
    </row>
    <row r="64" spans="1:17">
      <c r="A64" s="20"/>
      <c r="B64" s="19"/>
      <c r="C64" s="134" t="s">
        <v>21</v>
      </c>
      <c r="D64" s="10"/>
      <c r="E64" s="530">
        <f>D63</f>
        <v>150000</v>
      </c>
      <c r="F64" s="530"/>
      <c r="G64" s="530"/>
      <c r="H64" s="530"/>
      <c r="J64" s="20"/>
      <c r="K64" s="19"/>
      <c r="L64" s="139" t="s">
        <v>21</v>
      </c>
      <c r="M64" s="10"/>
      <c r="N64" s="530">
        <f>M63</f>
        <v>150000</v>
      </c>
      <c r="O64" s="530"/>
      <c r="P64" s="530"/>
      <c r="Q64" s="530"/>
    </row>
    <row r="65" spans="1:17">
      <c r="A65" s="527" t="s">
        <v>26</v>
      </c>
      <c r="B65" s="528"/>
      <c r="C65" s="528"/>
      <c r="D65" s="528"/>
      <c r="E65" s="528"/>
      <c r="F65" s="528"/>
      <c r="G65" s="528"/>
      <c r="H65" s="529"/>
      <c r="J65" s="527" t="s">
        <v>26</v>
      </c>
      <c r="K65" s="528"/>
      <c r="L65" s="528"/>
      <c r="M65" s="528"/>
      <c r="N65" s="528"/>
      <c r="O65" s="528"/>
      <c r="P65" s="528"/>
      <c r="Q65" s="529"/>
    </row>
    <row r="66" spans="1:17">
      <c r="A66" s="12"/>
      <c r="B66" s="19" t="s">
        <v>289</v>
      </c>
      <c r="C66" s="24" t="s">
        <v>286</v>
      </c>
      <c r="D66" s="23">
        <v>2465000</v>
      </c>
      <c r="E66" s="22"/>
      <c r="F66" s="22"/>
      <c r="G66" s="16"/>
      <c r="H66" s="16"/>
      <c r="J66" s="12"/>
      <c r="K66" s="19" t="s">
        <v>289</v>
      </c>
      <c r="L66" s="24" t="s">
        <v>286</v>
      </c>
      <c r="M66" s="23">
        <v>2465000</v>
      </c>
      <c r="N66" s="22"/>
      <c r="O66" s="22"/>
      <c r="P66" s="16"/>
      <c r="Q66" s="16"/>
    </row>
    <row r="67" spans="1:17">
      <c r="A67" s="12"/>
      <c r="B67" s="19" t="s">
        <v>303</v>
      </c>
      <c r="C67" s="24" t="s">
        <v>304</v>
      </c>
      <c r="D67" s="23">
        <v>363500</v>
      </c>
      <c r="E67" s="22"/>
      <c r="F67" s="22"/>
      <c r="G67" s="16"/>
      <c r="H67" s="16"/>
      <c r="J67" s="12"/>
      <c r="K67" s="19" t="s">
        <v>303</v>
      </c>
      <c r="L67" s="24" t="s">
        <v>304</v>
      </c>
      <c r="M67" s="23">
        <v>363500</v>
      </c>
      <c r="N67" s="22"/>
      <c r="O67" s="22"/>
      <c r="P67" s="16"/>
      <c r="Q67" s="16"/>
    </row>
    <row r="68" spans="1:17">
      <c r="A68" s="12"/>
      <c r="B68" s="19" t="s">
        <v>337</v>
      </c>
      <c r="C68" s="23" t="s">
        <v>338</v>
      </c>
      <c r="D68" s="23">
        <v>1033000</v>
      </c>
      <c r="E68" s="22"/>
      <c r="F68" s="22"/>
      <c r="G68" s="16"/>
      <c r="H68" s="16"/>
      <c r="J68" s="12"/>
      <c r="K68" s="19" t="s">
        <v>337</v>
      </c>
      <c r="L68" s="23" t="s">
        <v>338</v>
      </c>
      <c r="M68" s="23">
        <v>1033000</v>
      </c>
      <c r="N68" s="22"/>
      <c r="O68" s="22"/>
      <c r="P68" s="16"/>
      <c r="Q68" s="16"/>
    </row>
    <row r="69" spans="1:17">
      <c r="A69" s="12"/>
      <c r="B69" s="19" t="s">
        <v>337</v>
      </c>
      <c r="C69" s="24" t="s">
        <v>339</v>
      </c>
      <c r="D69" s="23">
        <v>5000</v>
      </c>
      <c r="E69" s="22"/>
      <c r="F69" s="22"/>
      <c r="G69" s="16"/>
      <c r="H69" s="16"/>
      <c r="J69" s="12"/>
      <c r="K69" s="19" t="s">
        <v>337</v>
      </c>
      <c r="L69" s="24" t="s">
        <v>339</v>
      </c>
      <c r="M69" s="23">
        <v>5000</v>
      </c>
      <c r="N69" s="22"/>
      <c r="O69" s="22"/>
      <c r="P69" s="16"/>
      <c r="Q69" s="16"/>
    </row>
    <row r="70" spans="1:17">
      <c r="A70" s="12"/>
      <c r="B70" s="19"/>
      <c r="C70" s="24"/>
      <c r="D70" s="23"/>
      <c r="E70" s="22"/>
      <c r="F70" s="22"/>
      <c r="G70" s="16"/>
      <c r="H70" s="16"/>
      <c r="J70" s="12"/>
      <c r="K70" s="19"/>
      <c r="L70" s="24"/>
      <c r="M70" s="23"/>
      <c r="N70" s="22"/>
      <c r="O70" s="22"/>
      <c r="P70" s="16"/>
      <c r="Q70" s="16"/>
    </row>
    <row r="71" spans="1:17" hidden="1">
      <c r="A71" s="12"/>
      <c r="B71" s="19"/>
      <c r="C71" s="24"/>
      <c r="D71" s="23"/>
      <c r="E71" s="22"/>
      <c r="F71" s="22"/>
      <c r="G71" s="16"/>
      <c r="H71" s="16"/>
      <c r="J71" s="12"/>
      <c r="K71" s="19"/>
      <c r="L71" s="24"/>
      <c r="M71" s="23"/>
      <c r="N71" s="22"/>
      <c r="O71" s="22"/>
      <c r="P71" s="16"/>
      <c r="Q71" s="16"/>
    </row>
    <row r="72" spans="1:17" hidden="1">
      <c r="A72" s="12"/>
      <c r="B72" s="19"/>
      <c r="C72" s="23"/>
      <c r="D72" s="23"/>
      <c r="E72" s="22"/>
      <c r="F72" s="22"/>
      <c r="G72" s="16"/>
      <c r="H72" s="16"/>
      <c r="J72" s="12"/>
      <c r="K72" s="19"/>
      <c r="L72" s="23"/>
      <c r="M72" s="23"/>
      <c r="N72" s="22"/>
      <c r="O72" s="22"/>
      <c r="P72" s="16"/>
      <c r="Q72" s="16"/>
    </row>
    <row r="73" spans="1:17" hidden="1">
      <c r="A73" s="12"/>
      <c r="B73" s="19"/>
      <c r="C73" s="23"/>
      <c r="D73" s="23"/>
      <c r="E73" s="22"/>
      <c r="F73" s="22"/>
      <c r="G73" s="16"/>
      <c r="H73" s="16"/>
      <c r="J73" s="12"/>
      <c r="K73" s="19"/>
      <c r="L73" s="23"/>
      <c r="M73" s="23"/>
      <c r="N73" s="22"/>
      <c r="O73" s="22"/>
      <c r="P73" s="16"/>
      <c r="Q73" s="16"/>
    </row>
    <row r="74" spans="1:17" hidden="1">
      <c r="A74" s="12"/>
      <c r="B74" s="19"/>
      <c r="C74" s="23"/>
      <c r="D74" s="23"/>
      <c r="E74" s="22"/>
      <c r="F74" s="22"/>
      <c r="G74" s="16"/>
      <c r="H74" s="16"/>
      <c r="J74" s="12"/>
      <c r="K74" s="19"/>
      <c r="L74" s="23"/>
      <c r="M74" s="23"/>
      <c r="N74" s="22"/>
      <c r="O74" s="22"/>
      <c r="P74" s="16"/>
      <c r="Q74" s="16"/>
    </row>
    <row r="75" spans="1:17" hidden="1">
      <c r="A75" s="12"/>
      <c r="B75" s="19"/>
      <c r="C75" s="24"/>
      <c r="D75" s="23"/>
      <c r="E75" s="22"/>
      <c r="F75" s="22"/>
      <c r="G75" s="16"/>
      <c r="H75" s="16"/>
      <c r="J75" s="12"/>
      <c r="K75" s="19"/>
      <c r="L75" s="24"/>
      <c r="M75" s="23"/>
      <c r="N75" s="22"/>
      <c r="O75" s="22"/>
      <c r="P75" s="16"/>
      <c r="Q75" s="16"/>
    </row>
    <row r="76" spans="1:17" hidden="1">
      <c r="A76" s="12"/>
      <c r="B76" s="19"/>
      <c r="C76" s="24"/>
      <c r="D76" s="23"/>
      <c r="E76" s="22"/>
      <c r="F76" s="22"/>
      <c r="G76" s="16"/>
      <c r="H76" s="16"/>
      <c r="J76" s="12"/>
      <c r="K76" s="19"/>
      <c r="L76" s="24"/>
      <c r="M76" s="23"/>
      <c r="N76" s="22"/>
      <c r="O76" s="22"/>
      <c r="P76" s="16"/>
      <c r="Q76" s="16"/>
    </row>
    <row r="77" spans="1:17">
      <c r="A77" s="25"/>
      <c r="B77" s="19"/>
      <c r="C77" s="26" t="s">
        <v>31</v>
      </c>
      <c r="D77" s="27">
        <f>SUM(D66:D76)</f>
        <v>3866500</v>
      </c>
      <c r="E77" s="27"/>
      <c r="F77" s="27"/>
      <c r="G77" s="27"/>
      <c r="H77" s="27"/>
      <c r="J77" s="25"/>
      <c r="K77" s="19"/>
      <c r="L77" s="26" t="s">
        <v>31</v>
      </c>
      <c r="M77" s="27">
        <f>SUM(M66:M76)</f>
        <v>3866500</v>
      </c>
      <c r="N77" s="27"/>
      <c r="O77" s="27"/>
      <c r="P77" s="27"/>
      <c r="Q77" s="27"/>
    </row>
    <row r="78" spans="1:17">
      <c r="A78" s="20"/>
      <c r="B78" s="19"/>
      <c r="C78" s="134" t="s">
        <v>21</v>
      </c>
      <c r="D78" s="10"/>
      <c r="E78" s="530">
        <f>D77</f>
        <v>3866500</v>
      </c>
      <c r="F78" s="530"/>
      <c r="G78" s="530"/>
      <c r="H78" s="530"/>
      <c r="J78" s="20"/>
      <c r="K78" s="19"/>
      <c r="L78" s="139" t="s">
        <v>21</v>
      </c>
      <c r="M78" s="10"/>
      <c r="N78" s="530">
        <f>M77</f>
        <v>3866500</v>
      </c>
      <c r="O78" s="530"/>
      <c r="P78" s="530"/>
      <c r="Q78" s="530"/>
    </row>
    <row r="79" spans="1:17">
      <c r="A79" s="527" t="s">
        <v>32</v>
      </c>
      <c r="B79" s="528"/>
      <c r="C79" s="528"/>
      <c r="D79" s="528"/>
      <c r="E79" s="528"/>
      <c r="F79" s="528"/>
      <c r="G79" s="528"/>
      <c r="H79" s="529"/>
      <c r="J79" s="527" t="s">
        <v>32</v>
      </c>
      <c r="K79" s="528"/>
      <c r="L79" s="528"/>
      <c r="M79" s="528"/>
      <c r="N79" s="528"/>
      <c r="O79" s="528"/>
      <c r="P79" s="528"/>
      <c r="Q79" s="529"/>
    </row>
    <row r="80" spans="1:17">
      <c r="A80" s="12"/>
      <c r="B80" s="13" t="s">
        <v>344</v>
      </c>
      <c r="C80" s="22" t="s">
        <v>336</v>
      </c>
      <c r="D80" s="22">
        <v>148000</v>
      </c>
      <c r="E80" s="134"/>
      <c r="F80" s="134"/>
      <c r="G80" s="134"/>
      <c r="H80" s="134"/>
      <c r="J80" s="12"/>
      <c r="K80" s="13" t="s">
        <v>344</v>
      </c>
      <c r="L80" s="22" t="s">
        <v>336</v>
      </c>
      <c r="M80" s="22">
        <v>148000</v>
      </c>
      <c r="N80" s="139"/>
      <c r="O80" s="139"/>
      <c r="P80" s="139"/>
      <c r="Q80" s="139"/>
    </row>
    <row r="81" spans="1:17">
      <c r="A81" s="12"/>
      <c r="B81" s="13"/>
      <c r="C81" s="22"/>
      <c r="D81" s="29"/>
      <c r="E81" s="134"/>
      <c r="F81" s="134"/>
      <c r="G81" s="134"/>
      <c r="H81" s="134"/>
      <c r="J81" s="12"/>
      <c r="K81" s="13"/>
      <c r="L81" s="22"/>
      <c r="M81" s="29"/>
      <c r="N81" s="139"/>
      <c r="O81" s="139"/>
      <c r="P81" s="139"/>
      <c r="Q81" s="139"/>
    </row>
    <row r="82" spans="1:17">
      <c r="A82" s="12"/>
      <c r="B82" s="13"/>
      <c r="C82" s="26" t="s">
        <v>34</v>
      </c>
      <c r="D82" s="27">
        <f>SUM(D80:D81)</f>
        <v>148000</v>
      </c>
      <c r="E82" s="27">
        <v>0</v>
      </c>
      <c r="F82" s="27">
        <v>0</v>
      </c>
      <c r="G82" s="27"/>
      <c r="H82" s="27"/>
      <c r="J82" s="12"/>
      <c r="K82" s="13"/>
      <c r="L82" s="26" t="s">
        <v>34</v>
      </c>
      <c r="M82" s="27">
        <f>SUM(M80:M81)</f>
        <v>148000</v>
      </c>
      <c r="N82" s="27">
        <v>0</v>
      </c>
      <c r="O82" s="27">
        <v>0</v>
      </c>
      <c r="P82" s="27"/>
      <c r="Q82" s="27"/>
    </row>
    <row r="83" spans="1:17">
      <c r="A83" s="20"/>
      <c r="B83" s="19"/>
      <c r="C83" s="134" t="s">
        <v>21</v>
      </c>
      <c r="D83" s="10"/>
      <c r="E83" s="531">
        <f>D82</f>
        <v>148000</v>
      </c>
      <c r="F83" s="532"/>
      <c r="G83" s="532"/>
      <c r="H83" s="533"/>
      <c r="J83" s="20"/>
      <c r="K83" s="19"/>
      <c r="L83" s="139" t="s">
        <v>21</v>
      </c>
      <c r="M83" s="10"/>
      <c r="N83" s="531">
        <f>M82</f>
        <v>148000</v>
      </c>
      <c r="O83" s="532"/>
      <c r="P83" s="532"/>
      <c r="Q83" s="533"/>
    </row>
    <row r="84" spans="1:17">
      <c r="A84" s="525" t="s">
        <v>35</v>
      </c>
      <c r="B84" s="525"/>
      <c r="C84" s="525"/>
      <c r="D84" s="131"/>
      <c r="E84" s="526">
        <f>E33+E42+E78+E83+E58+E64+E48</f>
        <v>38989500</v>
      </c>
      <c r="F84" s="526"/>
      <c r="G84" s="526"/>
      <c r="H84" s="526"/>
      <c r="J84" s="525" t="s">
        <v>35</v>
      </c>
      <c r="K84" s="525"/>
      <c r="L84" s="525"/>
      <c r="M84" s="137"/>
      <c r="N84" s="526">
        <f>N33+N42+N78+N83+N58+N64+N48</f>
        <v>38989500</v>
      </c>
      <c r="O84" s="526"/>
      <c r="P84" s="526"/>
      <c r="Q84" s="526"/>
    </row>
    <row r="85" spans="1:17">
      <c r="A85" s="522" t="s">
        <v>36</v>
      </c>
      <c r="B85" s="522"/>
      <c r="C85" s="522"/>
      <c r="D85" s="133"/>
      <c r="E85" s="523">
        <f>+E21+E84</f>
        <v>38989500</v>
      </c>
      <c r="F85" s="523"/>
      <c r="G85" s="523"/>
      <c r="H85" s="523"/>
      <c r="J85" s="522" t="s">
        <v>36</v>
      </c>
      <c r="K85" s="522"/>
      <c r="L85" s="522"/>
      <c r="M85" s="136"/>
      <c r="N85" s="523">
        <f>+N21+N84</f>
        <v>38989500</v>
      </c>
      <c r="O85" s="523"/>
      <c r="P85" s="523"/>
      <c r="Q85" s="523"/>
    </row>
    <row r="86" spans="1:17">
      <c r="A86" s="524" t="s">
        <v>32</v>
      </c>
      <c r="B86" s="524"/>
      <c r="C86" s="524"/>
      <c r="D86" s="524"/>
      <c r="E86" s="524"/>
      <c r="F86" s="524"/>
      <c r="G86" s="524"/>
      <c r="H86" s="524"/>
      <c r="J86" s="524" t="s">
        <v>32</v>
      </c>
      <c r="K86" s="524"/>
      <c r="L86" s="524"/>
      <c r="M86" s="524"/>
      <c r="N86" s="524"/>
      <c r="O86" s="524"/>
      <c r="P86" s="524"/>
      <c r="Q86" s="524"/>
    </row>
    <row r="87" spans="1:17">
      <c r="A87" s="33"/>
      <c r="B87" s="13"/>
      <c r="C87" s="22"/>
      <c r="D87" s="22"/>
      <c r="E87" s="22"/>
      <c r="F87" s="22"/>
      <c r="G87" s="16"/>
      <c r="H87" s="16"/>
      <c r="J87" s="33"/>
      <c r="K87" s="13"/>
      <c r="L87" s="22"/>
      <c r="M87" s="22"/>
      <c r="N87" s="22"/>
      <c r="O87" s="22"/>
      <c r="P87" s="16"/>
      <c r="Q87" s="16"/>
    </row>
    <row r="88" spans="1:17">
      <c r="A88" s="33"/>
      <c r="B88" s="13"/>
      <c r="C88" s="22"/>
      <c r="D88" s="22"/>
      <c r="E88" s="22"/>
      <c r="F88" s="22"/>
      <c r="G88" s="16"/>
      <c r="H88" s="16"/>
      <c r="J88" s="33"/>
      <c r="K88" s="13"/>
      <c r="L88" s="22"/>
      <c r="M88" s="22"/>
      <c r="N88" s="22"/>
      <c r="O88" s="22"/>
      <c r="P88" s="16"/>
      <c r="Q88" s="16"/>
    </row>
    <row r="89" spans="1:17">
      <c r="A89" s="33"/>
      <c r="B89" s="13"/>
      <c r="C89" s="22"/>
      <c r="D89" s="22"/>
      <c r="E89" s="22"/>
      <c r="F89" s="22"/>
      <c r="G89" s="16"/>
      <c r="H89" s="16"/>
      <c r="J89" s="33"/>
      <c r="K89" s="13"/>
      <c r="L89" s="22"/>
      <c r="M89" s="22"/>
      <c r="N89" s="22"/>
      <c r="O89" s="22"/>
      <c r="P89" s="16"/>
      <c r="Q89" s="16"/>
    </row>
    <row r="90" spans="1:17">
      <c r="A90" s="20"/>
      <c r="B90" s="13"/>
      <c r="C90" s="22"/>
      <c r="D90" s="22"/>
      <c r="E90" s="22"/>
      <c r="F90" s="16"/>
      <c r="G90" s="16"/>
      <c r="H90" s="16"/>
      <c r="J90" s="20"/>
      <c r="K90" s="13"/>
      <c r="L90" s="22"/>
      <c r="M90" s="22"/>
      <c r="N90" s="22"/>
      <c r="O90" s="16"/>
      <c r="P90" s="16"/>
      <c r="Q90" s="16"/>
    </row>
    <row r="91" spans="1:17">
      <c r="A91" s="20"/>
      <c r="B91" s="13"/>
      <c r="C91" s="22"/>
      <c r="D91" s="22"/>
      <c r="E91" s="22"/>
      <c r="F91" s="16"/>
      <c r="G91" s="16"/>
      <c r="H91" s="16"/>
      <c r="J91" s="20"/>
      <c r="K91" s="13"/>
      <c r="L91" s="22"/>
      <c r="M91" s="22"/>
      <c r="N91" s="22"/>
      <c r="O91" s="16"/>
      <c r="P91" s="16"/>
      <c r="Q91" s="16"/>
    </row>
    <row r="92" spans="1:17">
      <c r="A92" s="525" t="s">
        <v>37</v>
      </c>
      <c r="B92" s="525"/>
      <c r="C92" s="525"/>
      <c r="D92" s="131">
        <f>SUM(D87:D91)</f>
        <v>0</v>
      </c>
      <c r="E92" s="526"/>
      <c r="F92" s="526"/>
      <c r="G92" s="526"/>
      <c r="H92" s="526"/>
      <c r="J92" s="525" t="s">
        <v>37</v>
      </c>
      <c r="K92" s="525"/>
      <c r="L92" s="525"/>
      <c r="M92" s="137">
        <f>SUM(M87:M91)</f>
        <v>0</v>
      </c>
      <c r="N92" s="526"/>
      <c r="O92" s="526"/>
      <c r="P92" s="526"/>
      <c r="Q92" s="526"/>
    </row>
    <row r="93" spans="1:17">
      <c r="A93" s="34" t="s">
        <v>38</v>
      </c>
      <c r="B93" s="35"/>
      <c r="C93" s="131"/>
      <c r="D93" s="131"/>
      <c r="E93" s="132"/>
      <c r="F93" s="132"/>
      <c r="G93" s="526"/>
      <c r="H93" s="526"/>
      <c r="J93" s="34" t="s">
        <v>38</v>
      </c>
      <c r="K93" s="35"/>
      <c r="L93" s="137"/>
      <c r="M93" s="137"/>
      <c r="N93" s="138"/>
      <c r="O93" s="138"/>
      <c r="P93" s="526"/>
      <c r="Q93" s="526"/>
    </row>
    <row r="94" spans="1:17">
      <c r="A94" s="37"/>
      <c r="B94" s="38"/>
      <c r="C94" s="39"/>
      <c r="D94" s="39"/>
      <c r="E94" s="39"/>
      <c r="F94" s="39"/>
      <c r="G94" s="39"/>
      <c r="H94" s="39"/>
      <c r="J94" s="37"/>
      <c r="K94" s="38"/>
      <c r="L94" s="39"/>
      <c r="M94" s="39"/>
      <c r="N94" s="39"/>
      <c r="O94" s="39"/>
      <c r="P94" s="39"/>
      <c r="Q94" s="39"/>
    </row>
    <row r="95" spans="1:17">
      <c r="A95" s="519" t="s">
        <v>13</v>
      </c>
      <c r="B95" s="520"/>
      <c r="C95" s="520"/>
      <c r="D95" s="520"/>
      <c r="E95" s="521"/>
      <c r="F95" s="39"/>
      <c r="G95" s="39"/>
      <c r="H95" s="40"/>
      <c r="J95" s="519" t="s">
        <v>13</v>
      </c>
      <c r="K95" s="520"/>
      <c r="L95" s="520"/>
      <c r="M95" s="520"/>
      <c r="N95" s="521"/>
      <c r="O95" s="39"/>
      <c r="P95" s="39"/>
      <c r="Q95" s="40"/>
    </row>
    <row r="96" spans="1:17">
      <c r="A96" s="41" t="s">
        <v>39</v>
      </c>
      <c r="B96" s="42" t="s">
        <v>40</v>
      </c>
      <c r="C96" s="43" t="s">
        <v>41</v>
      </c>
      <c r="D96" s="43" t="s">
        <v>42</v>
      </c>
      <c r="E96" s="43" t="s">
        <v>43</v>
      </c>
      <c r="F96" s="39"/>
      <c r="G96" s="39"/>
      <c r="H96" s="39"/>
      <c r="J96" s="41" t="s">
        <v>39</v>
      </c>
      <c r="K96" s="42" t="s">
        <v>40</v>
      </c>
      <c r="L96" s="43" t="s">
        <v>41</v>
      </c>
      <c r="M96" s="43" t="s">
        <v>42</v>
      </c>
      <c r="N96" s="43" t="s">
        <v>43</v>
      </c>
      <c r="O96" s="39"/>
      <c r="P96" s="39"/>
      <c r="Q96" s="39"/>
    </row>
    <row r="97" spans="1:17">
      <c r="A97" s="41"/>
      <c r="B97" s="44"/>
      <c r="C97" s="45"/>
      <c r="D97" s="46"/>
      <c r="E97" s="46"/>
      <c r="F97" s="39"/>
      <c r="G97" s="39"/>
      <c r="H97" s="39"/>
      <c r="J97" s="41"/>
      <c r="K97" s="44"/>
      <c r="L97" s="45" t="s">
        <v>348</v>
      </c>
      <c r="M97" s="46">
        <v>38989500</v>
      </c>
      <c r="N97" s="46"/>
      <c r="O97" s="39"/>
      <c r="P97" s="39"/>
      <c r="Q97" s="39"/>
    </row>
    <row r="98" spans="1:17">
      <c r="A98" s="41"/>
      <c r="B98" s="44"/>
      <c r="C98" s="45"/>
      <c r="D98" s="46"/>
      <c r="E98" s="46"/>
      <c r="F98" s="39"/>
      <c r="G98" s="39"/>
      <c r="H98" s="39"/>
      <c r="J98" s="41"/>
      <c r="K98" s="44"/>
      <c r="L98" s="45"/>
      <c r="M98" s="46"/>
      <c r="N98" s="46"/>
      <c r="O98" s="39"/>
      <c r="P98" s="39"/>
      <c r="Q98" s="39"/>
    </row>
    <row r="99" spans="1:17">
      <c r="A99" s="41"/>
      <c r="B99" s="44"/>
      <c r="C99" s="45"/>
      <c r="D99" s="46"/>
      <c r="E99" s="46"/>
      <c r="F99" s="39"/>
      <c r="G99" s="39"/>
      <c r="H99" s="39"/>
      <c r="J99" s="41"/>
      <c r="K99" s="44"/>
      <c r="L99" s="45"/>
      <c r="M99" s="46"/>
      <c r="N99" s="46"/>
      <c r="O99" s="39"/>
      <c r="P99" s="39"/>
      <c r="Q99" s="39"/>
    </row>
    <row r="100" spans="1:17">
      <c r="A100" s="41"/>
      <c r="B100" s="44"/>
      <c r="C100" s="47"/>
      <c r="D100" s="46"/>
      <c r="E100" s="46"/>
      <c r="F100" s="39"/>
      <c r="G100" s="39"/>
      <c r="H100" s="39"/>
      <c r="J100" s="41"/>
      <c r="K100" s="44"/>
      <c r="L100" s="47"/>
      <c r="M100" s="46"/>
      <c r="N100" s="46"/>
      <c r="O100" s="39"/>
      <c r="P100" s="39"/>
      <c r="Q100" s="39"/>
    </row>
    <row r="101" spans="1:17">
      <c r="A101" s="41"/>
      <c r="B101" s="44"/>
      <c r="C101" s="46"/>
      <c r="D101" s="48"/>
      <c r="E101" s="46"/>
      <c r="F101" s="39"/>
      <c r="G101" s="39"/>
      <c r="H101" s="39"/>
      <c r="J101" s="41"/>
      <c r="K101" s="44"/>
      <c r="L101" s="46"/>
      <c r="M101" s="48"/>
      <c r="N101" s="46"/>
      <c r="O101" s="39"/>
      <c r="P101" s="39"/>
      <c r="Q101" s="39"/>
    </row>
    <row r="102" spans="1:17">
      <c r="A102" s="49"/>
      <c r="B102" s="50"/>
      <c r="C102" s="51" t="s">
        <v>44</v>
      </c>
      <c r="D102" s="51">
        <f>SUM(D97:D101)</f>
        <v>0</v>
      </c>
      <c r="E102" s="52"/>
      <c r="F102" s="39"/>
      <c r="G102" s="39"/>
      <c r="H102" s="39"/>
      <c r="J102" s="49"/>
      <c r="K102" s="50"/>
      <c r="L102" s="51" t="s">
        <v>44</v>
      </c>
      <c r="M102" s="51">
        <f>SUM(M97:M101)</f>
        <v>38989500</v>
      </c>
      <c r="N102" s="52"/>
      <c r="O102" s="39"/>
      <c r="P102" s="39"/>
      <c r="Q102" s="39"/>
    </row>
    <row r="103" spans="1:17">
      <c r="A103" s="53"/>
      <c r="B103" s="54"/>
      <c r="C103" s="55"/>
      <c r="D103" s="56"/>
      <c r="E103" s="3"/>
      <c r="F103" s="39"/>
      <c r="G103" s="39"/>
      <c r="H103" s="39"/>
      <c r="J103" s="53"/>
      <c r="K103" s="54"/>
      <c r="L103" s="55"/>
      <c r="M103" s="56"/>
      <c r="N103" s="3"/>
      <c r="O103" s="39"/>
      <c r="P103" s="39"/>
      <c r="Q103" s="39"/>
    </row>
  </sheetData>
  <mergeCells count="68">
    <mergeCell ref="A95:E95"/>
    <mergeCell ref="A85:C85"/>
    <mergeCell ref="E85:H85"/>
    <mergeCell ref="A86:H86"/>
    <mergeCell ref="A92:C92"/>
    <mergeCell ref="E92:H92"/>
    <mergeCell ref="G93:H93"/>
    <mergeCell ref="A84:C84"/>
    <mergeCell ref="E84:H84"/>
    <mergeCell ref="E42:H42"/>
    <mergeCell ref="A43:H43"/>
    <mergeCell ref="E48:H48"/>
    <mergeCell ref="A49:H49"/>
    <mergeCell ref="E58:H58"/>
    <mergeCell ref="A59:H59"/>
    <mergeCell ref="E64:H64"/>
    <mergeCell ref="A65:H65"/>
    <mergeCell ref="E78:H78"/>
    <mergeCell ref="A79:H79"/>
    <mergeCell ref="E83:H83"/>
    <mergeCell ref="A34:H34"/>
    <mergeCell ref="A3:H3"/>
    <mergeCell ref="A11:G11"/>
    <mergeCell ref="A12:H12"/>
    <mergeCell ref="A13:A14"/>
    <mergeCell ref="B13:B14"/>
    <mergeCell ref="C13:C14"/>
    <mergeCell ref="D13:D14"/>
    <mergeCell ref="E13:H13"/>
    <mergeCell ref="B20:G20"/>
    <mergeCell ref="A21:D21"/>
    <mergeCell ref="E21:H21"/>
    <mergeCell ref="A22:H22"/>
    <mergeCell ref="E33:H33"/>
    <mergeCell ref="J3:Q3"/>
    <mergeCell ref="J11:P11"/>
    <mergeCell ref="J12:Q12"/>
    <mergeCell ref="J13:J14"/>
    <mergeCell ref="K13:K14"/>
    <mergeCell ref="L13:L14"/>
    <mergeCell ref="M13:M14"/>
    <mergeCell ref="N13:Q13"/>
    <mergeCell ref="K20:P20"/>
    <mergeCell ref="J21:M21"/>
    <mergeCell ref="N21:Q21"/>
    <mergeCell ref="J22:Q22"/>
    <mergeCell ref="N33:Q33"/>
    <mergeCell ref="J34:Q34"/>
    <mergeCell ref="N42:Q42"/>
    <mergeCell ref="J43:Q43"/>
    <mergeCell ref="N48:Q48"/>
    <mergeCell ref="J49:Q49"/>
    <mergeCell ref="N58:Q58"/>
    <mergeCell ref="J59:Q59"/>
    <mergeCell ref="N64:Q64"/>
    <mergeCell ref="J65:Q65"/>
    <mergeCell ref="N78:Q78"/>
    <mergeCell ref="J79:Q79"/>
    <mergeCell ref="N83:Q83"/>
    <mergeCell ref="J84:L84"/>
    <mergeCell ref="N84:Q84"/>
    <mergeCell ref="J85:L85"/>
    <mergeCell ref="N85:Q85"/>
    <mergeCell ref="J86:Q86"/>
    <mergeCell ref="J92:L92"/>
    <mergeCell ref="N92:Q92"/>
    <mergeCell ref="P93:Q93"/>
    <mergeCell ref="J95:N95"/>
  </mergeCells>
  <pageMargins left="0.11811023622047245" right="0.11811023622047245" top="0.23622047244094491" bottom="0.74803149606299213" header="0.11811023622047245" footer="0.31496062992125984"/>
  <pageSetup paperSize="9" scale="66" orientation="portrait" horizontalDpi="360" verticalDpi="360" r:id="rId1"/>
  <colBreaks count="1" manualBreakCount="1">
    <brk id="8" max="102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6"/>
  <sheetViews>
    <sheetView workbookViewId="0"/>
  </sheetViews>
  <sheetFormatPr defaultRowHeight="15"/>
  <cols>
    <col min="3" max="3" width="27.28515625" bestFit="1" customWidth="1"/>
    <col min="4" max="4" width="10" bestFit="1" customWidth="1"/>
  </cols>
  <sheetData>
    <row r="1" spans="1:8">
      <c r="A1" s="1" t="s">
        <v>0</v>
      </c>
      <c r="B1" s="2"/>
      <c r="C1" s="3"/>
      <c r="D1" s="3"/>
      <c r="E1" s="3"/>
      <c r="F1" s="3"/>
      <c r="G1" s="3"/>
      <c r="H1" s="3"/>
    </row>
    <row r="2" spans="1:8">
      <c r="A2" s="1" t="s">
        <v>311</v>
      </c>
      <c r="B2" s="2"/>
      <c r="C2" s="3"/>
      <c r="D2" s="3"/>
      <c r="E2" s="3"/>
      <c r="F2" s="3"/>
      <c r="G2" s="3"/>
      <c r="H2" s="3"/>
    </row>
    <row r="3" spans="1:8">
      <c r="A3" s="534" t="s">
        <v>1</v>
      </c>
      <c r="B3" s="534"/>
      <c r="C3" s="534"/>
      <c r="D3" s="534"/>
      <c r="E3" s="534"/>
      <c r="F3" s="534"/>
      <c r="G3" s="534"/>
      <c r="H3" s="534"/>
    </row>
    <row r="4" spans="1:8">
      <c r="A4" s="4"/>
      <c r="B4" s="5"/>
      <c r="C4" s="6" t="s">
        <v>2</v>
      </c>
      <c r="D4" s="7">
        <v>0</v>
      </c>
      <c r="E4" s="6"/>
      <c r="F4" s="6"/>
      <c r="G4" s="6"/>
      <c r="H4" s="6"/>
    </row>
    <row r="5" spans="1:8">
      <c r="A5" s="4"/>
      <c r="B5" s="5"/>
      <c r="C5" s="6" t="s">
        <v>3</v>
      </c>
      <c r="D5" s="8"/>
      <c r="E5" s="6"/>
      <c r="F5" s="6"/>
      <c r="G5" s="6"/>
      <c r="H5" s="6"/>
    </row>
    <row r="6" spans="1:8">
      <c r="A6" s="4"/>
      <c r="B6" s="5"/>
      <c r="C6" s="6" t="s">
        <v>4</v>
      </c>
      <c r="D6" s="9"/>
      <c r="E6" s="6"/>
      <c r="F6" s="6"/>
      <c r="G6" s="6"/>
      <c r="H6" s="6"/>
    </row>
    <row r="7" spans="1:8">
      <c r="A7" s="4"/>
      <c r="B7" s="5"/>
      <c r="C7" s="6" t="s">
        <v>5</v>
      </c>
      <c r="D7" s="6"/>
      <c r="E7" s="6"/>
      <c r="F7" s="6"/>
      <c r="G7" s="6"/>
      <c r="H7" s="6"/>
    </row>
    <row r="8" spans="1:8">
      <c r="A8" s="4"/>
      <c r="B8" s="5"/>
      <c r="C8" s="6" t="s">
        <v>6</v>
      </c>
      <c r="D8" s="6"/>
      <c r="E8" s="6"/>
      <c r="F8" s="6"/>
      <c r="G8" s="6"/>
      <c r="H8" s="6"/>
    </row>
    <row r="9" spans="1:8">
      <c r="A9" s="4"/>
      <c r="B9" s="5"/>
      <c r="C9" s="6" t="s">
        <v>7</v>
      </c>
      <c r="D9" s="6"/>
      <c r="E9" s="6"/>
      <c r="F9" s="6"/>
      <c r="G9" s="6"/>
      <c r="H9" s="6"/>
    </row>
    <row r="10" spans="1:8">
      <c r="A10" s="4"/>
      <c r="B10" s="5"/>
      <c r="C10" s="6"/>
      <c r="D10" s="6"/>
      <c r="E10" s="6"/>
      <c r="F10" s="6"/>
      <c r="G10" s="6"/>
      <c r="H10" s="6"/>
    </row>
    <row r="11" spans="1:8">
      <c r="A11" s="530" t="s">
        <v>154</v>
      </c>
      <c r="B11" s="530"/>
      <c r="C11" s="530"/>
      <c r="D11" s="10"/>
      <c r="E11" s="10"/>
      <c r="F11" s="10"/>
      <c r="G11" s="10"/>
      <c r="H11" s="10">
        <f>SUM(D4:D9)</f>
        <v>0</v>
      </c>
    </row>
    <row r="12" spans="1:8">
      <c r="A12" s="524" t="s">
        <v>109</v>
      </c>
      <c r="B12" s="524"/>
      <c r="C12" s="524"/>
      <c r="D12" s="524"/>
      <c r="E12" s="524"/>
      <c r="F12" s="524"/>
      <c r="G12" s="524"/>
      <c r="H12" s="524"/>
    </row>
    <row r="13" spans="1:8">
      <c r="A13" s="12"/>
      <c r="B13" s="13" t="s">
        <v>213</v>
      </c>
      <c r="C13" s="15" t="s">
        <v>111</v>
      </c>
      <c r="D13" s="22"/>
      <c r="E13" s="22"/>
      <c r="F13" s="22"/>
      <c r="G13" s="16"/>
      <c r="H13" s="16"/>
    </row>
    <row r="14" spans="1:8">
      <c r="A14" s="12"/>
      <c r="B14" s="13" t="s">
        <v>213</v>
      </c>
      <c r="C14" s="15" t="s">
        <v>112</v>
      </c>
      <c r="D14" s="22">
        <v>150000</v>
      </c>
      <c r="E14" s="22"/>
      <c r="F14" s="22"/>
      <c r="G14" s="16"/>
      <c r="H14" s="16"/>
    </row>
    <row r="15" spans="1:8">
      <c r="A15" s="12"/>
      <c r="B15" s="13"/>
      <c r="C15" s="15"/>
      <c r="D15" s="22"/>
      <c r="E15" s="22"/>
      <c r="F15" s="22"/>
      <c r="G15" s="16"/>
      <c r="H15" s="16"/>
    </row>
    <row r="16" spans="1:8">
      <c r="A16" s="12"/>
      <c r="B16" s="13"/>
      <c r="C16" s="15"/>
      <c r="D16" s="22"/>
      <c r="E16" s="22"/>
      <c r="F16" s="22"/>
      <c r="G16" s="16"/>
      <c r="H16" s="16"/>
    </row>
    <row r="17" spans="1:8">
      <c r="A17" s="12"/>
      <c r="B17" s="13"/>
      <c r="C17" s="15"/>
      <c r="D17" s="23"/>
      <c r="E17" s="22"/>
      <c r="F17" s="22"/>
      <c r="G17" s="16"/>
      <c r="H17" s="16"/>
    </row>
    <row r="18" spans="1:8">
      <c r="A18" s="25"/>
      <c r="B18" s="19"/>
      <c r="C18" s="26" t="s">
        <v>107</v>
      </c>
      <c r="D18" s="27">
        <f>SUM(D13:D17)</f>
        <v>150000</v>
      </c>
      <c r="E18" s="27"/>
      <c r="F18" s="27"/>
      <c r="G18" s="27"/>
      <c r="H18" s="27"/>
    </row>
    <row r="19" spans="1:8">
      <c r="A19" s="20"/>
      <c r="B19" s="19"/>
      <c r="C19" s="139" t="s">
        <v>21</v>
      </c>
      <c r="D19" s="10"/>
      <c r="E19" s="530">
        <f>D18</f>
        <v>150000</v>
      </c>
      <c r="F19" s="530"/>
      <c r="G19" s="530"/>
      <c r="H19" s="530"/>
    </row>
    <row r="20" spans="1:8">
      <c r="A20" s="524" t="s">
        <v>114</v>
      </c>
      <c r="B20" s="524"/>
      <c r="C20" s="524"/>
      <c r="D20" s="524"/>
      <c r="E20" s="524"/>
      <c r="F20" s="524"/>
      <c r="G20" s="524"/>
      <c r="H20" s="524"/>
    </row>
    <row r="21" spans="1:8">
      <c r="A21" s="12"/>
      <c r="B21" s="19"/>
      <c r="C21" s="24"/>
      <c r="D21" s="22"/>
      <c r="E21" s="22"/>
      <c r="F21" s="22"/>
      <c r="G21" s="16"/>
      <c r="H21" s="16"/>
    </row>
    <row r="22" spans="1:8">
      <c r="A22" s="12"/>
      <c r="B22" s="13"/>
      <c r="C22" s="15"/>
      <c r="D22" s="22"/>
      <c r="E22" s="22"/>
      <c r="F22" s="22"/>
      <c r="G22" s="16"/>
      <c r="H22" s="16"/>
    </row>
    <row r="23" spans="1:8">
      <c r="A23" s="12"/>
      <c r="B23" s="13"/>
      <c r="C23" s="15"/>
      <c r="D23" s="22"/>
      <c r="E23" s="22"/>
      <c r="F23" s="22"/>
      <c r="G23" s="16"/>
      <c r="H23" s="16"/>
    </row>
    <row r="24" spans="1:8">
      <c r="A24" s="12"/>
      <c r="B24" s="13"/>
      <c r="C24" s="15"/>
      <c r="D24" s="22"/>
      <c r="E24" s="22"/>
      <c r="F24" s="22"/>
      <c r="G24" s="16"/>
      <c r="H24" s="16"/>
    </row>
    <row r="25" spans="1:8">
      <c r="A25" s="12"/>
      <c r="B25" s="13"/>
      <c r="C25" s="15"/>
      <c r="D25" s="23"/>
      <c r="E25" s="22"/>
      <c r="F25" s="22"/>
      <c r="G25" s="16"/>
      <c r="H25" s="16"/>
    </row>
    <row r="26" spans="1:8">
      <c r="A26" s="25"/>
      <c r="B26" s="19"/>
      <c r="C26" s="26" t="s">
        <v>107</v>
      </c>
      <c r="D26" s="27">
        <f>SUM(D21:D25)</f>
        <v>0</v>
      </c>
      <c r="E26" s="27"/>
      <c r="F26" s="27"/>
      <c r="G26" s="27"/>
      <c r="H26" s="27"/>
    </row>
    <row r="27" spans="1:8">
      <c r="A27" s="20"/>
      <c r="B27" s="19"/>
      <c r="C27" s="139" t="s">
        <v>21</v>
      </c>
      <c r="D27" s="10"/>
      <c r="E27" s="530">
        <f>D26</f>
        <v>0</v>
      </c>
      <c r="F27" s="530"/>
      <c r="G27" s="530"/>
      <c r="H27" s="530"/>
    </row>
    <row r="28" spans="1:8">
      <c r="A28" s="525" t="s">
        <v>115</v>
      </c>
      <c r="B28" s="525"/>
      <c r="C28" s="525"/>
      <c r="D28" s="137"/>
      <c r="E28" s="526">
        <f>E19+E27</f>
        <v>150000</v>
      </c>
      <c r="F28" s="526"/>
      <c r="G28" s="526"/>
      <c r="H28" s="526"/>
    </row>
    <row r="29" spans="1:8">
      <c r="A29" s="524" t="s">
        <v>32</v>
      </c>
      <c r="B29" s="524"/>
      <c r="C29" s="524"/>
      <c r="D29" s="524"/>
      <c r="E29" s="524"/>
      <c r="F29" s="524"/>
      <c r="G29" s="524"/>
      <c r="H29" s="524"/>
    </row>
    <row r="30" spans="1:8">
      <c r="A30" s="33"/>
      <c r="B30" s="13"/>
      <c r="C30" s="22"/>
      <c r="D30" s="22"/>
      <c r="E30" s="22"/>
      <c r="F30" s="22"/>
      <c r="G30" s="16"/>
      <c r="H30" s="16"/>
    </row>
    <row r="31" spans="1:8">
      <c r="A31" s="33"/>
      <c r="B31" s="13"/>
      <c r="C31" s="22"/>
      <c r="D31" s="22"/>
      <c r="E31" s="22"/>
      <c r="F31" s="22"/>
      <c r="G31" s="16"/>
      <c r="H31" s="16"/>
    </row>
    <row r="32" spans="1:8">
      <c r="A32" s="33"/>
      <c r="B32" s="13"/>
      <c r="C32" s="22"/>
      <c r="D32" s="22"/>
      <c r="E32" s="22"/>
      <c r="F32" s="22"/>
      <c r="G32" s="16"/>
      <c r="H32" s="16"/>
    </row>
    <row r="33" spans="1:8">
      <c r="A33" s="20"/>
      <c r="B33" s="13"/>
      <c r="C33" s="22"/>
      <c r="D33" s="22"/>
      <c r="E33" s="22"/>
      <c r="F33" s="16"/>
      <c r="G33" s="16"/>
      <c r="H33" s="16"/>
    </row>
    <row r="34" spans="1:8">
      <c r="A34" s="20"/>
      <c r="B34" s="13"/>
      <c r="C34" s="22"/>
      <c r="D34" s="22"/>
      <c r="E34" s="22"/>
      <c r="F34" s="16"/>
      <c r="G34" s="16"/>
      <c r="H34" s="16"/>
    </row>
    <row r="35" spans="1:8">
      <c r="A35" s="525" t="s">
        <v>37</v>
      </c>
      <c r="B35" s="525"/>
      <c r="C35" s="525"/>
      <c r="D35" s="137">
        <f>SUM(D30:D34)</f>
        <v>0</v>
      </c>
      <c r="E35" s="526"/>
      <c r="F35" s="526"/>
      <c r="G35" s="526"/>
      <c r="H35" s="526"/>
    </row>
    <row r="36" spans="1:8">
      <c r="A36" s="34" t="s">
        <v>38</v>
      </c>
      <c r="B36" s="35"/>
      <c r="C36" s="137"/>
      <c r="D36" s="137"/>
      <c r="E36" s="138"/>
      <c r="F36" s="138"/>
      <c r="G36" s="526"/>
      <c r="H36" s="526"/>
    </row>
    <row r="37" spans="1:8">
      <c r="A37" s="37"/>
      <c r="B37" s="38"/>
      <c r="C37" s="39"/>
      <c r="D37" s="39"/>
      <c r="E37" s="39"/>
      <c r="F37" s="39"/>
      <c r="G37" s="39"/>
      <c r="H37" s="39"/>
    </row>
    <row r="38" spans="1:8">
      <c r="A38" s="519" t="s">
        <v>13</v>
      </c>
      <c r="B38" s="520"/>
      <c r="C38" s="520"/>
      <c r="D38" s="520"/>
      <c r="E38" s="521"/>
      <c r="F38" s="39"/>
      <c r="G38" s="39"/>
      <c r="H38" s="40"/>
    </row>
    <row r="39" spans="1:8">
      <c r="A39" s="41" t="s">
        <v>39</v>
      </c>
      <c r="B39" s="42" t="s">
        <v>40</v>
      </c>
      <c r="C39" s="43" t="s">
        <v>41</v>
      </c>
      <c r="D39" s="43" t="s">
        <v>42</v>
      </c>
      <c r="E39" s="43" t="s">
        <v>43</v>
      </c>
      <c r="F39" s="39"/>
      <c r="G39" s="39"/>
      <c r="H39" s="39"/>
    </row>
    <row r="40" spans="1:8">
      <c r="A40" s="41"/>
      <c r="B40" s="44"/>
      <c r="C40" s="45"/>
      <c r="D40" s="46"/>
      <c r="E40" s="46"/>
      <c r="F40" s="39"/>
      <c r="G40" s="39"/>
      <c r="H40" s="39"/>
    </row>
    <row r="41" spans="1:8">
      <c r="A41" s="41"/>
      <c r="B41" s="44"/>
      <c r="C41" s="45"/>
      <c r="D41" s="46"/>
      <c r="E41" s="46"/>
      <c r="F41" s="39"/>
      <c r="G41" s="39"/>
      <c r="H41" s="39"/>
    </row>
    <row r="42" spans="1:8">
      <c r="A42" s="41"/>
      <c r="B42" s="44"/>
      <c r="C42" s="45"/>
      <c r="D42" s="46"/>
      <c r="E42" s="46"/>
      <c r="F42" s="39"/>
      <c r="G42" s="39"/>
      <c r="H42" s="39"/>
    </row>
    <row r="43" spans="1:8">
      <c r="A43" s="41"/>
      <c r="B43" s="44"/>
      <c r="C43" s="47"/>
      <c r="D43" s="46"/>
      <c r="E43" s="46"/>
      <c r="F43" s="39"/>
      <c r="G43" s="39"/>
      <c r="H43" s="39"/>
    </row>
    <row r="44" spans="1:8">
      <c r="A44" s="41"/>
      <c r="B44" s="44"/>
      <c r="C44" s="46"/>
      <c r="D44" s="48"/>
      <c r="E44" s="46"/>
      <c r="F44" s="39"/>
      <c r="G44" s="39"/>
      <c r="H44" s="39"/>
    </row>
    <row r="45" spans="1:8">
      <c r="A45" s="49"/>
      <c r="B45" s="50"/>
      <c r="C45" s="51" t="s">
        <v>44</v>
      </c>
      <c r="D45" s="51">
        <f>SUM(D40:D44)</f>
        <v>0</v>
      </c>
      <c r="E45" s="52"/>
      <c r="F45" s="39"/>
      <c r="G45" s="39"/>
      <c r="H45" s="39"/>
    </row>
    <row r="46" spans="1:8">
      <c r="A46" s="53"/>
      <c r="B46" s="54"/>
      <c r="C46" s="55"/>
      <c r="D46" s="56"/>
      <c r="E46" s="3"/>
      <c r="F46" s="39"/>
      <c r="G46" s="39"/>
      <c r="H46" s="39"/>
    </row>
  </sheetData>
  <mergeCells count="13">
    <mergeCell ref="E27:H27"/>
    <mergeCell ref="A3:H3"/>
    <mergeCell ref="A11:C11"/>
    <mergeCell ref="A12:H12"/>
    <mergeCell ref="E19:H19"/>
    <mergeCell ref="A20:H20"/>
    <mergeCell ref="A38:E38"/>
    <mergeCell ref="A28:C28"/>
    <mergeCell ref="E28:H28"/>
    <mergeCell ref="A29:H29"/>
    <mergeCell ref="A35:C35"/>
    <mergeCell ref="E35:H35"/>
    <mergeCell ref="G36:H3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4"/>
  <sheetViews>
    <sheetView workbookViewId="0"/>
  </sheetViews>
  <sheetFormatPr defaultRowHeight="15"/>
  <cols>
    <col min="1" max="1" width="75" bestFit="1" customWidth="1"/>
    <col min="2" max="2" width="15.85546875" bestFit="1" customWidth="1"/>
    <col min="3" max="3" width="26.140625" bestFit="1" customWidth="1"/>
    <col min="4" max="4" width="13.5703125" bestFit="1" customWidth="1"/>
    <col min="5" max="5" width="61.42578125" style="77" bestFit="1" customWidth="1"/>
    <col min="6" max="6" width="15.42578125" style="77" bestFit="1" customWidth="1"/>
    <col min="7" max="7" width="71.140625" bestFit="1" customWidth="1"/>
    <col min="8" max="8" width="16.7109375" bestFit="1" customWidth="1"/>
    <col min="14" max="14" width="14.42578125" bestFit="1" customWidth="1"/>
  </cols>
  <sheetData>
    <row r="1" spans="1:12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  <c r="K1" s="140" t="s">
        <v>52</v>
      </c>
      <c r="L1" s="140"/>
    </row>
    <row r="2" spans="1:12">
      <c r="A2" s="23" t="s">
        <v>335</v>
      </c>
      <c r="B2" s="23">
        <v>130000</v>
      </c>
      <c r="C2" s="14" t="s">
        <v>262</v>
      </c>
      <c r="D2" s="15">
        <v>750000</v>
      </c>
      <c r="E2" s="15" t="s">
        <v>329</v>
      </c>
      <c r="F2" s="22">
        <v>690000</v>
      </c>
      <c r="G2" s="14" t="s">
        <v>328</v>
      </c>
      <c r="H2" s="15">
        <v>800000</v>
      </c>
      <c r="I2" s="15"/>
      <c r="J2" s="22"/>
      <c r="K2" s="22"/>
      <c r="L2" s="29"/>
    </row>
    <row r="3" spans="1:12" ht="15.75">
      <c r="A3" s="15" t="s">
        <v>345</v>
      </c>
      <c r="B3" s="22">
        <v>295000</v>
      </c>
      <c r="C3" s="15" t="s">
        <v>332</v>
      </c>
      <c r="D3" s="23">
        <v>150000</v>
      </c>
      <c r="E3" s="15" t="s">
        <v>327</v>
      </c>
      <c r="F3" s="22">
        <v>370000</v>
      </c>
      <c r="G3" s="15" t="s">
        <v>343</v>
      </c>
      <c r="H3" s="22">
        <v>12000000</v>
      </c>
      <c r="I3" s="15"/>
      <c r="J3" s="22"/>
      <c r="K3" s="60"/>
      <c r="L3" s="60"/>
    </row>
    <row r="4" spans="1:12">
      <c r="A4" s="15" t="s">
        <v>263</v>
      </c>
      <c r="B4" s="22">
        <v>1540000</v>
      </c>
      <c r="C4" s="15" t="s">
        <v>339</v>
      </c>
      <c r="D4" s="22">
        <v>5000</v>
      </c>
      <c r="E4" s="15"/>
      <c r="F4" s="23"/>
      <c r="G4" s="15" t="s">
        <v>286</v>
      </c>
      <c r="H4" s="22">
        <v>2465000</v>
      </c>
      <c r="I4" s="15"/>
      <c r="J4" s="22"/>
      <c r="K4" s="61"/>
      <c r="L4" s="61"/>
    </row>
    <row r="5" spans="1:12">
      <c r="A5" s="15" t="s">
        <v>336</v>
      </c>
      <c r="B5" s="23">
        <v>148000</v>
      </c>
      <c r="C5" s="22" t="s">
        <v>349</v>
      </c>
      <c r="D5" s="61">
        <v>150000</v>
      </c>
      <c r="E5" s="15"/>
      <c r="F5" s="23"/>
      <c r="G5" s="22" t="s">
        <v>304</v>
      </c>
      <c r="H5" s="22">
        <v>363500</v>
      </c>
      <c r="I5" s="14"/>
      <c r="J5" s="15"/>
      <c r="K5" s="62"/>
      <c r="L5" s="62"/>
    </row>
    <row r="6" spans="1:12">
      <c r="A6" s="15" t="s">
        <v>330</v>
      </c>
      <c r="B6" s="23">
        <v>5950000</v>
      </c>
      <c r="C6" s="64"/>
      <c r="D6" s="61"/>
      <c r="E6" s="15"/>
      <c r="F6" s="22"/>
      <c r="G6" s="22" t="s">
        <v>338</v>
      </c>
      <c r="H6" s="29">
        <v>1033000</v>
      </c>
      <c r="I6" s="14"/>
      <c r="J6" s="15"/>
      <c r="K6" s="62"/>
      <c r="L6" s="62"/>
    </row>
    <row r="7" spans="1:12">
      <c r="A7" s="23" t="s">
        <v>331</v>
      </c>
      <c r="B7" s="23">
        <v>300000</v>
      </c>
      <c r="C7" s="22"/>
      <c r="D7" s="29"/>
      <c r="E7" s="15"/>
      <c r="F7" s="22"/>
      <c r="G7" s="15" t="s">
        <v>305</v>
      </c>
      <c r="H7" s="22">
        <v>12000000</v>
      </c>
      <c r="I7" s="14"/>
      <c r="J7" s="15"/>
      <c r="K7" s="62"/>
      <c r="L7" s="62"/>
    </row>
    <row r="8" spans="1:12">
      <c r="A8" s="15"/>
      <c r="B8" s="22"/>
      <c r="C8" s="22"/>
      <c r="D8" s="29"/>
      <c r="E8" s="22"/>
      <c r="F8" s="29"/>
      <c r="G8" s="14"/>
      <c r="H8" s="15"/>
      <c r="I8" s="22"/>
      <c r="J8" s="29"/>
      <c r="K8" s="62"/>
      <c r="L8" s="62"/>
    </row>
    <row r="9" spans="1:12" hidden="1">
      <c r="A9" s="64"/>
      <c r="B9" s="61"/>
      <c r="C9" s="22"/>
      <c r="D9" s="29"/>
      <c r="E9" s="61"/>
      <c r="F9" s="65"/>
      <c r="G9" s="14"/>
      <c r="H9" s="15"/>
      <c r="I9" s="22"/>
      <c r="J9" s="29"/>
      <c r="K9" s="62"/>
      <c r="L9" s="62"/>
    </row>
    <row r="10" spans="1:12" hidden="1">
      <c r="A10" s="64"/>
      <c r="B10" s="29"/>
      <c r="C10" s="66"/>
      <c r="D10" s="66"/>
      <c r="E10" s="61"/>
      <c r="F10" s="65"/>
      <c r="G10" s="14"/>
      <c r="H10" s="15"/>
      <c r="I10" s="22"/>
      <c r="J10" s="29"/>
      <c r="K10" s="62"/>
      <c r="L10" s="62"/>
    </row>
    <row r="11" spans="1:12" hidden="1">
      <c r="A11" s="64"/>
      <c r="B11" s="61"/>
      <c r="C11" s="66"/>
      <c r="D11" s="66"/>
      <c r="E11" s="61"/>
      <c r="F11" s="65"/>
      <c r="G11" s="14"/>
      <c r="H11" s="15"/>
      <c r="I11" s="22"/>
      <c r="J11" s="29"/>
      <c r="K11" s="62"/>
      <c r="L11" s="62"/>
    </row>
    <row r="12" spans="1:12" hidden="1">
      <c r="A12" s="64"/>
      <c r="B12" s="61"/>
      <c r="C12" s="66"/>
      <c r="D12" s="66"/>
      <c r="E12" s="61"/>
      <c r="F12" s="65"/>
      <c r="G12" s="15"/>
      <c r="H12" s="22"/>
      <c r="I12" s="22"/>
      <c r="J12" s="29"/>
      <c r="K12" s="62"/>
      <c r="L12" s="62"/>
    </row>
    <row r="13" spans="1:12" hidden="1">
      <c r="A13" s="64"/>
      <c r="B13" s="61"/>
      <c r="C13" s="66"/>
      <c r="D13" s="66"/>
      <c r="E13" s="61"/>
      <c r="F13" s="65"/>
      <c r="G13" s="15"/>
      <c r="H13" s="22"/>
      <c r="I13" s="62"/>
      <c r="J13" s="67"/>
      <c r="K13" s="62"/>
      <c r="L13" s="62"/>
    </row>
    <row r="14" spans="1:12" hidden="1">
      <c r="A14" s="68"/>
      <c r="B14" s="69"/>
      <c r="C14" s="69"/>
      <c r="D14" s="69"/>
      <c r="E14" s="69"/>
      <c r="F14" s="69"/>
      <c r="G14" s="15"/>
      <c r="H14" s="22"/>
      <c r="I14" s="68"/>
      <c r="J14" s="69"/>
      <c r="K14" s="68"/>
      <c r="L14" s="68"/>
    </row>
    <row r="15" spans="1:12" hidden="1">
      <c r="A15" s="68"/>
      <c r="B15" s="69"/>
      <c r="C15" s="69"/>
      <c r="D15" s="69"/>
      <c r="E15" s="69"/>
      <c r="F15" s="69"/>
      <c r="G15" s="117"/>
      <c r="H15" s="118"/>
      <c r="I15" s="68"/>
      <c r="J15" s="69"/>
      <c r="K15" s="68"/>
      <c r="L15" s="68"/>
    </row>
    <row r="16" spans="1:12" hidden="1">
      <c r="A16" s="68"/>
      <c r="B16" s="69"/>
      <c r="C16" s="69"/>
      <c r="D16" s="69"/>
      <c r="E16" s="69"/>
      <c r="F16" s="69"/>
      <c r="G16" s="119"/>
      <c r="H16" s="120"/>
      <c r="I16" s="68"/>
      <c r="J16" s="69"/>
      <c r="K16" s="68"/>
      <c r="L16" s="68"/>
    </row>
    <row r="17" spans="1:14" hidden="1">
      <c r="A17" s="68"/>
      <c r="B17" s="69"/>
      <c r="C17" s="69"/>
      <c r="D17" s="69"/>
      <c r="E17" s="69"/>
      <c r="F17" s="69"/>
      <c r="G17" s="119"/>
      <c r="H17" s="120"/>
      <c r="I17" s="68"/>
      <c r="J17" s="69"/>
      <c r="K17" s="68"/>
      <c r="L17" s="68"/>
    </row>
    <row r="18" spans="1:14" hidden="1">
      <c r="A18" s="68"/>
      <c r="B18" s="69"/>
      <c r="C18" s="69"/>
      <c r="D18" s="69"/>
      <c r="E18" s="69"/>
      <c r="F18" s="69"/>
      <c r="G18" s="119"/>
      <c r="H18" s="120"/>
      <c r="I18" s="68"/>
      <c r="J18" s="69"/>
      <c r="K18" s="68"/>
      <c r="L18" s="68"/>
    </row>
    <row r="19" spans="1:14" hidden="1">
      <c r="A19" s="68"/>
      <c r="B19" s="69"/>
      <c r="C19" s="69"/>
      <c r="D19" s="69"/>
      <c r="E19" s="69"/>
      <c r="F19" s="69"/>
      <c r="G19" s="119"/>
      <c r="H19" s="120"/>
      <c r="I19" s="68"/>
      <c r="J19" s="69"/>
      <c r="K19" s="68"/>
      <c r="L19" s="68"/>
    </row>
    <row r="20" spans="1:14" hidden="1">
      <c r="A20" s="68"/>
      <c r="B20" s="69"/>
      <c r="C20" s="69"/>
      <c r="D20" s="69"/>
      <c r="E20" s="69"/>
      <c r="F20" s="69"/>
      <c r="G20" s="119"/>
      <c r="H20" s="120"/>
      <c r="I20" s="68"/>
      <c r="J20" s="69"/>
      <c r="K20" s="68"/>
      <c r="L20" s="68"/>
    </row>
    <row r="21" spans="1:14" hidden="1">
      <c r="A21" s="68"/>
      <c r="B21" s="69"/>
      <c r="C21" s="69"/>
      <c r="D21" s="69"/>
      <c r="E21" s="69"/>
      <c r="F21" s="69"/>
      <c r="G21" s="119"/>
      <c r="H21" s="120"/>
      <c r="I21" s="68"/>
      <c r="J21" s="69"/>
      <c r="K21" s="68"/>
      <c r="L21" s="68"/>
    </row>
    <row r="22" spans="1:14" hidden="1">
      <c r="A22" s="68"/>
      <c r="B22" s="69"/>
      <c r="C22" s="69"/>
      <c r="D22" s="69"/>
      <c r="E22" s="69"/>
      <c r="F22" s="69"/>
      <c r="G22" s="119"/>
      <c r="H22" s="120"/>
      <c r="I22" s="68"/>
      <c r="J22" s="69"/>
      <c r="K22" s="68"/>
      <c r="L22" s="68"/>
    </row>
    <row r="23" spans="1:14" hidden="1">
      <c r="A23" s="68"/>
      <c r="B23" s="69"/>
      <c r="C23" s="69"/>
      <c r="D23" s="69"/>
      <c r="E23" s="69"/>
      <c r="F23" s="69"/>
      <c r="G23" s="119"/>
      <c r="H23" s="120"/>
      <c r="I23" s="68"/>
      <c r="J23" s="69"/>
      <c r="K23" s="68"/>
      <c r="L23" s="68"/>
    </row>
    <row r="24" spans="1:14" hidden="1">
      <c r="A24" s="68"/>
      <c r="B24" s="69"/>
      <c r="C24" s="69"/>
      <c r="D24" s="69"/>
      <c r="E24" s="69"/>
      <c r="F24" s="69"/>
      <c r="G24" s="119"/>
      <c r="H24" s="120"/>
      <c r="I24" s="68"/>
      <c r="J24" s="69"/>
      <c r="K24" s="68"/>
      <c r="L24" s="68"/>
    </row>
    <row r="25" spans="1:14" hidden="1">
      <c r="A25" s="68"/>
      <c r="B25" s="69"/>
      <c r="C25" s="69"/>
      <c r="D25" s="69"/>
      <c r="E25" s="69"/>
      <c r="F25" s="69"/>
      <c r="G25" s="119"/>
      <c r="H25" s="120"/>
      <c r="I25" s="68"/>
      <c r="J25" s="69"/>
      <c r="K25" s="68"/>
      <c r="L25" s="68"/>
    </row>
    <row r="26" spans="1:14" hidden="1">
      <c r="A26" s="68"/>
      <c r="B26" s="69"/>
      <c r="C26" s="69"/>
      <c r="D26" s="69"/>
      <c r="E26" s="69"/>
      <c r="F26" s="69"/>
      <c r="G26" s="119"/>
      <c r="H26" s="120"/>
      <c r="I26" s="68"/>
      <c r="J26" s="69"/>
      <c r="K26" s="68"/>
      <c r="L26" s="68"/>
    </row>
    <row r="27" spans="1:14" hidden="1">
      <c r="A27" s="68"/>
      <c r="B27" s="69"/>
      <c r="C27" s="69"/>
      <c r="D27" s="69"/>
      <c r="E27" s="69"/>
      <c r="F27" s="69"/>
      <c r="G27" s="119"/>
      <c r="H27" s="120"/>
      <c r="I27" s="68"/>
      <c r="J27" s="69"/>
      <c r="K27" s="68"/>
      <c r="L27" s="68"/>
    </row>
    <row r="28" spans="1:14" hidden="1">
      <c r="A28" s="68"/>
      <c r="B28" s="69"/>
      <c r="C28" s="69"/>
      <c r="D28" s="69"/>
      <c r="E28" s="69"/>
      <c r="F28" s="69"/>
      <c r="G28" s="119"/>
      <c r="H28" s="120"/>
      <c r="I28" s="68"/>
      <c r="J28" s="69"/>
      <c r="K28" s="68"/>
      <c r="L28" s="68"/>
    </row>
    <row r="29" spans="1:14">
      <c r="A29" s="70"/>
      <c r="B29" s="71">
        <f>SUM(B2:B27)</f>
        <v>8363000</v>
      </c>
      <c r="C29" s="71">
        <f t="shared" ref="C29:L29" si="0">SUM(C2:C27)</f>
        <v>0</v>
      </c>
      <c r="D29" s="71">
        <f t="shared" si="0"/>
        <v>1055000</v>
      </c>
      <c r="E29" s="71">
        <f t="shared" si="0"/>
        <v>0</v>
      </c>
      <c r="F29" s="71">
        <f t="shared" si="0"/>
        <v>1060000</v>
      </c>
      <c r="G29" s="71">
        <f t="shared" si="0"/>
        <v>0</v>
      </c>
      <c r="H29" s="71">
        <f t="shared" si="0"/>
        <v>28661500</v>
      </c>
      <c r="I29" s="71">
        <f t="shared" si="0"/>
        <v>0</v>
      </c>
      <c r="J29" s="71">
        <f t="shared" si="0"/>
        <v>0</v>
      </c>
      <c r="K29" s="71">
        <f t="shared" si="0"/>
        <v>0</v>
      </c>
      <c r="L29" s="71">
        <f t="shared" si="0"/>
        <v>0</v>
      </c>
      <c r="M29" s="72"/>
      <c r="N29" s="72">
        <f>SUM(B29:M29)-150000</f>
        <v>38989500</v>
      </c>
    </row>
    <row r="30" spans="1:14">
      <c r="B30" s="77"/>
      <c r="C30" t="s">
        <v>317</v>
      </c>
      <c r="D30" s="77">
        <v>100000</v>
      </c>
      <c r="N30" s="72">
        <f>N29-Sheet17!M97</f>
        <v>0</v>
      </c>
    </row>
    <row r="32" spans="1:14">
      <c r="D32" s="72">
        <f>D29-D30</f>
        <v>955000</v>
      </c>
    </row>
    <row r="39" spans="2:6">
      <c r="B39" s="77">
        <f>10454000+1600000</f>
        <v>12054000</v>
      </c>
    </row>
    <row r="40" spans="2:6">
      <c r="C40" t="s">
        <v>353</v>
      </c>
      <c r="D40" t="s">
        <v>352</v>
      </c>
      <c r="E40" s="77">
        <v>21700000</v>
      </c>
      <c r="F40" s="77">
        <f>E40*8</f>
        <v>173600000</v>
      </c>
    </row>
    <row r="41" spans="2:6">
      <c r="C41" t="s">
        <v>350</v>
      </c>
      <c r="D41" t="s">
        <v>351</v>
      </c>
      <c r="E41" s="77">
        <v>6300000</v>
      </c>
      <c r="F41" s="77">
        <f>E41*2</f>
        <v>12600000</v>
      </c>
    </row>
    <row r="43" spans="2:6">
      <c r="E43" s="77" t="s">
        <v>354</v>
      </c>
      <c r="F43" s="77">
        <v>15000000</v>
      </c>
    </row>
    <row r="44" spans="2:6">
      <c r="F44" s="77">
        <f>F40+F41</f>
        <v>186200000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103"/>
  <sheetViews>
    <sheetView workbookViewId="0"/>
  </sheetViews>
  <sheetFormatPr defaultRowHeight="15"/>
  <cols>
    <col min="1" max="1" width="5.7109375" customWidth="1"/>
    <col min="2" max="2" width="10" bestFit="1" customWidth="1"/>
    <col min="3" max="3" width="70.7109375" bestFit="1" customWidth="1"/>
    <col min="4" max="4" width="11.7109375" bestFit="1" customWidth="1"/>
    <col min="5" max="5" width="6.140625" customWidth="1"/>
    <col min="6" max="6" width="5.28515625" customWidth="1"/>
    <col min="7" max="7" width="4.28515625" customWidth="1"/>
    <col min="8" max="8" width="10" customWidth="1"/>
    <col min="11" max="11" width="10" bestFit="1" customWidth="1"/>
    <col min="12" max="12" width="70.7109375" bestFit="1" customWidth="1"/>
    <col min="13" max="13" width="11.7109375" bestFit="1" customWidth="1"/>
    <col min="17" max="17" width="11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376</v>
      </c>
      <c r="B2" s="2"/>
      <c r="C2" s="3"/>
      <c r="D2" s="3"/>
      <c r="E2" s="3"/>
      <c r="F2" s="3"/>
      <c r="G2" s="3"/>
      <c r="H2" s="3"/>
      <c r="J2" s="1" t="s">
        <v>376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8470023</v>
      </c>
      <c r="E4" s="6"/>
      <c r="F4" s="6"/>
      <c r="G4" s="6"/>
      <c r="H4" s="6"/>
      <c r="J4" s="4"/>
      <c r="K4" s="5"/>
      <c r="L4" s="6" t="s">
        <v>2</v>
      </c>
      <c r="M4" s="7">
        <v>8470023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1080265</v>
      </c>
      <c r="E5" s="6"/>
      <c r="F5" s="6"/>
      <c r="G5" s="6"/>
      <c r="H5" s="6"/>
      <c r="J5" s="4"/>
      <c r="K5" s="5"/>
      <c r="L5" s="6" t="s">
        <v>3</v>
      </c>
      <c r="M5" s="8">
        <v>1080265</v>
      </c>
      <c r="N5" s="6"/>
      <c r="O5" s="6"/>
      <c r="P5" s="6"/>
      <c r="Q5" s="6"/>
    </row>
    <row r="6" spans="1:17">
      <c r="A6" s="4"/>
      <c r="B6" s="5"/>
      <c r="C6" s="6" t="s">
        <v>4</v>
      </c>
      <c r="D6" s="115">
        <v>1127500</v>
      </c>
      <c r="E6" s="6"/>
      <c r="F6" s="6"/>
      <c r="G6" s="6"/>
      <c r="H6" s="6"/>
      <c r="J6" s="4"/>
      <c r="K6" s="5"/>
      <c r="L6" s="6" t="s">
        <v>4</v>
      </c>
      <c r="M6" s="115">
        <v>1127500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377</v>
      </c>
      <c r="B11" s="532"/>
      <c r="C11" s="532"/>
      <c r="D11" s="532"/>
      <c r="E11" s="532"/>
      <c r="F11" s="532"/>
      <c r="G11" s="533"/>
      <c r="H11" s="10">
        <f>SUM(D4:D9)</f>
        <v>17748334</v>
      </c>
      <c r="J11" s="531" t="s">
        <v>377</v>
      </c>
      <c r="K11" s="532"/>
      <c r="L11" s="532"/>
      <c r="M11" s="532"/>
      <c r="N11" s="532"/>
      <c r="O11" s="532"/>
      <c r="P11" s="533"/>
      <c r="Q11" s="10">
        <f>SUM(M4:M9)</f>
        <v>17748334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144" t="s">
        <v>14</v>
      </c>
      <c r="F14" s="144" t="s">
        <v>15</v>
      </c>
      <c r="G14" s="144" t="s">
        <v>16</v>
      </c>
      <c r="H14" s="144" t="s">
        <v>17</v>
      </c>
      <c r="J14" s="536"/>
      <c r="K14" s="537"/>
      <c r="L14" s="538"/>
      <c r="M14" s="538"/>
      <c r="N14" s="149" t="s">
        <v>14</v>
      </c>
      <c r="O14" s="149" t="s">
        <v>15</v>
      </c>
      <c r="P14" s="149" t="s">
        <v>16</v>
      </c>
      <c r="Q14" s="149" t="s">
        <v>17</v>
      </c>
    </row>
    <row r="15" spans="1:17">
      <c r="A15" s="12"/>
      <c r="B15" s="13" t="s">
        <v>355</v>
      </c>
      <c r="C15" s="14" t="s">
        <v>180</v>
      </c>
      <c r="D15" s="15">
        <v>1194312</v>
      </c>
      <c r="E15" s="16"/>
      <c r="F15" s="16"/>
      <c r="G15" s="16"/>
      <c r="H15" s="16"/>
      <c r="J15" s="12"/>
      <c r="K15" s="13" t="s">
        <v>355</v>
      </c>
      <c r="L15" s="14" t="s">
        <v>180</v>
      </c>
      <c r="M15" s="15">
        <v>1194312</v>
      </c>
      <c r="N15" s="16"/>
      <c r="O15" s="16"/>
      <c r="P15" s="16"/>
      <c r="Q15" s="16"/>
    </row>
    <row r="16" spans="1:17">
      <c r="A16" s="12"/>
      <c r="B16" s="13" t="s">
        <v>355</v>
      </c>
      <c r="C16" s="14" t="s">
        <v>356</v>
      </c>
      <c r="D16" s="15">
        <v>450000</v>
      </c>
      <c r="E16" s="16"/>
      <c r="F16" s="16"/>
      <c r="G16" s="16"/>
      <c r="H16" s="16"/>
      <c r="J16" s="12"/>
      <c r="K16" s="13" t="s">
        <v>355</v>
      </c>
      <c r="L16" s="14" t="s">
        <v>356</v>
      </c>
      <c r="M16" s="15">
        <v>450000</v>
      </c>
      <c r="N16" s="16"/>
      <c r="O16" s="16"/>
      <c r="P16" s="16"/>
      <c r="Q16" s="16"/>
    </row>
    <row r="17" spans="1:17">
      <c r="A17" s="12"/>
      <c r="B17" s="13" t="s">
        <v>355</v>
      </c>
      <c r="C17" s="14" t="s">
        <v>357</v>
      </c>
      <c r="D17" s="15">
        <v>200000</v>
      </c>
      <c r="E17" s="16"/>
      <c r="F17" s="16"/>
      <c r="G17" s="16"/>
      <c r="H17" s="16"/>
      <c r="J17" s="12"/>
      <c r="K17" s="13" t="s">
        <v>355</v>
      </c>
      <c r="L17" s="14" t="s">
        <v>357</v>
      </c>
      <c r="M17" s="15">
        <v>200000</v>
      </c>
      <c r="N17" s="16"/>
      <c r="O17" s="16"/>
      <c r="P17" s="16"/>
      <c r="Q17" s="16"/>
    </row>
    <row r="18" spans="1:17">
      <c r="A18" s="12"/>
      <c r="B18" s="13" t="s">
        <v>355</v>
      </c>
      <c r="C18" s="14" t="s">
        <v>73</v>
      </c>
      <c r="D18" s="15">
        <v>503500</v>
      </c>
      <c r="E18" s="16"/>
      <c r="F18" s="16"/>
      <c r="G18" s="16"/>
      <c r="H18" s="16"/>
      <c r="J18" s="12"/>
      <c r="K18" s="13" t="s">
        <v>355</v>
      </c>
      <c r="L18" s="14" t="s">
        <v>73</v>
      </c>
      <c r="M18" s="15"/>
      <c r="N18" s="16"/>
      <c r="O18" s="16"/>
      <c r="P18" s="16"/>
      <c r="Q18" s="16"/>
    </row>
    <row r="19" spans="1:17">
      <c r="A19" s="12"/>
      <c r="B19" s="13" t="s">
        <v>355</v>
      </c>
      <c r="C19" s="14" t="s">
        <v>19</v>
      </c>
      <c r="D19" s="15">
        <v>503500</v>
      </c>
      <c r="E19" s="16"/>
      <c r="F19" s="16"/>
      <c r="G19" s="16"/>
      <c r="H19" s="16"/>
      <c r="J19" s="12"/>
      <c r="K19" s="13" t="s">
        <v>355</v>
      </c>
      <c r="L19" s="14" t="s">
        <v>19</v>
      </c>
      <c r="M19" s="15"/>
      <c r="N19" s="16"/>
      <c r="O19" s="16"/>
      <c r="P19" s="16"/>
      <c r="Q19" s="16"/>
    </row>
    <row r="20" spans="1:17">
      <c r="A20" s="12"/>
      <c r="B20" s="13"/>
      <c r="C20" s="14"/>
      <c r="D20" s="15"/>
      <c r="E20" s="16"/>
      <c r="F20" s="16"/>
      <c r="G20" s="16"/>
      <c r="H20" s="16"/>
      <c r="J20" s="12"/>
      <c r="K20" s="13"/>
      <c r="L20" s="14"/>
      <c r="M20" s="15"/>
      <c r="N20" s="16"/>
      <c r="O20" s="16"/>
      <c r="P20" s="16"/>
      <c r="Q20" s="16"/>
    </row>
    <row r="21" spans="1:17" hidden="1">
      <c r="A21" s="12"/>
      <c r="B21" s="13"/>
      <c r="C21" s="14"/>
      <c r="D21" s="15"/>
      <c r="E21" s="16"/>
      <c r="F21" s="16"/>
      <c r="G21" s="16"/>
      <c r="H21" s="16"/>
      <c r="J21" s="12"/>
      <c r="K21" s="13"/>
      <c r="L21" s="14"/>
      <c r="M21" s="15"/>
      <c r="N21" s="16"/>
      <c r="O21" s="16"/>
      <c r="P21" s="16"/>
      <c r="Q21" s="16"/>
    </row>
    <row r="22" spans="1:17">
      <c r="A22" s="18"/>
      <c r="B22" s="19"/>
      <c r="C22" s="144" t="s">
        <v>20</v>
      </c>
      <c r="D22" s="10">
        <f>SUM(D15:D21)</f>
        <v>2851312</v>
      </c>
      <c r="E22" s="10"/>
      <c r="F22" s="10"/>
      <c r="G22" s="10"/>
      <c r="H22" s="10"/>
      <c r="J22" s="18"/>
      <c r="K22" s="19"/>
      <c r="L22" s="149" t="s">
        <v>20</v>
      </c>
      <c r="M22" s="10">
        <f>SUM(M15:M21)</f>
        <v>1844312</v>
      </c>
      <c r="N22" s="10"/>
      <c r="O22" s="10"/>
      <c r="P22" s="10"/>
      <c r="Q22" s="10"/>
    </row>
    <row r="23" spans="1:17">
      <c r="A23" s="20"/>
      <c r="B23" s="147"/>
      <c r="C23" s="152" t="s">
        <v>21</v>
      </c>
      <c r="D23" s="150"/>
      <c r="E23" s="150"/>
      <c r="F23" s="150"/>
      <c r="G23" s="151"/>
      <c r="H23" s="21">
        <f>+D22</f>
        <v>2851312</v>
      </c>
      <c r="J23" s="20"/>
      <c r="K23" s="147"/>
      <c r="L23" s="152" t="s">
        <v>21</v>
      </c>
      <c r="M23" s="150"/>
      <c r="N23" s="150"/>
      <c r="O23" s="150"/>
      <c r="P23" s="151"/>
      <c r="Q23" s="21">
        <f>+M22</f>
        <v>1844312</v>
      </c>
    </row>
    <row r="24" spans="1:17">
      <c r="A24" s="526" t="s">
        <v>22</v>
      </c>
      <c r="B24" s="526"/>
      <c r="C24" s="526"/>
      <c r="D24" s="526"/>
      <c r="E24" s="526">
        <f>+H23</f>
        <v>2851312</v>
      </c>
      <c r="F24" s="526"/>
      <c r="G24" s="526"/>
      <c r="H24" s="526"/>
      <c r="J24" s="526" t="s">
        <v>22</v>
      </c>
      <c r="K24" s="526"/>
      <c r="L24" s="526"/>
      <c r="M24" s="526"/>
      <c r="N24" s="526">
        <f>+Q23</f>
        <v>1844312</v>
      </c>
      <c r="O24" s="526"/>
      <c r="P24" s="526"/>
      <c r="Q24" s="526"/>
    </row>
    <row r="25" spans="1:17">
      <c r="A25" s="524" t="s">
        <v>23</v>
      </c>
      <c r="B25" s="524"/>
      <c r="C25" s="524"/>
      <c r="D25" s="524"/>
      <c r="E25" s="524"/>
      <c r="F25" s="524"/>
      <c r="G25" s="524"/>
      <c r="H25" s="524"/>
      <c r="J25" s="524" t="s">
        <v>23</v>
      </c>
      <c r="K25" s="524"/>
      <c r="L25" s="524"/>
      <c r="M25" s="524"/>
      <c r="N25" s="524"/>
      <c r="O25" s="524"/>
      <c r="P25" s="524"/>
      <c r="Q25" s="524"/>
    </row>
    <row r="26" spans="1:17">
      <c r="A26" s="12"/>
      <c r="B26" s="13" t="s">
        <v>359</v>
      </c>
      <c r="C26" s="15" t="s">
        <v>358</v>
      </c>
      <c r="D26" s="22">
        <v>390000</v>
      </c>
      <c r="E26" s="22"/>
      <c r="F26" s="22"/>
      <c r="G26" s="16"/>
      <c r="H26" s="16"/>
      <c r="J26" s="12"/>
      <c r="K26" s="13" t="s">
        <v>359</v>
      </c>
      <c r="L26" s="15" t="s">
        <v>358</v>
      </c>
      <c r="M26" s="22">
        <v>390000</v>
      </c>
      <c r="N26" s="22"/>
      <c r="O26" s="22"/>
      <c r="P26" s="16"/>
      <c r="Q26" s="16"/>
    </row>
    <row r="27" spans="1:17">
      <c r="A27" s="12"/>
      <c r="B27" s="13" t="s">
        <v>360</v>
      </c>
      <c r="C27" s="15" t="s">
        <v>361</v>
      </c>
      <c r="D27" s="22">
        <v>570000</v>
      </c>
      <c r="E27" s="22"/>
      <c r="F27" s="22"/>
      <c r="G27" s="16"/>
      <c r="H27" s="16"/>
      <c r="J27" s="12"/>
      <c r="K27" s="13" t="s">
        <v>360</v>
      </c>
      <c r="L27" s="15" t="s">
        <v>361</v>
      </c>
      <c r="M27" s="22">
        <v>570000</v>
      </c>
      <c r="N27" s="22"/>
      <c r="O27" s="22"/>
      <c r="P27" s="16"/>
      <c r="Q27" s="16"/>
    </row>
    <row r="28" spans="1:17">
      <c r="A28" s="12"/>
      <c r="B28" s="13" t="s">
        <v>367</v>
      </c>
      <c r="C28" s="15" t="s">
        <v>368</v>
      </c>
      <c r="D28" s="23">
        <v>2400000</v>
      </c>
      <c r="E28" s="22"/>
      <c r="F28" s="22"/>
      <c r="G28" s="16"/>
      <c r="H28" s="16"/>
      <c r="J28" s="12"/>
      <c r="K28" s="13" t="s">
        <v>367</v>
      </c>
      <c r="L28" s="15" t="s">
        <v>368</v>
      </c>
      <c r="M28" s="23">
        <v>2400000</v>
      </c>
      <c r="N28" s="22"/>
      <c r="O28" s="22"/>
      <c r="P28" s="16"/>
      <c r="Q28" s="16"/>
    </row>
    <row r="29" spans="1:17">
      <c r="A29" s="12"/>
      <c r="B29" s="13"/>
      <c r="C29" s="15"/>
      <c r="D29" s="23"/>
      <c r="E29" s="22"/>
      <c r="F29" s="22"/>
      <c r="G29" s="16"/>
      <c r="H29" s="16"/>
      <c r="J29" s="12"/>
      <c r="K29" s="13"/>
      <c r="L29" s="15"/>
      <c r="M29" s="23"/>
      <c r="N29" s="22"/>
      <c r="O29" s="22"/>
      <c r="P29" s="16"/>
      <c r="Q29" s="16"/>
    </row>
    <row r="30" spans="1:17">
      <c r="A30" s="25"/>
      <c r="B30" s="19"/>
      <c r="C30" s="26" t="s">
        <v>24</v>
      </c>
      <c r="D30" s="27">
        <f>SUM(D26:D28)</f>
        <v>3360000</v>
      </c>
      <c r="E30" s="27"/>
      <c r="F30" s="27"/>
      <c r="G30" s="27"/>
      <c r="H30" s="27"/>
      <c r="J30" s="25"/>
      <c r="K30" s="19"/>
      <c r="L30" s="26" t="s">
        <v>24</v>
      </c>
      <c r="M30" s="27">
        <f>SUM(M26:M28)</f>
        <v>3360000</v>
      </c>
      <c r="N30" s="27"/>
      <c r="O30" s="27"/>
      <c r="P30" s="27"/>
      <c r="Q30" s="27"/>
    </row>
    <row r="31" spans="1:17">
      <c r="A31" s="20"/>
      <c r="B31" s="19"/>
      <c r="C31" s="144" t="s">
        <v>21</v>
      </c>
      <c r="D31" s="10"/>
      <c r="E31" s="530">
        <f>D30</f>
        <v>3360000</v>
      </c>
      <c r="F31" s="530"/>
      <c r="G31" s="530"/>
      <c r="H31" s="530"/>
      <c r="J31" s="20"/>
      <c r="K31" s="19"/>
      <c r="L31" s="149" t="s">
        <v>21</v>
      </c>
      <c r="M31" s="10"/>
      <c r="N31" s="530">
        <f>M30</f>
        <v>3360000</v>
      </c>
      <c r="O31" s="530"/>
      <c r="P31" s="530"/>
      <c r="Q31" s="530"/>
    </row>
    <row r="32" spans="1:17">
      <c r="A32" s="524" t="s">
        <v>369</v>
      </c>
      <c r="B32" s="524"/>
      <c r="C32" s="524"/>
      <c r="D32" s="524"/>
      <c r="E32" s="524"/>
      <c r="F32" s="524"/>
      <c r="G32" s="524"/>
      <c r="H32" s="524"/>
      <c r="J32" s="524" t="s">
        <v>369</v>
      </c>
      <c r="K32" s="524"/>
      <c r="L32" s="524"/>
      <c r="M32" s="524"/>
      <c r="N32" s="524"/>
      <c r="O32" s="524"/>
      <c r="P32" s="524"/>
      <c r="Q32" s="524"/>
    </row>
    <row r="33" spans="1:17">
      <c r="A33" s="28"/>
      <c r="B33" s="23" t="s">
        <v>296</v>
      </c>
      <c r="C33" s="23" t="s">
        <v>362</v>
      </c>
      <c r="D33" s="23">
        <v>150000</v>
      </c>
      <c r="E33" s="28"/>
      <c r="F33" s="28"/>
      <c r="G33" s="28"/>
      <c r="H33" s="28"/>
      <c r="J33" s="28"/>
      <c r="K33" s="23" t="s">
        <v>380</v>
      </c>
      <c r="L33" s="23" t="s">
        <v>362</v>
      </c>
      <c r="M33" s="23">
        <v>150000</v>
      </c>
      <c r="N33" s="28"/>
      <c r="O33" s="28"/>
      <c r="P33" s="28"/>
      <c r="Q33" s="28"/>
    </row>
    <row r="34" spans="1:17">
      <c r="A34" s="28"/>
      <c r="B34" s="23" t="s">
        <v>370</v>
      </c>
      <c r="C34" s="23" t="s">
        <v>371</v>
      </c>
      <c r="D34" s="23">
        <v>125000</v>
      </c>
      <c r="E34" s="28"/>
      <c r="F34" s="28"/>
      <c r="G34" s="28"/>
      <c r="H34" s="28"/>
      <c r="J34" s="28"/>
      <c r="K34" s="23" t="s">
        <v>370</v>
      </c>
      <c r="L34" s="23" t="s">
        <v>371</v>
      </c>
      <c r="M34" s="23">
        <v>125000</v>
      </c>
      <c r="N34" s="28"/>
      <c r="O34" s="28"/>
      <c r="P34" s="28"/>
      <c r="Q34" s="28"/>
    </row>
    <row r="35" spans="1:17" hidden="1">
      <c r="A35" s="28"/>
      <c r="B35" s="23"/>
      <c r="C35" s="23"/>
      <c r="D35" s="23"/>
      <c r="E35" s="28"/>
      <c r="F35" s="28"/>
      <c r="G35" s="28"/>
      <c r="H35" s="28"/>
      <c r="J35" s="28"/>
      <c r="K35" s="23"/>
      <c r="L35" s="23"/>
      <c r="M35" s="23"/>
      <c r="N35" s="28"/>
      <c r="O35" s="28"/>
      <c r="P35" s="28"/>
      <c r="Q35" s="28"/>
    </row>
    <row r="36" spans="1:17" hidden="1">
      <c r="A36" s="28"/>
      <c r="B36" s="23"/>
      <c r="C36" s="23"/>
      <c r="D36" s="23"/>
      <c r="E36" s="28"/>
      <c r="F36" s="28"/>
      <c r="G36" s="28"/>
      <c r="H36" s="28"/>
      <c r="J36" s="28"/>
      <c r="K36" s="23"/>
      <c r="L36" s="23"/>
      <c r="M36" s="23"/>
      <c r="N36" s="28"/>
      <c r="O36" s="28"/>
      <c r="P36" s="28"/>
      <c r="Q36" s="28"/>
    </row>
    <row r="37" spans="1:17" hidden="1">
      <c r="A37" s="28"/>
      <c r="B37" s="23"/>
      <c r="C37" s="23"/>
      <c r="D37" s="23"/>
      <c r="E37" s="28"/>
      <c r="F37" s="28"/>
      <c r="G37" s="28"/>
      <c r="H37" s="28"/>
      <c r="J37" s="28"/>
      <c r="K37" s="23"/>
      <c r="L37" s="23"/>
      <c r="M37" s="23"/>
      <c r="N37" s="28"/>
      <c r="O37" s="28"/>
      <c r="P37" s="28"/>
      <c r="Q37" s="28"/>
    </row>
    <row r="38" spans="1:17">
      <c r="A38" s="28"/>
      <c r="B38" s="23"/>
      <c r="C38" s="23"/>
      <c r="D38" s="23"/>
      <c r="E38" s="28"/>
      <c r="F38" s="28"/>
      <c r="G38" s="28"/>
      <c r="H38" s="28"/>
      <c r="J38" s="28"/>
      <c r="K38" s="23"/>
      <c r="L38" s="23"/>
      <c r="M38" s="23"/>
      <c r="N38" s="28"/>
      <c r="O38" s="28"/>
      <c r="P38" s="28"/>
      <c r="Q38" s="28"/>
    </row>
    <row r="39" spans="1:17">
      <c r="A39" s="12"/>
      <c r="B39" s="13"/>
      <c r="C39" s="26" t="s">
        <v>334</v>
      </c>
      <c r="D39" s="27">
        <f>SUM(D33:D37)</f>
        <v>275000</v>
      </c>
      <c r="E39" s="27">
        <v>0</v>
      </c>
      <c r="F39" s="27">
        <v>0</v>
      </c>
      <c r="G39" s="27"/>
      <c r="H39" s="27"/>
      <c r="J39" s="12"/>
      <c r="K39" s="13"/>
      <c r="L39" s="26" t="s">
        <v>334</v>
      </c>
      <c r="M39" s="27">
        <f>SUM(M33:M37)</f>
        <v>275000</v>
      </c>
      <c r="N39" s="27">
        <v>0</v>
      </c>
      <c r="O39" s="27">
        <v>0</v>
      </c>
      <c r="P39" s="27"/>
      <c r="Q39" s="27"/>
    </row>
    <row r="40" spans="1:17">
      <c r="A40" s="20"/>
      <c r="B40" s="19"/>
      <c r="C40" s="144" t="s">
        <v>21</v>
      </c>
      <c r="D40" s="10"/>
      <c r="E40" s="530">
        <f>D39</f>
        <v>275000</v>
      </c>
      <c r="F40" s="530"/>
      <c r="G40" s="530"/>
      <c r="H40" s="530"/>
      <c r="J40" s="20"/>
      <c r="K40" s="19"/>
      <c r="L40" s="149" t="s">
        <v>21</v>
      </c>
      <c r="M40" s="10"/>
      <c r="N40" s="530">
        <f>M39</f>
        <v>275000</v>
      </c>
      <c r="O40" s="530"/>
      <c r="P40" s="530"/>
      <c r="Q40" s="530"/>
    </row>
    <row r="41" spans="1:17">
      <c r="A41" s="524" t="s">
        <v>372</v>
      </c>
      <c r="B41" s="524"/>
      <c r="C41" s="524"/>
      <c r="D41" s="524"/>
      <c r="E41" s="524"/>
      <c r="F41" s="524"/>
      <c r="G41" s="524"/>
      <c r="H41" s="524"/>
      <c r="J41" s="524" t="s">
        <v>372</v>
      </c>
      <c r="K41" s="524"/>
      <c r="L41" s="524"/>
      <c r="M41" s="524"/>
      <c r="N41" s="524"/>
      <c r="O41" s="524"/>
      <c r="P41" s="524"/>
      <c r="Q41" s="524"/>
    </row>
    <row r="42" spans="1:17">
      <c r="A42" s="28"/>
      <c r="B42" s="23" t="s">
        <v>374</v>
      </c>
      <c r="C42" s="23" t="s">
        <v>375</v>
      </c>
      <c r="D42" s="23">
        <v>45000</v>
      </c>
      <c r="E42" s="28"/>
      <c r="F42" s="28"/>
      <c r="G42" s="28"/>
      <c r="H42" s="28"/>
      <c r="J42" s="28"/>
      <c r="K42" s="23" t="s">
        <v>374</v>
      </c>
      <c r="L42" s="23" t="s">
        <v>375</v>
      </c>
      <c r="M42" s="23">
        <v>45000</v>
      </c>
      <c r="N42" s="28"/>
      <c r="O42" s="28"/>
      <c r="P42" s="28"/>
      <c r="Q42" s="28"/>
    </row>
    <row r="43" spans="1:17">
      <c r="A43" s="28"/>
      <c r="B43" s="23"/>
      <c r="C43" s="23"/>
      <c r="D43" s="23"/>
      <c r="E43" s="28"/>
      <c r="F43" s="28"/>
      <c r="G43" s="28"/>
      <c r="H43" s="28"/>
      <c r="J43" s="28"/>
      <c r="K43" s="23"/>
      <c r="L43" s="23"/>
      <c r="M43" s="23"/>
      <c r="N43" s="28"/>
      <c r="O43" s="28"/>
      <c r="P43" s="28"/>
      <c r="Q43" s="28"/>
    </row>
    <row r="44" spans="1:17" hidden="1">
      <c r="A44" s="28"/>
      <c r="B44" s="23"/>
      <c r="C44" s="23"/>
      <c r="D44" s="23"/>
      <c r="E44" s="28"/>
      <c r="F44" s="28"/>
      <c r="G44" s="28"/>
      <c r="H44" s="28"/>
      <c r="J44" s="28"/>
      <c r="K44" s="23"/>
      <c r="L44" s="23"/>
      <c r="M44" s="23"/>
      <c r="N44" s="28"/>
      <c r="O44" s="28"/>
      <c r="P44" s="28"/>
      <c r="Q44" s="28"/>
    </row>
    <row r="45" spans="1:17">
      <c r="A45" s="12"/>
      <c r="B45" s="13"/>
      <c r="C45" s="26" t="s">
        <v>373</v>
      </c>
      <c r="D45" s="27">
        <f>SUM(D42:D43)</f>
        <v>45000</v>
      </c>
      <c r="E45" s="27">
        <v>0</v>
      </c>
      <c r="F45" s="27">
        <v>0</v>
      </c>
      <c r="G45" s="27"/>
      <c r="H45" s="27"/>
      <c r="J45" s="12"/>
      <c r="K45" s="13"/>
      <c r="L45" s="26" t="s">
        <v>373</v>
      </c>
      <c r="M45" s="27">
        <f>SUM(M42:M43)</f>
        <v>45000</v>
      </c>
      <c r="N45" s="27">
        <v>0</v>
      </c>
      <c r="O45" s="27">
        <v>0</v>
      </c>
      <c r="P45" s="27"/>
      <c r="Q45" s="27"/>
    </row>
    <row r="46" spans="1:17">
      <c r="A46" s="20"/>
      <c r="B46" s="19"/>
      <c r="C46" s="144" t="s">
        <v>21</v>
      </c>
      <c r="D46" s="10"/>
      <c r="E46" s="530">
        <f>D45</f>
        <v>45000</v>
      </c>
      <c r="F46" s="530"/>
      <c r="G46" s="530"/>
      <c r="H46" s="530"/>
      <c r="J46" s="20"/>
      <c r="K46" s="19"/>
      <c r="L46" s="149" t="s">
        <v>21</v>
      </c>
      <c r="M46" s="10"/>
      <c r="N46" s="530">
        <f>M45</f>
        <v>45000</v>
      </c>
      <c r="O46" s="530"/>
      <c r="P46" s="530"/>
      <c r="Q46" s="530"/>
    </row>
    <row r="47" spans="1:17">
      <c r="A47" s="524" t="s">
        <v>54</v>
      </c>
      <c r="B47" s="524"/>
      <c r="C47" s="524"/>
      <c r="D47" s="524"/>
      <c r="E47" s="524"/>
      <c r="F47" s="524"/>
      <c r="G47" s="524"/>
      <c r="H47" s="524"/>
      <c r="J47" s="524" t="s">
        <v>54</v>
      </c>
      <c r="K47" s="524"/>
      <c r="L47" s="524"/>
      <c r="M47" s="524"/>
      <c r="N47" s="524"/>
      <c r="O47" s="524"/>
      <c r="P47" s="524"/>
      <c r="Q47" s="524"/>
    </row>
    <row r="48" spans="1:17">
      <c r="A48" s="28"/>
      <c r="B48" s="19" t="s">
        <v>363</v>
      </c>
      <c r="C48" s="23" t="s">
        <v>364</v>
      </c>
      <c r="D48" s="23">
        <v>21000000</v>
      </c>
      <c r="E48" s="28"/>
      <c r="F48" s="28"/>
      <c r="G48" s="28"/>
      <c r="H48" s="28"/>
      <c r="J48" s="28"/>
      <c r="K48" s="19" t="s">
        <v>363</v>
      </c>
      <c r="L48" s="23" t="s">
        <v>364</v>
      </c>
      <c r="M48" s="23">
        <v>21000000</v>
      </c>
      <c r="N48" s="28"/>
      <c r="O48" s="28"/>
      <c r="P48" s="28"/>
      <c r="Q48" s="28"/>
    </row>
    <row r="49" spans="1:17">
      <c r="A49" s="28"/>
      <c r="B49" s="19" t="s">
        <v>363</v>
      </c>
      <c r="C49" s="23" t="s">
        <v>365</v>
      </c>
      <c r="D49" s="23">
        <v>2700000</v>
      </c>
      <c r="E49" s="28"/>
      <c r="F49" s="28"/>
      <c r="G49" s="28"/>
      <c r="H49" s="28"/>
      <c r="J49" s="28"/>
      <c r="K49" s="19" t="s">
        <v>363</v>
      </c>
      <c r="L49" s="23" t="s">
        <v>365</v>
      </c>
      <c r="M49" s="23">
        <v>2700000</v>
      </c>
      <c r="N49" s="28"/>
      <c r="O49" s="28"/>
      <c r="P49" s="28"/>
      <c r="Q49" s="28"/>
    </row>
    <row r="50" spans="1:17">
      <c r="A50" s="28"/>
      <c r="B50" s="19" t="s">
        <v>363</v>
      </c>
      <c r="C50" s="23" t="s">
        <v>366</v>
      </c>
      <c r="D50" s="23">
        <v>1540000</v>
      </c>
      <c r="E50" s="28"/>
      <c r="F50" s="28"/>
      <c r="G50" s="28"/>
      <c r="H50" s="28"/>
      <c r="J50" s="28"/>
      <c r="K50" s="19" t="s">
        <v>363</v>
      </c>
      <c r="L50" s="23" t="s">
        <v>366</v>
      </c>
      <c r="M50" s="23">
        <v>1540000</v>
      </c>
      <c r="N50" s="28"/>
      <c r="O50" s="28"/>
      <c r="P50" s="28"/>
      <c r="Q50" s="28"/>
    </row>
    <row r="51" spans="1:17">
      <c r="A51" s="28"/>
      <c r="B51" s="19" t="s">
        <v>363</v>
      </c>
      <c r="C51" s="23" t="s">
        <v>262</v>
      </c>
      <c r="D51" s="23">
        <v>900000</v>
      </c>
      <c r="E51" s="28"/>
      <c r="F51" s="28"/>
      <c r="G51" s="28"/>
      <c r="H51" s="28"/>
      <c r="J51" s="28"/>
      <c r="K51" s="19" t="s">
        <v>363</v>
      </c>
      <c r="L51" s="23" t="s">
        <v>262</v>
      </c>
      <c r="M51" s="23">
        <v>900000</v>
      </c>
      <c r="N51" s="28"/>
      <c r="O51" s="28"/>
      <c r="P51" s="28"/>
      <c r="Q51" s="28"/>
    </row>
    <row r="52" spans="1:17">
      <c r="A52" s="28"/>
      <c r="B52" s="19" t="s">
        <v>363</v>
      </c>
      <c r="C52" s="24" t="s">
        <v>331</v>
      </c>
      <c r="D52" s="23">
        <v>300000</v>
      </c>
      <c r="E52" s="28"/>
      <c r="F52" s="28"/>
      <c r="G52" s="28"/>
      <c r="H52" s="28"/>
      <c r="J52" s="28"/>
      <c r="K52" s="19" t="s">
        <v>363</v>
      </c>
      <c r="L52" s="24" t="s">
        <v>331</v>
      </c>
      <c r="M52" s="23">
        <v>300000</v>
      </c>
      <c r="N52" s="28"/>
      <c r="O52" s="28"/>
      <c r="P52" s="28"/>
      <c r="Q52" s="28"/>
    </row>
    <row r="53" spans="1:17">
      <c r="A53" s="12"/>
      <c r="B53" s="19"/>
      <c r="C53" s="24"/>
      <c r="D53" s="23"/>
      <c r="E53" s="144"/>
      <c r="F53" s="144"/>
      <c r="G53" s="144"/>
      <c r="H53" s="144"/>
      <c r="J53" s="12"/>
      <c r="K53" s="19"/>
      <c r="L53" s="24"/>
      <c r="M53" s="23"/>
      <c r="N53" s="149"/>
      <c r="O53" s="149"/>
      <c r="P53" s="149"/>
      <c r="Q53" s="149"/>
    </row>
    <row r="54" spans="1:17" hidden="1">
      <c r="A54" s="12"/>
      <c r="B54" s="19"/>
      <c r="C54" s="24"/>
      <c r="D54" s="23"/>
      <c r="E54" s="144"/>
      <c r="F54" s="144"/>
      <c r="G54" s="144"/>
      <c r="H54" s="144"/>
      <c r="J54" s="12"/>
      <c r="K54" s="19"/>
      <c r="L54" s="24"/>
      <c r="M54" s="23"/>
      <c r="N54" s="149"/>
      <c r="O54" s="149"/>
      <c r="P54" s="149"/>
      <c r="Q54" s="149"/>
    </row>
    <row r="55" spans="1:17">
      <c r="A55" s="12"/>
      <c r="B55" s="13"/>
      <c r="C55" s="26" t="s">
        <v>55</v>
      </c>
      <c r="D55" s="27">
        <f>SUM(D48:D53)</f>
        <v>26440000</v>
      </c>
      <c r="E55" s="27">
        <v>0</v>
      </c>
      <c r="F55" s="27">
        <v>0</v>
      </c>
      <c r="G55" s="27"/>
      <c r="H55" s="27"/>
      <c r="J55" s="12"/>
      <c r="K55" s="13"/>
      <c r="L55" s="26" t="s">
        <v>55</v>
      </c>
      <c r="M55" s="27">
        <f>SUM(M48:M53)</f>
        <v>26440000</v>
      </c>
      <c r="N55" s="27">
        <v>0</v>
      </c>
      <c r="O55" s="27">
        <v>0</v>
      </c>
      <c r="P55" s="27"/>
      <c r="Q55" s="27"/>
    </row>
    <row r="56" spans="1:17">
      <c r="A56" s="20"/>
      <c r="B56" s="19"/>
      <c r="C56" s="144" t="s">
        <v>21</v>
      </c>
      <c r="D56" s="10"/>
      <c r="E56" s="530">
        <f>D55</f>
        <v>26440000</v>
      </c>
      <c r="F56" s="530"/>
      <c r="G56" s="530"/>
      <c r="H56" s="530"/>
      <c r="J56" s="20"/>
      <c r="K56" s="19"/>
      <c r="L56" s="149" t="s">
        <v>21</v>
      </c>
      <c r="M56" s="10"/>
      <c r="N56" s="530">
        <f>M55</f>
        <v>26440000</v>
      </c>
      <c r="O56" s="530"/>
      <c r="P56" s="530"/>
      <c r="Q56" s="530"/>
    </row>
    <row r="57" spans="1:17">
      <c r="A57" s="524" t="s">
        <v>144</v>
      </c>
      <c r="B57" s="524"/>
      <c r="C57" s="524"/>
      <c r="D57" s="524"/>
      <c r="E57" s="524"/>
      <c r="F57" s="524"/>
      <c r="G57" s="524"/>
      <c r="H57" s="524"/>
      <c r="J57" s="524" t="s">
        <v>144</v>
      </c>
      <c r="K57" s="524"/>
      <c r="L57" s="524"/>
      <c r="M57" s="524"/>
      <c r="N57" s="524"/>
      <c r="O57" s="524"/>
      <c r="P57" s="524"/>
      <c r="Q57" s="524"/>
    </row>
    <row r="58" spans="1:17">
      <c r="A58" s="28"/>
      <c r="B58" s="23" t="s">
        <v>341</v>
      </c>
      <c r="C58" s="23" t="s">
        <v>332</v>
      </c>
      <c r="D58" s="23">
        <v>150000</v>
      </c>
      <c r="E58" s="28"/>
      <c r="F58" s="28"/>
      <c r="G58" s="28"/>
      <c r="H58" s="28"/>
      <c r="J58" s="28"/>
      <c r="K58" s="23"/>
      <c r="L58" s="23"/>
      <c r="M58" s="23"/>
      <c r="N58" s="28"/>
      <c r="O58" s="28"/>
      <c r="P58" s="28"/>
      <c r="Q58" s="28"/>
    </row>
    <row r="59" spans="1:17">
      <c r="A59" s="28"/>
      <c r="B59" s="23"/>
      <c r="C59" s="23"/>
      <c r="D59" s="23"/>
      <c r="E59" s="28"/>
      <c r="F59" s="28"/>
      <c r="G59" s="28"/>
      <c r="H59" s="28"/>
      <c r="J59" s="28"/>
      <c r="K59" s="23"/>
      <c r="L59" s="23"/>
      <c r="M59" s="23"/>
      <c r="N59" s="28"/>
      <c r="O59" s="28"/>
      <c r="P59" s="28"/>
      <c r="Q59" s="28"/>
    </row>
    <row r="60" spans="1:17" hidden="1">
      <c r="A60" s="12"/>
      <c r="B60" s="19"/>
      <c r="C60" s="24"/>
      <c r="D60" s="23"/>
      <c r="E60" s="144"/>
      <c r="F60" s="144"/>
      <c r="G60" s="144"/>
      <c r="H60" s="144"/>
      <c r="J60" s="12"/>
      <c r="K60" s="19"/>
      <c r="L60" s="24"/>
      <c r="M60" s="23"/>
      <c r="N60" s="149"/>
      <c r="O60" s="149"/>
      <c r="P60" s="149"/>
      <c r="Q60" s="149"/>
    </row>
    <row r="61" spans="1:17">
      <c r="A61" s="12"/>
      <c r="B61" s="13"/>
      <c r="C61" s="26" t="s">
        <v>196</v>
      </c>
      <c r="D61" s="27">
        <f>SUM(D58:D60)</f>
        <v>150000</v>
      </c>
      <c r="E61" s="27">
        <v>0</v>
      </c>
      <c r="F61" s="27">
        <v>0</v>
      </c>
      <c r="G61" s="27"/>
      <c r="H61" s="27"/>
      <c r="J61" s="12"/>
      <c r="K61" s="13"/>
      <c r="L61" s="26" t="s">
        <v>196</v>
      </c>
      <c r="M61" s="27">
        <f>SUM(M58:M60)</f>
        <v>0</v>
      </c>
      <c r="N61" s="27">
        <v>0</v>
      </c>
      <c r="O61" s="27">
        <v>0</v>
      </c>
      <c r="P61" s="27"/>
      <c r="Q61" s="27"/>
    </row>
    <row r="62" spans="1:17">
      <c r="A62" s="20"/>
      <c r="B62" s="19"/>
      <c r="C62" s="144" t="s">
        <v>21</v>
      </c>
      <c r="D62" s="10"/>
      <c r="E62" s="530">
        <f>D61</f>
        <v>150000</v>
      </c>
      <c r="F62" s="530"/>
      <c r="G62" s="530"/>
      <c r="H62" s="530"/>
      <c r="J62" s="20"/>
      <c r="K62" s="19"/>
      <c r="L62" s="149" t="s">
        <v>21</v>
      </c>
      <c r="M62" s="10"/>
      <c r="N62" s="530">
        <f>M61</f>
        <v>0</v>
      </c>
      <c r="O62" s="530"/>
      <c r="P62" s="530"/>
      <c r="Q62" s="530"/>
    </row>
    <row r="63" spans="1:17">
      <c r="A63" s="527" t="s">
        <v>26</v>
      </c>
      <c r="B63" s="528"/>
      <c r="C63" s="528"/>
      <c r="D63" s="528"/>
      <c r="E63" s="528"/>
      <c r="F63" s="528"/>
      <c r="G63" s="528"/>
      <c r="H63" s="529"/>
      <c r="J63" s="527" t="s">
        <v>26</v>
      </c>
      <c r="K63" s="528"/>
      <c r="L63" s="528"/>
      <c r="M63" s="528"/>
      <c r="N63" s="528"/>
      <c r="O63" s="528"/>
      <c r="P63" s="528"/>
      <c r="Q63" s="529"/>
    </row>
    <row r="64" spans="1:17" hidden="1">
      <c r="A64" s="12"/>
      <c r="B64" s="19"/>
      <c r="C64" s="24"/>
      <c r="D64" s="23"/>
      <c r="E64" s="22"/>
      <c r="F64" s="22"/>
      <c r="G64" s="16"/>
      <c r="H64" s="16"/>
      <c r="J64" s="12"/>
      <c r="K64" s="19"/>
      <c r="L64" s="24"/>
      <c r="M64" s="23"/>
      <c r="N64" s="22"/>
      <c r="O64" s="22"/>
      <c r="P64" s="16"/>
      <c r="Q64" s="16"/>
    </row>
    <row r="65" spans="1:17" hidden="1">
      <c r="A65" s="12"/>
      <c r="B65" s="19"/>
      <c r="C65" s="24"/>
      <c r="D65" s="23"/>
      <c r="E65" s="22"/>
      <c r="F65" s="22"/>
      <c r="G65" s="16"/>
      <c r="H65" s="16"/>
      <c r="J65" s="12"/>
      <c r="K65" s="19"/>
      <c r="L65" s="24"/>
      <c r="M65" s="23"/>
      <c r="N65" s="22"/>
      <c r="O65" s="22"/>
      <c r="P65" s="16"/>
      <c r="Q65" s="16"/>
    </row>
    <row r="66" spans="1:17" hidden="1">
      <c r="A66" s="12"/>
      <c r="B66" s="19"/>
      <c r="C66" s="23"/>
      <c r="D66" s="23"/>
      <c r="E66" s="22"/>
      <c r="F66" s="22"/>
      <c r="G66" s="16"/>
      <c r="H66" s="16"/>
      <c r="J66" s="12"/>
      <c r="K66" s="19"/>
      <c r="L66" s="23"/>
      <c r="M66" s="23"/>
      <c r="N66" s="22"/>
      <c r="O66" s="22"/>
      <c r="P66" s="16"/>
      <c r="Q66" s="16"/>
    </row>
    <row r="67" spans="1:17" hidden="1">
      <c r="A67" s="12"/>
      <c r="B67" s="19"/>
      <c r="C67" s="24"/>
      <c r="D67" s="23"/>
      <c r="E67" s="22"/>
      <c r="F67" s="22"/>
      <c r="G67" s="16"/>
      <c r="H67" s="16"/>
      <c r="J67" s="12"/>
      <c r="K67" s="19"/>
      <c r="L67" s="24"/>
      <c r="M67" s="23"/>
      <c r="N67" s="22"/>
      <c r="O67" s="22"/>
      <c r="P67" s="16"/>
      <c r="Q67" s="16"/>
    </row>
    <row r="68" spans="1:17" hidden="1">
      <c r="A68" s="12"/>
      <c r="B68" s="19"/>
      <c r="C68" s="24"/>
      <c r="D68" s="23"/>
      <c r="E68" s="22"/>
      <c r="F68" s="22"/>
      <c r="G68" s="16"/>
      <c r="H68" s="16"/>
      <c r="J68" s="12"/>
      <c r="K68" s="19"/>
      <c r="L68" s="24"/>
      <c r="M68" s="23"/>
      <c r="N68" s="22"/>
      <c r="O68" s="22"/>
      <c r="P68" s="16"/>
      <c r="Q68" s="16"/>
    </row>
    <row r="69" spans="1:17" hidden="1">
      <c r="A69" s="12"/>
      <c r="B69" s="19"/>
      <c r="C69" s="24"/>
      <c r="D69" s="23"/>
      <c r="E69" s="22"/>
      <c r="F69" s="22"/>
      <c r="G69" s="16"/>
      <c r="H69" s="16"/>
      <c r="J69" s="12"/>
      <c r="K69" s="19"/>
      <c r="L69" s="24"/>
      <c r="M69" s="23"/>
      <c r="N69" s="22"/>
      <c r="O69" s="22"/>
      <c r="P69" s="16"/>
      <c r="Q69" s="16"/>
    </row>
    <row r="70" spans="1:17" hidden="1">
      <c r="A70" s="12"/>
      <c r="B70" s="19"/>
      <c r="C70" s="23"/>
      <c r="D70" s="23"/>
      <c r="E70" s="22"/>
      <c r="F70" s="22"/>
      <c r="G70" s="16"/>
      <c r="H70" s="16"/>
      <c r="J70" s="12"/>
      <c r="K70" s="19"/>
      <c r="L70" s="23"/>
      <c r="M70" s="23"/>
      <c r="N70" s="22"/>
      <c r="O70" s="22"/>
      <c r="P70" s="16"/>
      <c r="Q70" s="16"/>
    </row>
    <row r="71" spans="1:17" hidden="1">
      <c r="A71" s="12"/>
      <c r="B71" s="19"/>
      <c r="C71" s="23"/>
      <c r="D71" s="23"/>
      <c r="E71" s="22"/>
      <c r="F71" s="22"/>
      <c r="G71" s="16"/>
      <c r="H71" s="16"/>
      <c r="J71" s="12"/>
      <c r="K71" s="19"/>
      <c r="L71" s="23"/>
      <c r="M71" s="23"/>
      <c r="N71" s="22"/>
      <c r="O71" s="22"/>
      <c r="P71" s="16"/>
      <c r="Q71" s="16"/>
    </row>
    <row r="72" spans="1:17" hidden="1">
      <c r="A72" s="12"/>
      <c r="B72" s="19"/>
      <c r="C72" s="23"/>
      <c r="D72" s="23"/>
      <c r="E72" s="22"/>
      <c r="F72" s="22"/>
      <c r="G72" s="16"/>
      <c r="H72" s="16"/>
      <c r="J72" s="12"/>
      <c r="K72" s="19"/>
      <c r="L72" s="23"/>
      <c r="M72" s="23"/>
      <c r="N72" s="22"/>
      <c r="O72" s="22"/>
      <c r="P72" s="16"/>
      <c r="Q72" s="16"/>
    </row>
    <row r="73" spans="1:17">
      <c r="A73" s="12"/>
      <c r="B73" s="19"/>
      <c r="C73" s="24"/>
      <c r="D73" s="23"/>
      <c r="E73" s="22"/>
      <c r="F73" s="22"/>
      <c r="G73" s="16"/>
      <c r="H73" s="16"/>
      <c r="J73" s="12"/>
      <c r="K73" s="19"/>
      <c r="L73" s="24"/>
      <c r="M73" s="23"/>
      <c r="N73" s="22"/>
      <c r="O73" s="22"/>
      <c r="P73" s="16"/>
      <c r="Q73" s="16"/>
    </row>
    <row r="74" spans="1:17">
      <c r="A74" s="12"/>
      <c r="B74" s="19"/>
      <c r="C74" s="24"/>
      <c r="D74" s="23"/>
      <c r="E74" s="22"/>
      <c r="F74" s="22"/>
      <c r="G74" s="16"/>
      <c r="H74" s="16"/>
      <c r="J74" s="12"/>
      <c r="K74" s="19"/>
      <c r="L74" s="24"/>
      <c r="M74" s="23"/>
      <c r="N74" s="22"/>
      <c r="O74" s="22"/>
      <c r="P74" s="16"/>
      <c r="Q74" s="16"/>
    </row>
    <row r="75" spans="1:17">
      <c r="A75" s="25"/>
      <c r="B75" s="19"/>
      <c r="C75" s="26" t="s">
        <v>31</v>
      </c>
      <c r="D75" s="27">
        <f>SUM(D64:D74)</f>
        <v>0</v>
      </c>
      <c r="E75" s="27"/>
      <c r="F75" s="27"/>
      <c r="G75" s="27"/>
      <c r="H75" s="27"/>
      <c r="J75" s="25"/>
      <c r="K75" s="19"/>
      <c r="L75" s="26" t="s">
        <v>31</v>
      </c>
      <c r="M75" s="27">
        <f>SUM(M64:M74)</f>
        <v>0</v>
      </c>
      <c r="N75" s="27"/>
      <c r="O75" s="27"/>
      <c r="P75" s="27"/>
      <c r="Q75" s="27"/>
    </row>
    <row r="76" spans="1:17">
      <c r="A76" s="20"/>
      <c r="B76" s="19"/>
      <c r="C76" s="144" t="s">
        <v>21</v>
      </c>
      <c r="D76" s="10"/>
      <c r="E76" s="530">
        <f>D75</f>
        <v>0</v>
      </c>
      <c r="F76" s="530"/>
      <c r="G76" s="530"/>
      <c r="H76" s="530"/>
      <c r="J76" s="20"/>
      <c r="K76" s="19"/>
      <c r="L76" s="149" t="s">
        <v>21</v>
      </c>
      <c r="M76" s="10"/>
      <c r="N76" s="530">
        <f>M75</f>
        <v>0</v>
      </c>
      <c r="O76" s="530"/>
      <c r="P76" s="530"/>
      <c r="Q76" s="530"/>
    </row>
    <row r="77" spans="1:17">
      <c r="A77" s="527" t="s">
        <v>32</v>
      </c>
      <c r="B77" s="528"/>
      <c r="C77" s="528"/>
      <c r="D77" s="528"/>
      <c r="E77" s="528"/>
      <c r="F77" s="528"/>
      <c r="G77" s="528"/>
      <c r="H77" s="529"/>
      <c r="J77" s="527" t="s">
        <v>32</v>
      </c>
      <c r="K77" s="528"/>
      <c r="L77" s="528"/>
      <c r="M77" s="528"/>
      <c r="N77" s="528"/>
      <c r="O77" s="528"/>
      <c r="P77" s="528"/>
      <c r="Q77" s="529"/>
    </row>
    <row r="78" spans="1:17" hidden="1">
      <c r="A78" s="12"/>
      <c r="B78" s="13"/>
      <c r="C78" s="22"/>
      <c r="D78" s="22"/>
      <c r="E78" s="144"/>
      <c r="F78" s="144"/>
      <c r="G78" s="144"/>
      <c r="H78" s="144"/>
      <c r="J78" s="12"/>
      <c r="K78" s="13"/>
      <c r="L78" s="22"/>
      <c r="M78" s="22"/>
      <c r="N78" s="149"/>
      <c r="O78" s="149"/>
      <c r="P78" s="149"/>
      <c r="Q78" s="149"/>
    </row>
    <row r="79" spans="1:17">
      <c r="A79" s="12"/>
      <c r="B79" s="13"/>
      <c r="C79" s="22"/>
      <c r="D79" s="22"/>
      <c r="E79" s="149"/>
      <c r="F79" s="149"/>
      <c r="G79" s="149"/>
      <c r="H79" s="149"/>
      <c r="J79" s="12"/>
      <c r="K79" s="13" t="s">
        <v>379</v>
      </c>
      <c r="L79" s="24" t="s">
        <v>378</v>
      </c>
      <c r="M79" s="23">
        <v>3000000</v>
      </c>
      <c r="N79" s="149"/>
      <c r="O79" s="149"/>
      <c r="P79" s="149"/>
      <c r="Q79" s="149"/>
    </row>
    <row r="80" spans="1:17">
      <c r="A80" s="12"/>
      <c r="B80" s="13"/>
      <c r="C80" s="22"/>
      <c r="D80" s="22"/>
      <c r="E80" s="149"/>
      <c r="F80" s="149"/>
      <c r="G80" s="149"/>
      <c r="H80" s="149"/>
      <c r="J80" s="12"/>
      <c r="K80" s="13"/>
      <c r="L80" s="22"/>
      <c r="M80" s="22"/>
      <c r="N80" s="149"/>
      <c r="O80" s="149"/>
      <c r="P80" s="149"/>
      <c r="Q80" s="149"/>
    </row>
    <row r="81" spans="1:17">
      <c r="A81" s="12"/>
      <c r="B81" s="13"/>
      <c r="C81" s="22"/>
      <c r="D81" s="29"/>
      <c r="E81" s="144"/>
      <c r="F81" s="144"/>
      <c r="G81" s="144"/>
      <c r="H81" s="144"/>
      <c r="J81" s="12"/>
      <c r="K81" s="13"/>
      <c r="L81" s="22"/>
      <c r="M81" s="29"/>
      <c r="N81" s="149"/>
      <c r="O81" s="149"/>
      <c r="P81" s="149"/>
      <c r="Q81" s="149"/>
    </row>
    <row r="82" spans="1:17">
      <c r="A82" s="12"/>
      <c r="B82" s="13"/>
      <c r="C82" s="26" t="s">
        <v>34</v>
      </c>
      <c r="D82" s="27">
        <f>SUM(D78:D81)</f>
        <v>0</v>
      </c>
      <c r="E82" s="27">
        <v>0</v>
      </c>
      <c r="F82" s="27">
        <v>0</v>
      </c>
      <c r="G82" s="27"/>
      <c r="H82" s="27"/>
      <c r="J82" s="12"/>
      <c r="K82" s="13"/>
      <c r="L82" s="26" t="s">
        <v>34</v>
      </c>
      <c r="M82" s="27">
        <f>SUM(M78:M81)</f>
        <v>3000000</v>
      </c>
      <c r="N82" s="27">
        <v>0</v>
      </c>
      <c r="O82" s="27">
        <v>0</v>
      </c>
      <c r="P82" s="27"/>
      <c r="Q82" s="27"/>
    </row>
    <row r="83" spans="1:17">
      <c r="A83" s="20"/>
      <c r="B83" s="19"/>
      <c r="C83" s="144" t="s">
        <v>21</v>
      </c>
      <c r="D83" s="10"/>
      <c r="E83" s="531">
        <f>D82</f>
        <v>0</v>
      </c>
      <c r="F83" s="532"/>
      <c r="G83" s="532"/>
      <c r="H83" s="533"/>
      <c r="J83" s="20"/>
      <c r="K83" s="19"/>
      <c r="L83" s="149" t="s">
        <v>21</v>
      </c>
      <c r="M83" s="10"/>
      <c r="N83" s="531">
        <f>M82</f>
        <v>3000000</v>
      </c>
      <c r="O83" s="532"/>
      <c r="P83" s="532"/>
      <c r="Q83" s="533"/>
    </row>
    <row r="84" spans="1:17">
      <c r="A84" s="525" t="s">
        <v>35</v>
      </c>
      <c r="B84" s="525"/>
      <c r="C84" s="525"/>
      <c r="D84" s="142"/>
      <c r="E84" s="526">
        <f>E31+E40+E76+E83+E56+E62+E46</f>
        <v>30270000</v>
      </c>
      <c r="F84" s="526"/>
      <c r="G84" s="526"/>
      <c r="H84" s="526"/>
      <c r="J84" s="525" t="s">
        <v>35</v>
      </c>
      <c r="K84" s="525"/>
      <c r="L84" s="525"/>
      <c r="M84" s="145"/>
      <c r="N84" s="526">
        <f>N31+N40+N76+N83+N56+N62+N46</f>
        <v>33120000</v>
      </c>
      <c r="O84" s="526"/>
      <c r="P84" s="526"/>
      <c r="Q84" s="526"/>
    </row>
    <row r="85" spans="1:17">
      <c r="A85" s="522" t="s">
        <v>36</v>
      </c>
      <c r="B85" s="522"/>
      <c r="C85" s="522"/>
      <c r="D85" s="141"/>
      <c r="E85" s="523">
        <f>+E24+E84</f>
        <v>33121312</v>
      </c>
      <c r="F85" s="523"/>
      <c r="G85" s="523"/>
      <c r="H85" s="523"/>
      <c r="J85" s="522" t="s">
        <v>36</v>
      </c>
      <c r="K85" s="522"/>
      <c r="L85" s="522"/>
      <c r="M85" s="148"/>
      <c r="N85" s="523">
        <f>+N24+N84</f>
        <v>34964312</v>
      </c>
      <c r="O85" s="523"/>
      <c r="P85" s="523"/>
      <c r="Q85" s="523"/>
    </row>
    <row r="86" spans="1:17">
      <c r="A86" s="524" t="s">
        <v>32</v>
      </c>
      <c r="B86" s="524"/>
      <c r="C86" s="524"/>
      <c r="D86" s="524"/>
      <c r="E86" s="524"/>
      <c r="F86" s="524"/>
      <c r="G86" s="524"/>
      <c r="H86" s="524"/>
      <c r="J86" s="524" t="s">
        <v>32</v>
      </c>
      <c r="K86" s="524"/>
      <c r="L86" s="524"/>
      <c r="M86" s="524"/>
      <c r="N86" s="524"/>
      <c r="O86" s="524"/>
      <c r="P86" s="524"/>
      <c r="Q86" s="524"/>
    </row>
    <row r="87" spans="1:17">
      <c r="A87" s="33"/>
      <c r="B87" s="13"/>
      <c r="C87" s="22"/>
      <c r="D87" s="22"/>
      <c r="E87" s="22"/>
      <c r="F87" s="22"/>
      <c r="G87" s="16"/>
      <c r="H87" s="16"/>
      <c r="J87" s="33"/>
      <c r="K87" s="13"/>
      <c r="L87" s="22"/>
      <c r="M87" s="22"/>
      <c r="N87" s="22"/>
      <c r="O87" s="22"/>
      <c r="P87" s="16"/>
      <c r="Q87" s="16"/>
    </row>
    <row r="88" spans="1:17">
      <c r="A88" s="33"/>
      <c r="B88" s="13"/>
      <c r="C88" s="22"/>
      <c r="D88" s="22"/>
      <c r="E88" s="22"/>
      <c r="F88" s="22"/>
      <c r="G88" s="16"/>
      <c r="H88" s="16"/>
      <c r="J88" s="33"/>
      <c r="K88" s="13"/>
      <c r="L88" s="22"/>
      <c r="M88" s="22"/>
      <c r="N88" s="22"/>
      <c r="O88" s="22"/>
      <c r="P88" s="16"/>
      <c r="Q88" s="16"/>
    </row>
    <row r="89" spans="1:17">
      <c r="A89" s="33"/>
      <c r="B89" s="13"/>
      <c r="C89" s="22"/>
      <c r="D89" s="22"/>
      <c r="E89" s="22"/>
      <c r="F89" s="22"/>
      <c r="G89" s="16"/>
      <c r="H89" s="16"/>
      <c r="J89" s="33"/>
      <c r="K89" s="13"/>
      <c r="L89" s="22"/>
      <c r="M89" s="22"/>
      <c r="N89" s="22"/>
      <c r="O89" s="22"/>
      <c r="P89" s="16"/>
      <c r="Q89" s="16"/>
    </row>
    <row r="90" spans="1:17">
      <c r="A90" s="20"/>
      <c r="B90" s="13"/>
      <c r="C90" s="22"/>
      <c r="D90" s="22"/>
      <c r="E90" s="22"/>
      <c r="F90" s="16"/>
      <c r="G90" s="16"/>
      <c r="H90" s="16"/>
      <c r="J90" s="20"/>
      <c r="K90" s="13"/>
      <c r="L90" s="22"/>
      <c r="M90" s="22"/>
      <c r="N90" s="22"/>
      <c r="O90" s="16"/>
      <c r="P90" s="16"/>
      <c r="Q90" s="16"/>
    </row>
    <row r="91" spans="1:17">
      <c r="A91" s="20"/>
      <c r="B91" s="13"/>
      <c r="C91" s="22"/>
      <c r="D91" s="22"/>
      <c r="E91" s="22"/>
      <c r="F91" s="16"/>
      <c r="G91" s="16"/>
      <c r="H91" s="16"/>
      <c r="J91" s="20"/>
      <c r="K91" s="13"/>
      <c r="L91" s="22"/>
      <c r="M91" s="22"/>
      <c r="N91" s="22"/>
      <c r="O91" s="16"/>
      <c r="P91" s="16"/>
      <c r="Q91" s="16"/>
    </row>
    <row r="92" spans="1:17">
      <c r="A92" s="525" t="s">
        <v>37</v>
      </c>
      <c r="B92" s="525"/>
      <c r="C92" s="525"/>
      <c r="D92" s="142">
        <f>SUM(D87:D91)</f>
        <v>0</v>
      </c>
      <c r="E92" s="526"/>
      <c r="F92" s="526"/>
      <c r="G92" s="526"/>
      <c r="H92" s="526"/>
      <c r="J92" s="525" t="s">
        <v>37</v>
      </c>
      <c r="K92" s="525"/>
      <c r="L92" s="525"/>
      <c r="M92" s="145">
        <f>SUM(M87:M91)</f>
        <v>0</v>
      </c>
      <c r="N92" s="526"/>
      <c r="O92" s="526"/>
      <c r="P92" s="526"/>
      <c r="Q92" s="526"/>
    </row>
    <row r="93" spans="1:17">
      <c r="A93" s="34" t="s">
        <v>38</v>
      </c>
      <c r="B93" s="35"/>
      <c r="C93" s="142"/>
      <c r="D93" s="142"/>
      <c r="E93" s="143"/>
      <c r="F93" s="143"/>
      <c r="G93" s="526"/>
      <c r="H93" s="526"/>
      <c r="J93" s="34" t="s">
        <v>38</v>
      </c>
      <c r="K93" s="35"/>
      <c r="L93" s="145"/>
      <c r="M93" s="145"/>
      <c r="N93" s="146"/>
      <c r="O93" s="146"/>
      <c r="P93" s="526"/>
      <c r="Q93" s="526"/>
    </row>
    <row r="94" spans="1:17">
      <c r="A94" s="37"/>
      <c r="B94" s="38"/>
      <c r="C94" s="39"/>
      <c r="D94" s="39"/>
      <c r="E94" s="39"/>
      <c r="F94" s="39"/>
      <c r="G94" s="39"/>
      <c r="H94" s="39"/>
      <c r="J94" s="37"/>
      <c r="K94" s="38"/>
      <c r="L94" s="39"/>
      <c r="M94" s="39"/>
      <c r="N94" s="39"/>
      <c r="O94" s="39"/>
      <c r="P94" s="39"/>
      <c r="Q94" s="39"/>
    </row>
    <row r="95" spans="1:17">
      <c r="A95" s="519" t="s">
        <v>13</v>
      </c>
      <c r="B95" s="520"/>
      <c r="C95" s="520"/>
      <c r="D95" s="520"/>
      <c r="E95" s="521"/>
      <c r="F95" s="39"/>
      <c r="G95" s="39"/>
      <c r="H95" s="40"/>
      <c r="J95" s="519" t="s">
        <v>13</v>
      </c>
      <c r="K95" s="520"/>
      <c r="L95" s="520"/>
      <c r="M95" s="520"/>
      <c r="N95" s="521"/>
      <c r="O95" s="39"/>
      <c r="P95" s="39"/>
      <c r="Q95" s="40"/>
    </row>
    <row r="96" spans="1:17">
      <c r="A96" s="41" t="s">
        <v>39</v>
      </c>
      <c r="B96" s="42" t="s">
        <v>40</v>
      </c>
      <c r="C96" s="43" t="s">
        <v>41</v>
      </c>
      <c r="D96" s="43" t="s">
        <v>42</v>
      </c>
      <c r="E96" s="43" t="s">
        <v>43</v>
      </c>
      <c r="F96" s="39"/>
      <c r="G96" s="39"/>
      <c r="H96" s="39"/>
      <c r="J96" s="41" t="s">
        <v>39</v>
      </c>
      <c r="K96" s="42" t="s">
        <v>40</v>
      </c>
      <c r="L96" s="43" t="s">
        <v>41</v>
      </c>
      <c r="M96" s="43" t="s">
        <v>42</v>
      </c>
      <c r="N96" s="43" t="s">
        <v>43</v>
      </c>
      <c r="O96" s="39"/>
      <c r="P96" s="39"/>
      <c r="Q96" s="39"/>
    </row>
    <row r="97" spans="1:17">
      <c r="A97" s="41"/>
      <c r="B97" s="44"/>
      <c r="C97" s="45"/>
      <c r="D97" s="46"/>
      <c r="E97" s="46"/>
      <c r="F97" s="39"/>
      <c r="G97" s="39"/>
      <c r="H97" s="39"/>
      <c r="J97" s="41"/>
      <c r="K97" s="44"/>
      <c r="L97" s="45" t="s">
        <v>387</v>
      </c>
      <c r="M97" s="46">
        <v>35000000</v>
      </c>
      <c r="N97" s="46"/>
      <c r="O97" s="39"/>
      <c r="P97" s="39"/>
      <c r="Q97" s="39"/>
    </row>
    <row r="98" spans="1:17">
      <c r="A98" s="41"/>
      <c r="B98" s="44"/>
      <c r="C98" s="45"/>
      <c r="D98" s="46"/>
      <c r="E98" s="46"/>
      <c r="F98" s="39"/>
      <c r="G98" s="39"/>
      <c r="H98" s="39"/>
      <c r="J98" s="41"/>
      <c r="K98" s="44"/>
      <c r="L98" s="45"/>
      <c r="M98" s="46"/>
      <c r="N98" s="46"/>
      <c r="O98" s="39"/>
      <c r="P98" s="39"/>
      <c r="Q98" s="39"/>
    </row>
    <row r="99" spans="1:17">
      <c r="A99" s="41"/>
      <c r="B99" s="44"/>
      <c r="C99" s="45"/>
      <c r="D99" s="46"/>
      <c r="E99" s="46"/>
      <c r="F99" s="39"/>
      <c r="G99" s="39"/>
      <c r="H99" s="39"/>
      <c r="J99" s="41"/>
      <c r="K99" s="44"/>
      <c r="L99" s="45"/>
      <c r="M99" s="46"/>
      <c r="N99" s="46"/>
      <c r="O99" s="39"/>
      <c r="P99" s="39"/>
      <c r="Q99" s="39"/>
    </row>
    <row r="100" spans="1:17">
      <c r="A100" s="41"/>
      <c r="B100" s="44"/>
      <c r="C100" s="47"/>
      <c r="D100" s="46"/>
      <c r="E100" s="46"/>
      <c r="F100" s="39"/>
      <c r="G100" s="39"/>
      <c r="H100" s="39"/>
      <c r="J100" s="41"/>
      <c r="K100" s="44"/>
      <c r="L100" s="47"/>
      <c r="M100" s="46"/>
      <c r="N100" s="46"/>
      <c r="O100" s="39"/>
      <c r="P100" s="39"/>
      <c r="Q100" s="39"/>
    </row>
    <row r="101" spans="1:17">
      <c r="A101" s="41"/>
      <c r="B101" s="44"/>
      <c r="C101" s="46"/>
      <c r="D101" s="48"/>
      <c r="E101" s="46"/>
      <c r="F101" s="39"/>
      <c r="G101" s="39"/>
      <c r="H101" s="39"/>
      <c r="J101" s="41"/>
      <c r="K101" s="44"/>
      <c r="L101" s="46"/>
      <c r="M101" s="48"/>
      <c r="N101" s="46"/>
      <c r="O101" s="39"/>
      <c r="P101" s="39"/>
      <c r="Q101" s="39"/>
    </row>
    <row r="102" spans="1:17">
      <c r="A102" s="49"/>
      <c r="B102" s="50"/>
      <c r="C102" s="51" t="s">
        <v>44</v>
      </c>
      <c r="D102" s="51">
        <f>SUM(D97:D101)</f>
        <v>0</v>
      </c>
      <c r="E102" s="52"/>
      <c r="F102" s="39"/>
      <c r="G102" s="39"/>
      <c r="H102" s="39"/>
      <c r="J102" s="49"/>
      <c r="K102" s="50"/>
      <c r="L102" s="51" t="s">
        <v>44</v>
      </c>
      <c r="M102" s="51">
        <f>SUM(M97:M101)</f>
        <v>35000000</v>
      </c>
      <c r="N102" s="52"/>
      <c r="O102" s="39"/>
      <c r="P102" s="39"/>
      <c r="Q102" s="39"/>
    </row>
    <row r="103" spans="1:17">
      <c r="A103" s="53"/>
      <c r="B103" s="54"/>
      <c r="C103" s="55"/>
      <c r="D103" s="56"/>
      <c r="E103" s="3"/>
      <c r="F103" s="39"/>
      <c r="G103" s="39"/>
      <c r="H103" s="39"/>
      <c r="J103" s="53"/>
      <c r="K103" s="54"/>
      <c r="L103" s="55"/>
      <c r="M103" s="56"/>
      <c r="N103" s="3"/>
      <c r="O103" s="39"/>
      <c r="P103" s="39"/>
      <c r="Q103" s="39"/>
    </row>
  </sheetData>
  <mergeCells count="66">
    <mergeCell ref="J86:Q86"/>
    <mergeCell ref="J92:L92"/>
    <mergeCell ref="N92:Q92"/>
    <mergeCell ref="P93:Q93"/>
    <mergeCell ref="J95:N95"/>
    <mergeCell ref="N83:Q83"/>
    <mergeCell ref="J84:L84"/>
    <mergeCell ref="N84:Q84"/>
    <mergeCell ref="J85:L85"/>
    <mergeCell ref="N85:Q85"/>
    <mergeCell ref="J57:Q57"/>
    <mergeCell ref="N62:Q62"/>
    <mergeCell ref="J63:Q63"/>
    <mergeCell ref="N76:Q76"/>
    <mergeCell ref="J77:Q77"/>
    <mergeCell ref="N40:Q40"/>
    <mergeCell ref="J41:Q41"/>
    <mergeCell ref="N46:Q46"/>
    <mergeCell ref="J47:Q47"/>
    <mergeCell ref="N56:Q56"/>
    <mergeCell ref="J24:M24"/>
    <mergeCell ref="N24:Q24"/>
    <mergeCell ref="J25:Q25"/>
    <mergeCell ref="N31:Q31"/>
    <mergeCell ref="J32:Q32"/>
    <mergeCell ref="J3:Q3"/>
    <mergeCell ref="J11:P11"/>
    <mergeCell ref="J12:Q12"/>
    <mergeCell ref="J13:J14"/>
    <mergeCell ref="K13:K14"/>
    <mergeCell ref="L13:L14"/>
    <mergeCell ref="M13:M14"/>
    <mergeCell ref="N13:Q13"/>
    <mergeCell ref="A32:H32"/>
    <mergeCell ref="A3:H3"/>
    <mergeCell ref="A11:G11"/>
    <mergeCell ref="A12:H12"/>
    <mergeCell ref="A13:A14"/>
    <mergeCell ref="B13:B14"/>
    <mergeCell ref="C13:C14"/>
    <mergeCell ref="D13:D14"/>
    <mergeCell ref="E13:H13"/>
    <mergeCell ref="A24:D24"/>
    <mergeCell ref="E24:H24"/>
    <mergeCell ref="A25:H25"/>
    <mergeCell ref="E31:H31"/>
    <mergeCell ref="A84:C84"/>
    <mergeCell ref="E84:H84"/>
    <mergeCell ref="E40:H40"/>
    <mergeCell ref="A41:H41"/>
    <mergeCell ref="E46:H46"/>
    <mergeCell ref="A47:H47"/>
    <mergeCell ref="E56:H56"/>
    <mergeCell ref="A57:H57"/>
    <mergeCell ref="E62:H62"/>
    <mergeCell ref="A63:H63"/>
    <mergeCell ref="E76:H76"/>
    <mergeCell ref="A77:H77"/>
    <mergeCell ref="E83:H83"/>
    <mergeCell ref="A95:E95"/>
    <mergeCell ref="A85:C85"/>
    <mergeCell ref="E85:H85"/>
    <mergeCell ref="A86:H86"/>
    <mergeCell ref="A92:C92"/>
    <mergeCell ref="E92:H92"/>
    <mergeCell ref="G93:H93"/>
  </mergeCells>
  <pageMargins left="0.11811023622047245" right="0.11811023622047245" top="0.39370078740157483" bottom="0.26" header="0.11811023622047245" footer="0.16"/>
  <pageSetup paperSize="9" scale="80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6"/>
  <sheetViews>
    <sheetView workbookViewId="0"/>
  </sheetViews>
  <sheetFormatPr defaultRowHeight="15"/>
  <cols>
    <col min="2" max="2" width="9.7109375" bestFit="1" customWidth="1"/>
    <col min="3" max="3" width="31.140625" bestFit="1" customWidth="1"/>
    <col min="4" max="6" width="10" bestFit="1" customWidth="1"/>
    <col min="9" max="9" width="10.5703125" bestFit="1" customWidth="1"/>
  </cols>
  <sheetData>
    <row r="1" spans="1:9">
      <c r="A1" s="1" t="s">
        <v>0</v>
      </c>
      <c r="B1" s="2"/>
      <c r="C1" s="3"/>
      <c r="D1" s="3"/>
      <c r="E1" s="3"/>
      <c r="F1" s="3"/>
      <c r="G1" s="3"/>
      <c r="H1" s="3"/>
    </row>
    <row r="2" spans="1:9">
      <c r="A2" s="1" t="s">
        <v>311</v>
      </c>
      <c r="B2" s="2"/>
      <c r="C2" s="3"/>
      <c r="D2" s="3"/>
      <c r="E2" s="3"/>
      <c r="F2" s="3"/>
      <c r="G2" s="3"/>
      <c r="H2" s="3"/>
    </row>
    <row r="3" spans="1:9">
      <c r="A3" s="534" t="s">
        <v>1</v>
      </c>
      <c r="B3" s="534"/>
      <c r="C3" s="534"/>
      <c r="D3" s="534"/>
      <c r="E3" s="534"/>
      <c r="F3" s="534"/>
      <c r="G3" s="534"/>
      <c r="H3" s="534"/>
    </row>
    <row r="4" spans="1:9">
      <c r="A4" s="4"/>
      <c r="B4" s="5"/>
      <c r="C4" s="6" t="s">
        <v>2</v>
      </c>
      <c r="D4" s="7">
        <v>0</v>
      </c>
      <c r="E4" s="6"/>
      <c r="F4" s="6"/>
      <c r="G4" s="6"/>
      <c r="H4" s="6"/>
    </row>
    <row r="5" spans="1:9">
      <c r="A5" s="4"/>
      <c r="B5" s="5"/>
      <c r="C5" s="6" t="s">
        <v>3</v>
      </c>
      <c r="D5" s="8"/>
      <c r="E5" s="6"/>
      <c r="F5" s="6"/>
      <c r="G5" s="6"/>
      <c r="H5" s="6"/>
    </row>
    <row r="6" spans="1:9">
      <c r="A6" s="4"/>
      <c r="B6" s="5"/>
      <c r="C6" s="6" t="s">
        <v>4</v>
      </c>
      <c r="D6" s="9"/>
      <c r="E6" s="6"/>
      <c r="F6" s="6"/>
      <c r="G6" s="6"/>
      <c r="H6" s="6"/>
    </row>
    <row r="7" spans="1:9">
      <c r="A7" s="4"/>
      <c r="B7" s="5"/>
      <c r="C7" s="6" t="s">
        <v>5</v>
      </c>
      <c r="D7" s="6"/>
      <c r="E7" s="6"/>
      <c r="F7" s="6"/>
      <c r="G7" s="6"/>
      <c r="H7" s="6"/>
    </row>
    <row r="8" spans="1:9">
      <c r="A8" s="4"/>
      <c r="B8" s="5"/>
      <c r="C8" s="6" t="s">
        <v>6</v>
      </c>
      <c r="D8" s="6"/>
      <c r="E8" s="6"/>
      <c r="F8" s="6"/>
      <c r="G8" s="6"/>
      <c r="H8" s="6"/>
    </row>
    <row r="9" spans="1:9">
      <c r="A9" s="4"/>
      <c r="B9" s="5"/>
      <c r="C9" s="6" t="s">
        <v>7</v>
      </c>
      <c r="D9" s="6"/>
      <c r="E9" s="6"/>
      <c r="F9" s="6"/>
      <c r="G9" s="6"/>
      <c r="H9" s="6"/>
    </row>
    <row r="10" spans="1:9">
      <c r="A10" s="4"/>
      <c r="B10" s="5"/>
      <c r="C10" s="6"/>
      <c r="D10" s="6"/>
      <c r="E10" s="6"/>
      <c r="F10" s="6"/>
      <c r="G10" s="6"/>
      <c r="H10" s="6"/>
    </row>
    <row r="11" spans="1:9">
      <c r="A11" s="530" t="s">
        <v>154</v>
      </c>
      <c r="B11" s="530"/>
      <c r="C11" s="530"/>
      <c r="D11" s="10"/>
      <c r="E11" s="10"/>
      <c r="F11" s="10"/>
      <c r="G11" s="10"/>
      <c r="H11" s="10">
        <f>SUM(D4:D9)</f>
        <v>0</v>
      </c>
    </row>
    <row r="12" spans="1:9">
      <c r="A12" s="524" t="s">
        <v>109</v>
      </c>
      <c r="B12" s="524"/>
      <c r="C12" s="524"/>
      <c r="D12" s="524"/>
      <c r="E12" s="524"/>
      <c r="F12" s="524"/>
      <c r="G12" s="524"/>
      <c r="H12" s="524"/>
    </row>
    <row r="13" spans="1:9">
      <c r="A13" s="12"/>
      <c r="B13" s="13" t="s">
        <v>381</v>
      </c>
      <c r="C13" s="15" t="s">
        <v>382</v>
      </c>
      <c r="D13" s="22">
        <v>1356000</v>
      </c>
      <c r="E13" s="153">
        <v>1200000</v>
      </c>
      <c r="F13" s="22">
        <f>D13-E13</f>
        <v>156000</v>
      </c>
      <c r="G13" s="16"/>
      <c r="H13" s="16"/>
      <c r="I13" s="72">
        <f>D13+D14-12000-6000</f>
        <v>4500000</v>
      </c>
    </row>
    <row r="14" spans="1:9">
      <c r="A14" s="12"/>
      <c r="B14" s="13" t="s">
        <v>381</v>
      </c>
      <c r="C14" s="15" t="s">
        <v>383</v>
      </c>
      <c r="D14" s="22">
        <v>3162000</v>
      </c>
      <c r="E14" s="153">
        <v>450000</v>
      </c>
      <c r="F14" s="22">
        <f>D14-E14</f>
        <v>2712000</v>
      </c>
      <c r="G14" s="16"/>
      <c r="H14" s="16"/>
    </row>
    <row r="15" spans="1:9">
      <c r="A15" s="12"/>
      <c r="B15" s="13" t="s">
        <v>385</v>
      </c>
      <c r="C15" s="15" t="s">
        <v>386</v>
      </c>
      <c r="D15" s="22">
        <v>25000</v>
      </c>
      <c r="E15" s="22"/>
      <c r="F15" s="22"/>
      <c r="G15" s="16"/>
      <c r="H15" s="16"/>
    </row>
    <row r="16" spans="1:9">
      <c r="A16" s="12"/>
      <c r="B16" s="13"/>
      <c r="C16" s="15"/>
      <c r="D16" s="22"/>
      <c r="E16" s="22"/>
      <c r="F16" s="22"/>
      <c r="G16" s="16"/>
      <c r="H16" s="16"/>
    </row>
    <row r="17" spans="1:8">
      <c r="A17" s="12"/>
      <c r="B17" s="13"/>
      <c r="C17" s="15"/>
      <c r="D17" s="23"/>
      <c r="E17" s="22"/>
      <c r="F17" s="22"/>
      <c r="G17" s="16"/>
      <c r="H17" s="16"/>
    </row>
    <row r="18" spans="1:8">
      <c r="A18" s="25"/>
      <c r="B18" s="19"/>
      <c r="C18" s="26" t="s">
        <v>107</v>
      </c>
      <c r="D18" s="27">
        <f>SUM(D13:D17)</f>
        <v>4543000</v>
      </c>
      <c r="E18" s="27">
        <f>SUM(E13:E17)</f>
        <v>1650000</v>
      </c>
      <c r="F18" s="27">
        <f>SUM(F13:F17)</f>
        <v>2868000</v>
      </c>
      <c r="G18" s="27"/>
      <c r="H18" s="27"/>
    </row>
    <row r="19" spans="1:8">
      <c r="A19" s="20"/>
      <c r="B19" s="19"/>
      <c r="C19" s="149" t="s">
        <v>21</v>
      </c>
      <c r="D19" s="10"/>
      <c r="E19" s="530">
        <f>D18</f>
        <v>4543000</v>
      </c>
      <c r="F19" s="530"/>
      <c r="G19" s="530"/>
      <c r="H19" s="530"/>
    </row>
    <row r="20" spans="1:8">
      <c r="A20" s="524" t="s">
        <v>114</v>
      </c>
      <c r="B20" s="524"/>
      <c r="C20" s="524"/>
      <c r="D20" s="524"/>
      <c r="E20" s="524"/>
      <c r="F20" s="524"/>
      <c r="G20" s="524"/>
      <c r="H20" s="524"/>
    </row>
    <row r="21" spans="1:8">
      <c r="A21" s="12"/>
      <c r="B21" s="19"/>
      <c r="C21" s="24"/>
      <c r="D21" s="22"/>
      <c r="E21" s="22"/>
      <c r="F21" s="22"/>
      <c r="G21" s="16"/>
      <c r="H21" s="16"/>
    </row>
    <row r="22" spans="1:8">
      <c r="A22" s="12"/>
      <c r="B22" s="13"/>
      <c r="C22" s="15"/>
      <c r="D22" s="22"/>
      <c r="E22" s="22"/>
      <c r="F22" s="22"/>
      <c r="G22" s="16"/>
      <c r="H22" s="16"/>
    </row>
    <row r="23" spans="1:8">
      <c r="A23" s="12"/>
      <c r="B23" s="13"/>
      <c r="C23" s="15"/>
      <c r="D23" s="22"/>
      <c r="E23" s="22"/>
      <c r="F23" s="22"/>
      <c r="G23" s="16"/>
      <c r="H23" s="16"/>
    </row>
    <row r="24" spans="1:8">
      <c r="A24" s="12"/>
      <c r="B24" s="13"/>
      <c r="C24" s="15"/>
      <c r="D24" s="22"/>
      <c r="E24" s="22"/>
      <c r="F24" s="22"/>
      <c r="G24" s="16"/>
      <c r="H24" s="16"/>
    </row>
    <row r="25" spans="1:8">
      <c r="A25" s="12"/>
      <c r="B25" s="13"/>
      <c r="C25" s="15"/>
      <c r="D25" s="23"/>
      <c r="E25" s="22"/>
      <c r="F25" s="22"/>
      <c r="G25" s="16"/>
      <c r="H25" s="16"/>
    </row>
    <row r="26" spans="1:8">
      <c r="A26" s="25"/>
      <c r="B26" s="19"/>
      <c r="C26" s="26" t="s">
        <v>107</v>
      </c>
      <c r="D26" s="27">
        <f>SUM(D21:D25)</f>
        <v>0</v>
      </c>
      <c r="E26" s="27"/>
      <c r="F26" s="27"/>
      <c r="G26" s="27"/>
      <c r="H26" s="27"/>
    </row>
    <row r="27" spans="1:8">
      <c r="A27" s="20"/>
      <c r="B27" s="19"/>
      <c r="C27" s="149" t="s">
        <v>21</v>
      </c>
      <c r="D27" s="10"/>
      <c r="E27" s="530">
        <f>D26</f>
        <v>0</v>
      </c>
      <c r="F27" s="530"/>
      <c r="G27" s="530"/>
      <c r="H27" s="530"/>
    </row>
    <row r="28" spans="1:8">
      <c r="A28" s="525" t="s">
        <v>115</v>
      </c>
      <c r="B28" s="525"/>
      <c r="C28" s="525"/>
      <c r="D28" s="145"/>
      <c r="E28" s="526">
        <f>E19+E27</f>
        <v>4543000</v>
      </c>
      <c r="F28" s="526"/>
      <c r="G28" s="526"/>
      <c r="H28" s="526"/>
    </row>
    <row r="29" spans="1:8">
      <c r="A29" s="524" t="s">
        <v>32</v>
      </c>
      <c r="B29" s="524"/>
      <c r="C29" s="524"/>
      <c r="D29" s="524"/>
      <c r="E29" s="524"/>
      <c r="F29" s="524"/>
      <c r="G29" s="524"/>
      <c r="H29" s="524"/>
    </row>
    <row r="30" spans="1:8">
      <c r="A30" s="33"/>
      <c r="B30" s="13"/>
      <c r="C30" s="22"/>
      <c r="D30" s="22"/>
      <c r="E30" s="22"/>
      <c r="F30" s="22"/>
      <c r="G30" s="16"/>
      <c r="H30" s="16"/>
    </row>
    <row r="31" spans="1:8">
      <c r="A31" s="33"/>
      <c r="B31" s="13"/>
      <c r="C31" s="22"/>
      <c r="D31" s="22"/>
      <c r="E31" s="22"/>
      <c r="F31" s="22"/>
      <c r="G31" s="16"/>
      <c r="H31" s="16"/>
    </row>
    <row r="32" spans="1:8">
      <c r="A32" s="33"/>
      <c r="B32" s="13"/>
      <c r="C32" s="22"/>
      <c r="D32" s="22"/>
      <c r="E32" s="22"/>
      <c r="F32" s="22"/>
      <c r="G32" s="16"/>
      <c r="H32" s="16"/>
    </row>
    <row r="33" spans="1:8">
      <c r="A33" s="20"/>
      <c r="B33" s="13"/>
      <c r="C33" s="22"/>
      <c r="D33" s="22"/>
      <c r="E33" s="22"/>
      <c r="F33" s="16"/>
      <c r="G33" s="16"/>
      <c r="H33" s="16"/>
    </row>
    <row r="34" spans="1:8">
      <c r="A34" s="20"/>
      <c r="B34" s="13"/>
      <c r="C34" s="22"/>
      <c r="D34" s="22"/>
      <c r="E34" s="22"/>
      <c r="F34" s="16"/>
      <c r="G34" s="16"/>
      <c r="H34" s="16"/>
    </row>
    <row r="35" spans="1:8">
      <c r="A35" s="525" t="s">
        <v>37</v>
      </c>
      <c r="B35" s="525"/>
      <c r="C35" s="525"/>
      <c r="D35" s="145">
        <f>SUM(D30:D34)</f>
        <v>0</v>
      </c>
      <c r="E35" s="526"/>
      <c r="F35" s="526"/>
      <c r="G35" s="526"/>
      <c r="H35" s="526"/>
    </row>
    <row r="36" spans="1:8">
      <c r="A36" s="34" t="s">
        <v>38</v>
      </c>
      <c r="B36" s="35"/>
      <c r="C36" s="145"/>
      <c r="D36" s="145"/>
      <c r="E36" s="146"/>
      <c r="F36" s="146"/>
      <c r="G36" s="526"/>
      <c r="H36" s="526"/>
    </row>
    <row r="37" spans="1:8">
      <c r="A37" s="37"/>
      <c r="B37" s="38"/>
      <c r="C37" s="39"/>
      <c r="D37" s="39"/>
      <c r="E37" s="39"/>
      <c r="F37" s="39"/>
      <c r="G37" s="39"/>
      <c r="H37" s="39"/>
    </row>
    <row r="38" spans="1:8">
      <c r="A38" s="519" t="s">
        <v>13</v>
      </c>
      <c r="B38" s="520"/>
      <c r="C38" s="520"/>
      <c r="D38" s="520"/>
      <c r="E38" s="521"/>
      <c r="F38" s="39"/>
      <c r="G38" s="39"/>
      <c r="H38" s="40"/>
    </row>
    <row r="39" spans="1:8">
      <c r="A39" s="41" t="s">
        <v>39</v>
      </c>
      <c r="B39" s="42" t="s">
        <v>40</v>
      </c>
      <c r="C39" s="43" t="s">
        <v>41</v>
      </c>
      <c r="D39" s="43" t="s">
        <v>42</v>
      </c>
      <c r="E39" s="43" t="s">
        <v>43</v>
      </c>
      <c r="F39" s="39"/>
      <c r="G39" s="39"/>
      <c r="H39" s="39"/>
    </row>
    <row r="40" spans="1:8">
      <c r="A40" s="41"/>
      <c r="B40" s="44"/>
      <c r="C40" s="45"/>
      <c r="D40" s="46"/>
      <c r="E40" s="46"/>
      <c r="F40" s="39"/>
      <c r="G40" s="39"/>
      <c r="H40" s="39"/>
    </row>
    <row r="41" spans="1:8">
      <c r="A41" s="41"/>
      <c r="B41" s="44"/>
      <c r="C41" s="45"/>
      <c r="D41" s="46"/>
      <c r="E41" s="46"/>
      <c r="F41" s="39"/>
      <c r="G41" s="39"/>
      <c r="H41" s="39"/>
    </row>
    <row r="42" spans="1:8">
      <c r="A42" s="41"/>
      <c r="B42" s="44"/>
      <c r="C42" s="45"/>
      <c r="D42" s="46"/>
      <c r="E42" s="46"/>
      <c r="F42" s="39"/>
      <c r="G42" s="39"/>
      <c r="H42" s="39"/>
    </row>
    <row r="43" spans="1:8">
      <c r="A43" s="41"/>
      <c r="B43" s="44"/>
      <c r="C43" s="47"/>
      <c r="D43" s="46"/>
      <c r="E43" s="46"/>
      <c r="F43" s="39"/>
      <c r="G43" s="39"/>
      <c r="H43" s="39"/>
    </row>
    <row r="44" spans="1:8">
      <c r="A44" s="41"/>
      <c r="B44" s="44"/>
      <c r="C44" s="46"/>
      <c r="D44" s="48"/>
      <c r="E44" s="46"/>
      <c r="F44" s="39"/>
      <c r="G44" s="39"/>
      <c r="H44" s="39"/>
    </row>
    <row r="45" spans="1:8">
      <c r="A45" s="49"/>
      <c r="B45" s="50"/>
      <c r="C45" s="51" t="s">
        <v>44</v>
      </c>
      <c r="D45" s="51">
        <f>SUM(D40:D44)</f>
        <v>0</v>
      </c>
      <c r="E45" s="52"/>
      <c r="F45" s="39"/>
      <c r="G45" s="39"/>
      <c r="H45" s="39"/>
    </row>
    <row r="46" spans="1:8">
      <c r="A46" s="53"/>
      <c r="B46" s="54"/>
      <c r="C46" s="55"/>
      <c r="D46" s="56"/>
      <c r="E46" s="3"/>
      <c r="F46" s="39"/>
      <c r="G46" s="39"/>
      <c r="H46" s="39"/>
    </row>
  </sheetData>
  <mergeCells count="13">
    <mergeCell ref="A38:E38"/>
    <mergeCell ref="A28:C28"/>
    <mergeCell ref="E28:H28"/>
    <mergeCell ref="A29:H29"/>
    <mergeCell ref="A35:C35"/>
    <mergeCell ref="E35:H35"/>
    <mergeCell ref="G36:H36"/>
    <mergeCell ref="E27:H27"/>
    <mergeCell ref="A3:H3"/>
    <mergeCell ref="A11:C11"/>
    <mergeCell ref="A12:H12"/>
    <mergeCell ref="E19:H19"/>
    <mergeCell ref="A20:H2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6"/>
  <sheetViews>
    <sheetView workbookViewId="0"/>
  </sheetViews>
  <sheetFormatPr defaultRowHeight="15"/>
  <cols>
    <col min="1" max="1" width="68.85546875" bestFit="1" customWidth="1"/>
    <col min="2" max="2" width="11.5703125" bestFit="1" customWidth="1"/>
    <col min="3" max="3" width="26.140625" bestFit="1" customWidth="1"/>
    <col min="4" max="4" width="10.5703125" bestFit="1" customWidth="1"/>
    <col min="5" max="5" width="61.42578125" bestFit="1" customWidth="1"/>
    <col min="6" max="6" width="10.5703125" bestFit="1" customWidth="1"/>
    <col min="7" max="7" width="62.140625" bestFit="1" customWidth="1"/>
    <col min="8" max="8" width="11.5703125" bestFit="1" customWidth="1"/>
    <col min="12" max="12" width="11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>
      <c r="A2" s="23" t="s">
        <v>371</v>
      </c>
      <c r="B2" s="154">
        <v>125000</v>
      </c>
      <c r="C2" s="23" t="s">
        <v>362</v>
      </c>
      <c r="D2" s="154">
        <v>150000</v>
      </c>
      <c r="E2" s="15" t="s">
        <v>358</v>
      </c>
      <c r="F2" s="156">
        <v>390000</v>
      </c>
      <c r="G2" s="14" t="s">
        <v>180</v>
      </c>
      <c r="H2" s="155">
        <v>1194312</v>
      </c>
      <c r="I2" s="15"/>
      <c r="J2" s="22"/>
    </row>
    <row r="3" spans="1:10">
      <c r="A3" s="23" t="s">
        <v>365</v>
      </c>
      <c r="B3" s="154">
        <v>2700000</v>
      </c>
      <c r="C3" s="23" t="s">
        <v>262</v>
      </c>
      <c r="D3" s="154">
        <v>900000</v>
      </c>
      <c r="E3" s="15" t="s">
        <v>361</v>
      </c>
      <c r="F3" s="156">
        <v>570000</v>
      </c>
      <c r="G3" s="15" t="s">
        <v>356</v>
      </c>
      <c r="H3" s="156">
        <v>450000</v>
      </c>
      <c r="I3" s="15"/>
      <c r="J3" s="22"/>
    </row>
    <row r="4" spans="1:10">
      <c r="A4" s="23" t="s">
        <v>366</v>
      </c>
      <c r="B4" s="154">
        <v>1540000</v>
      </c>
      <c r="C4" s="15"/>
      <c r="D4" s="22"/>
      <c r="E4" s="15"/>
      <c r="F4" s="23"/>
      <c r="G4" s="15" t="s">
        <v>357</v>
      </c>
      <c r="H4" s="156">
        <v>200000</v>
      </c>
      <c r="I4" s="15"/>
      <c r="J4" s="22"/>
    </row>
    <row r="5" spans="1:10">
      <c r="A5" s="24" t="s">
        <v>331</v>
      </c>
      <c r="B5" s="154">
        <v>300000</v>
      </c>
      <c r="C5" s="22"/>
      <c r="D5" s="61"/>
      <c r="E5" s="15"/>
      <c r="F5" s="23"/>
      <c r="G5" s="15" t="s">
        <v>368</v>
      </c>
      <c r="H5" s="154">
        <v>2400000</v>
      </c>
      <c r="I5" s="14"/>
      <c r="J5" s="15"/>
    </row>
    <row r="6" spans="1:10">
      <c r="A6" s="15"/>
      <c r="B6" s="23"/>
      <c r="C6" s="64"/>
      <c r="D6" s="61"/>
      <c r="E6" s="15"/>
      <c r="F6" s="22"/>
      <c r="G6" s="23" t="s">
        <v>375</v>
      </c>
      <c r="H6" s="154">
        <v>45000</v>
      </c>
      <c r="I6" s="14"/>
      <c r="J6" s="15"/>
    </row>
    <row r="7" spans="1:10" hidden="1">
      <c r="A7" s="23"/>
      <c r="B7" s="23"/>
      <c r="C7" s="22"/>
      <c r="D7" s="29"/>
      <c r="E7" s="15"/>
      <c r="F7" s="22"/>
      <c r="G7" s="23" t="s">
        <v>364</v>
      </c>
      <c r="H7" s="154">
        <v>21000000</v>
      </c>
      <c r="I7" s="14"/>
      <c r="J7" s="15"/>
    </row>
    <row r="8" spans="1:10" hidden="1">
      <c r="A8" s="15"/>
      <c r="B8" s="22"/>
      <c r="C8" s="22"/>
      <c r="D8" s="29"/>
      <c r="E8" s="22"/>
      <c r="F8" s="29"/>
      <c r="G8" s="14" t="s">
        <v>378</v>
      </c>
      <c r="H8" s="155">
        <v>3000000</v>
      </c>
      <c r="I8" s="22"/>
      <c r="J8" s="29"/>
    </row>
    <row r="9" spans="1:10" hidden="1">
      <c r="A9" s="64"/>
      <c r="B9" s="61"/>
      <c r="C9" s="22"/>
      <c r="D9" s="29"/>
      <c r="E9" s="61"/>
      <c r="F9" s="65"/>
      <c r="G9" s="14"/>
      <c r="H9" s="15"/>
      <c r="I9" s="22"/>
      <c r="J9" s="29"/>
    </row>
    <row r="10" spans="1:10" hidden="1">
      <c r="A10" s="64"/>
      <c r="B10" s="29"/>
      <c r="C10" s="66"/>
      <c r="D10" s="66"/>
      <c r="E10" s="61"/>
      <c r="F10" s="65"/>
      <c r="G10" s="14"/>
      <c r="H10" s="15"/>
      <c r="I10" s="22"/>
      <c r="J10" s="29"/>
    </row>
    <row r="11" spans="1:10" hidden="1">
      <c r="A11" s="64"/>
      <c r="B11" s="61"/>
      <c r="C11" s="66"/>
      <c r="D11" s="66"/>
      <c r="E11" s="61"/>
      <c r="F11" s="65"/>
      <c r="G11" s="14"/>
      <c r="H11" s="15"/>
      <c r="I11" s="22"/>
      <c r="J11" s="29"/>
    </row>
    <row r="12" spans="1:10" hidden="1">
      <c r="A12" s="64"/>
      <c r="B12" s="61"/>
      <c r="C12" s="66"/>
      <c r="D12" s="66"/>
      <c r="E12" s="61"/>
      <c r="F12" s="65"/>
      <c r="G12" s="15"/>
      <c r="H12" s="22"/>
      <c r="I12" s="22"/>
      <c r="J12" s="29"/>
    </row>
    <row r="13" spans="1:10" hidden="1">
      <c r="A13" s="64"/>
      <c r="B13" s="61"/>
      <c r="C13" s="66"/>
      <c r="D13" s="66"/>
      <c r="E13" s="61"/>
      <c r="F13" s="65"/>
      <c r="G13" s="15"/>
      <c r="H13" s="22"/>
      <c r="I13" s="62"/>
      <c r="J13" s="67"/>
    </row>
    <row r="14" spans="1:10" hidden="1">
      <c r="A14" s="68"/>
      <c r="B14" s="69"/>
      <c r="C14" s="69"/>
      <c r="D14" s="69"/>
      <c r="E14" s="69"/>
      <c r="F14" s="69"/>
      <c r="G14" s="15"/>
      <c r="H14" s="22"/>
      <c r="I14" s="68"/>
      <c r="J14" s="69"/>
    </row>
    <row r="15" spans="1:10" hidden="1">
      <c r="A15" s="68"/>
      <c r="B15" s="69"/>
      <c r="C15" s="69"/>
      <c r="D15" s="69"/>
      <c r="E15" s="69"/>
      <c r="F15" s="69"/>
      <c r="G15" s="117"/>
      <c r="H15" s="118"/>
      <c r="I15" s="68"/>
      <c r="J15" s="69"/>
    </row>
    <row r="16" spans="1:10" hidden="1">
      <c r="A16" s="68"/>
      <c r="B16" s="69"/>
      <c r="C16" s="69"/>
      <c r="D16" s="69"/>
      <c r="E16" s="69"/>
      <c r="F16" s="69"/>
      <c r="G16" s="119"/>
      <c r="H16" s="120"/>
      <c r="I16" s="68"/>
      <c r="J16" s="69"/>
    </row>
    <row r="17" spans="1:12" hidden="1">
      <c r="A17" s="68"/>
      <c r="B17" s="69"/>
      <c r="C17" s="69"/>
      <c r="D17" s="69"/>
      <c r="E17" s="69"/>
      <c r="F17" s="69"/>
      <c r="G17" s="119"/>
      <c r="H17" s="120"/>
      <c r="I17" s="68"/>
      <c r="J17" s="69"/>
    </row>
    <row r="18" spans="1:12" hidden="1">
      <c r="A18" s="68"/>
      <c r="B18" s="69"/>
      <c r="C18" s="69"/>
      <c r="D18" s="69"/>
      <c r="E18" s="69"/>
      <c r="F18" s="69"/>
      <c r="G18" s="119"/>
      <c r="H18" s="120"/>
      <c r="I18" s="68"/>
      <c r="J18" s="69"/>
    </row>
    <row r="19" spans="1:12" hidden="1">
      <c r="A19" s="68"/>
      <c r="B19" s="69"/>
      <c r="C19" s="69"/>
      <c r="D19" s="69"/>
      <c r="E19" s="69"/>
      <c r="F19" s="69"/>
      <c r="G19" s="119"/>
      <c r="H19" s="120"/>
      <c r="I19" s="68"/>
      <c r="J19" s="69"/>
    </row>
    <row r="20" spans="1:12" hidden="1">
      <c r="A20" s="68"/>
      <c r="B20" s="69"/>
      <c r="C20" s="69"/>
      <c r="D20" s="69"/>
      <c r="E20" s="69"/>
      <c r="F20" s="69"/>
      <c r="G20" s="119"/>
      <c r="H20" s="120"/>
      <c r="I20" s="68"/>
      <c r="J20" s="69"/>
    </row>
    <row r="21" spans="1:12" hidden="1">
      <c r="A21" s="68"/>
      <c r="B21" s="69"/>
      <c r="C21" s="69"/>
      <c r="D21" s="69"/>
      <c r="E21" s="69"/>
      <c r="F21" s="69"/>
      <c r="G21" s="119"/>
      <c r="H21" s="120"/>
      <c r="I21" s="68"/>
      <c r="J21" s="69"/>
    </row>
    <row r="22" spans="1:12" hidden="1">
      <c r="A22" s="68"/>
      <c r="B22" s="69"/>
      <c r="C22" s="69"/>
      <c r="D22" s="69"/>
      <c r="E22" s="69"/>
      <c r="F22" s="69"/>
      <c r="G22" s="119"/>
      <c r="H22" s="120"/>
      <c r="I22" s="68"/>
      <c r="J22" s="69"/>
    </row>
    <row r="23" spans="1:12" hidden="1">
      <c r="A23" s="68"/>
      <c r="B23" s="69"/>
      <c r="C23" s="69"/>
      <c r="D23" s="69"/>
      <c r="E23" s="69"/>
      <c r="F23" s="69"/>
      <c r="G23" s="119"/>
      <c r="H23" s="120"/>
      <c r="I23" s="68"/>
      <c r="J23" s="69"/>
    </row>
    <row r="24" spans="1:12" hidden="1">
      <c r="A24" s="68"/>
      <c r="B24" s="69"/>
      <c r="C24" s="69"/>
      <c r="D24" s="69"/>
      <c r="E24" s="69"/>
      <c r="F24" s="69"/>
      <c r="G24" s="119"/>
      <c r="H24" s="120"/>
      <c r="I24" s="68"/>
      <c r="J24" s="69"/>
    </row>
    <row r="25" spans="1:12" hidden="1">
      <c r="A25" s="68"/>
      <c r="B25" s="69"/>
      <c r="C25" s="69"/>
      <c r="D25" s="69"/>
      <c r="E25" s="69"/>
      <c r="F25" s="69"/>
      <c r="G25" s="119"/>
      <c r="H25" s="120"/>
      <c r="I25" s="68"/>
      <c r="J25" s="69"/>
    </row>
    <row r="26" spans="1:12" hidden="1">
      <c r="A26" s="68"/>
      <c r="B26" s="69"/>
      <c r="C26" s="69"/>
      <c r="D26" s="69"/>
      <c r="E26" s="69"/>
      <c r="F26" s="69"/>
      <c r="G26" s="119"/>
      <c r="H26" s="120"/>
      <c r="I26" s="68"/>
      <c r="J26" s="69"/>
    </row>
    <row r="27" spans="1:12" hidden="1">
      <c r="A27" s="68"/>
      <c r="B27" s="69"/>
      <c r="C27" s="69"/>
      <c r="D27" s="69"/>
      <c r="E27" s="69"/>
      <c r="F27" s="69"/>
      <c r="G27" s="119"/>
      <c r="H27" s="120"/>
      <c r="I27" s="68"/>
      <c r="J27" s="69"/>
    </row>
    <row r="28" spans="1:12" hidden="1">
      <c r="A28" s="68"/>
      <c r="B28" s="69"/>
      <c r="C28" s="69"/>
      <c r="D28" s="69"/>
      <c r="E28" s="69"/>
      <c r="F28" s="69"/>
      <c r="G28" s="119"/>
      <c r="H28" s="120"/>
      <c r="I28" s="68"/>
      <c r="J28" s="69"/>
    </row>
    <row r="29" spans="1:12">
      <c r="A29" s="70"/>
      <c r="B29" s="71">
        <f>SUM(B2:B27)</f>
        <v>4665000</v>
      </c>
      <c r="C29" s="71">
        <f t="shared" ref="C29:J29" si="0">SUM(C2:C27)</f>
        <v>0</v>
      </c>
      <c r="D29" s="71">
        <f t="shared" si="0"/>
        <v>1050000</v>
      </c>
      <c r="E29" s="71">
        <f t="shared" si="0"/>
        <v>0</v>
      </c>
      <c r="F29" s="71">
        <f t="shared" si="0"/>
        <v>960000</v>
      </c>
      <c r="G29" s="71">
        <f t="shared" si="0"/>
        <v>0</v>
      </c>
      <c r="H29" s="71">
        <f>SUM(H2:H27)</f>
        <v>28289312</v>
      </c>
      <c r="I29" s="71">
        <f t="shared" si="0"/>
        <v>0</v>
      </c>
      <c r="J29" s="71">
        <f t="shared" si="0"/>
        <v>0</v>
      </c>
      <c r="K29" s="72"/>
      <c r="L29" s="72">
        <f>SUM(B29:K29)</f>
        <v>34964312</v>
      </c>
    </row>
    <row r="30" spans="1:12">
      <c r="B30" s="77"/>
      <c r="C30" t="s">
        <v>317</v>
      </c>
      <c r="D30" s="77">
        <v>100000</v>
      </c>
      <c r="E30" s="77"/>
      <c r="F30" s="77"/>
      <c r="L30" s="72">
        <f>L29-Sheet1!N85</f>
        <v>0</v>
      </c>
    </row>
    <row r="31" spans="1:12">
      <c r="C31" t="s">
        <v>384</v>
      </c>
      <c r="D31" s="77">
        <v>50000</v>
      </c>
      <c r="E31" s="77"/>
      <c r="F31" s="77"/>
    </row>
    <row r="32" spans="1:12">
      <c r="D32" s="72">
        <f>D29-D30-D31</f>
        <v>900000</v>
      </c>
      <c r="E32" s="77"/>
      <c r="F32" s="77"/>
    </row>
    <row r="33" spans="2:6">
      <c r="E33" s="77"/>
      <c r="F33" s="77"/>
    </row>
    <row r="36" spans="2:6">
      <c r="B36" s="7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10"/>
  <sheetViews>
    <sheetView workbookViewId="0"/>
  </sheetViews>
  <sheetFormatPr defaultRowHeight="15"/>
  <cols>
    <col min="1" max="1" width="6.5703125" customWidth="1"/>
    <col min="2" max="2" width="8.5703125" customWidth="1"/>
    <col min="3" max="3" width="51.140625" customWidth="1"/>
    <col min="4" max="4" width="12" bestFit="1" customWidth="1"/>
    <col min="5" max="5" width="5.85546875" customWidth="1"/>
    <col min="6" max="6" width="6.28515625" customWidth="1"/>
    <col min="7" max="7" width="7" customWidth="1"/>
    <col min="8" max="8" width="12" bestFit="1" customWidth="1"/>
    <col min="11" max="11" width="10.42578125" bestFit="1" customWidth="1"/>
    <col min="12" max="12" width="59.7109375" bestFit="1" customWidth="1"/>
    <col min="13" max="13" width="12" bestFit="1" customWidth="1"/>
    <col min="17" max="17" width="12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394</v>
      </c>
      <c r="B2" s="2"/>
      <c r="C2" s="3"/>
      <c r="D2" s="3"/>
      <c r="E2" s="3"/>
      <c r="F2" s="3"/>
      <c r="G2" s="3"/>
      <c r="H2" s="3"/>
      <c r="J2" s="1" t="s">
        <v>394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207524511</v>
      </c>
      <c r="E4" s="6"/>
      <c r="F4" s="6"/>
      <c r="G4" s="6"/>
      <c r="H4" s="6"/>
      <c r="J4" s="4"/>
      <c r="K4" s="5"/>
      <c r="L4" s="6" t="s">
        <v>2</v>
      </c>
      <c r="M4" s="7">
        <v>207524511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440765</v>
      </c>
      <c r="E5" s="6"/>
      <c r="F5" s="6"/>
      <c r="G5" s="6"/>
      <c r="H5" s="6"/>
      <c r="J5" s="4"/>
      <c r="K5" s="5"/>
      <c r="L5" s="6" t="s">
        <v>3</v>
      </c>
      <c r="M5" s="8">
        <v>440765</v>
      </c>
      <c r="N5" s="6"/>
      <c r="O5" s="6"/>
      <c r="P5" s="6"/>
      <c r="Q5" s="6"/>
    </row>
    <row r="6" spans="1:17">
      <c r="A6" s="4"/>
      <c r="B6" s="5"/>
      <c r="C6" s="6" t="s">
        <v>4</v>
      </c>
      <c r="D6" s="115">
        <v>1213200</v>
      </c>
      <c r="E6" s="6"/>
      <c r="F6" s="6"/>
      <c r="G6" s="6"/>
      <c r="H6" s="6"/>
      <c r="J6" s="4"/>
      <c r="K6" s="5"/>
      <c r="L6" s="6" t="s">
        <v>4</v>
      </c>
      <c r="M6" s="115">
        <v>1213200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395</v>
      </c>
      <c r="B11" s="532"/>
      <c r="C11" s="532"/>
      <c r="D11" s="532"/>
      <c r="E11" s="532"/>
      <c r="F11" s="532"/>
      <c r="G11" s="533"/>
      <c r="H11" s="10">
        <f>SUM(D4:D9)</f>
        <v>216249022</v>
      </c>
      <c r="J11" s="531" t="s">
        <v>395</v>
      </c>
      <c r="K11" s="532"/>
      <c r="L11" s="532"/>
      <c r="M11" s="532"/>
      <c r="N11" s="532"/>
      <c r="O11" s="532"/>
      <c r="P11" s="533"/>
      <c r="Q11" s="10">
        <f>SUM(M4:M9)</f>
        <v>216249022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160" t="s">
        <v>14</v>
      </c>
      <c r="F14" s="160" t="s">
        <v>15</v>
      </c>
      <c r="G14" s="160" t="s">
        <v>16</v>
      </c>
      <c r="H14" s="160" t="s">
        <v>17</v>
      </c>
      <c r="J14" s="536"/>
      <c r="K14" s="537"/>
      <c r="L14" s="538"/>
      <c r="M14" s="538"/>
      <c r="N14" s="166" t="s">
        <v>14</v>
      </c>
      <c r="O14" s="166" t="s">
        <v>15</v>
      </c>
      <c r="P14" s="166" t="s">
        <v>16</v>
      </c>
      <c r="Q14" s="166" t="s">
        <v>17</v>
      </c>
    </row>
    <row r="15" spans="1:17" s="169" customFormat="1">
      <c r="A15" s="12"/>
      <c r="B15" s="19" t="s">
        <v>415</v>
      </c>
      <c r="C15" s="14" t="s">
        <v>416</v>
      </c>
      <c r="D15" s="167">
        <v>4745000</v>
      </c>
      <c r="E15" s="168"/>
      <c r="F15" s="168"/>
      <c r="G15" s="168"/>
      <c r="H15" s="168"/>
      <c r="J15" s="12"/>
      <c r="K15" s="19" t="s">
        <v>415</v>
      </c>
      <c r="L15" s="14" t="s">
        <v>416</v>
      </c>
      <c r="M15" s="167">
        <v>4745000</v>
      </c>
      <c r="N15" s="168"/>
      <c r="O15" s="168"/>
      <c r="P15" s="168"/>
      <c r="Q15" s="168"/>
    </row>
    <row r="16" spans="1:17">
      <c r="A16" s="12"/>
      <c r="B16" s="13" t="s">
        <v>355</v>
      </c>
      <c r="C16" s="14" t="s">
        <v>73</v>
      </c>
      <c r="D16" s="15">
        <v>503500</v>
      </c>
      <c r="E16" s="16"/>
      <c r="F16" s="16"/>
      <c r="G16" s="16"/>
      <c r="H16" s="16"/>
      <c r="J16" s="12"/>
      <c r="K16" s="13" t="s">
        <v>355</v>
      </c>
      <c r="L16" s="14" t="s">
        <v>73</v>
      </c>
      <c r="M16" s="15">
        <v>503500</v>
      </c>
      <c r="N16" s="16"/>
      <c r="O16" s="16"/>
      <c r="P16" s="16"/>
      <c r="Q16" s="16"/>
    </row>
    <row r="17" spans="1:17">
      <c r="A17" s="12"/>
      <c r="B17" s="13" t="s">
        <v>355</v>
      </c>
      <c r="C17" s="14" t="s">
        <v>19</v>
      </c>
      <c r="D17" s="15">
        <v>503500</v>
      </c>
      <c r="E17" s="16"/>
      <c r="F17" s="16"/>
      <c r="G17" s="16"/>
      <c r="H17" s="16"/>
      <c r="J17" s="12"/>
      <c r="K17" s="13" t="s">
        <v>355</v>
      </c>
      <c r="L17" s="14" t="s">
        <v>19</v>
      </c>
      <c r="M17" s="15">
        <v>503500</v>
      </c>
      <c r="N17" s="16"/>
      <c r="O17" s="16"/>
      <c r="P17" s="16"/>
      <c r="Q17" s="16"/>
    </row>
    <row r="18" spans="1:17">
      <c r="A18" s="12"/>
      <c r="B18" s="13" t="s">
        <v>355</v>
      </c>
      <c r="C18" s="14" t="s">
        <v>388</v>
      </c>
      <c r="D18" s="15">
        <v>16000</v>
      </c>
      <c r="E18" s="16"/>
      <c r="F18" s="16"/>
      <c r="G18" s="16"/>
      <c r="H18" s="16"/>
      <c r="J18" s="12"/>
      <c r="K18" s="13" t="s">
        <v>355</v>
      </c>
      <c r="L18" s="14" t="s">
        <v>388</v>
      </c>
      <c r="M18" s="15">
        <v>16000</v>
      </c>
      <c r="N18" s="16"/>
      <c r="O18" s="16"/>
      <c r="P18" s="16"/>
      <c r="Q18" s="16"/>
    </row>
    <row r="19" spans="1:17">
      <c r="A19" s="12"/>
      <c r="B19" s="13" t="s">
        <v>355</v>
      </c>
      <c r="C19" s="14" t="s">
        <v>396</v>
      </c>
      <c r="D19" s="15">
        <f>65000*10</f>
        <v>650000</v>
      </c>
      <c r="E19" s="16"/>
      <c r="F19" s="16"/>
      <c r="G19" s="16"/>
      <c r="H19" s="16"/>
      <c r="J19" s="12"/>
      <c r="K19" s="13" t="s">
        <v>355</v>
      </c>
      <c r="L19" s="14" t="s">
        <v>396</v>
      </c>
      <c r="M19" s="15">
        <f>65000*10</f>
        <v>650000</v>
      </c>
      <c r="N19" s="16"/>
      <c r="O19" s="16"/>
      <c r="P19" s="16"/>
      <c r="Q19" s="16"/>
    </row>
    <row r="20" spans="1:17">
      <c r="A20" s="12"/>
      <c r="B20" s="13" t="s">
        <v>355</v>
      </c>
      <c r="C20" s="14" t="s">
        <v>397</v>
      </c>
      <c r="D20" s="15">
        <v>250000</v>
      </c>
      <c r="E20" s="16"/>
      <c r="F20" s="16"/>
      <c r="G20" s="16"/>
      <c r="H20" s="16"/>
      <c r="J20" s="12"/>
      <c r="K20" s="13" t="s">
        <v>355</v>
      </c>
      <c r="L20" s="14" t="s">
        <v>397</v>
      </c>
      <c r="M20" s="15">
        <v>250000</v>
      </c>
      <c r="N20" s="16"/>
      <c r="O20" s="16"/>
      <c r="P20" s="16"/>
      <c r="Q20" s="16"/>
    </row>
    <row r="21" spans="1:17">
      <c r="A21" s="12"/>
      <c r="B21" s="13" t="s">
        <v>355</v>
      </c>
      <c r="C21" s="14" t="s">
        <v>398</v>
      </c>
      <c r="D21" s="15">
        <v>185000</v>
      </c>
      <c r="E21" s="16"/>
      <c r="F21" s="16"/>
      <c r="G21" s="16"/>
      <c r="H21" s="16"/>
      <c r="J21" s="12"/>
      <c r="K21" s="13" t="s">
        <v>355</v>
      </c>
      <c r="L21" s="14" t="s">
        <v>398</v>
      </c>
      <c r="M21" s="15">
        <v>185000</v>
      </c>
      <c r="N21" s="16"/>
      <c r="O21" s="16"/>
      <c r="P21" s="16"/>
      <c r="Q21" s="16"/>
    </row>
    <row r="22" spans="1:17">
      <c r="A22" s="12"/>
      <c r="B22" s="13" t="s">
        <v>355</v>
      </c>
      <c r="C22" s="14" t="s">
        <v>399</v>
      </c>
      <c r="D22" s="15">
        <v>250000</v>
      </c>
      <c r="E22" s="16"/>
      <c r="F22" s="16"/>
      <c r="G22" s="16"/>
      <c r="H22" s="16"/>
      <c r="J22" s="12"/>
      <c r="K22" s="13" t="s">
        <v>355</v>
      </c>
      <c r="L22" s="14" t="s">
        <v>399</v>
      </c>
      <c r="M22" s="15">
        <v>250000</v>
      </c>
      <c r="N22" s="16"/>
      <c r="O22" s="16"/>
      <c r="P22" s="16"/>
      <c r="Q22" s="16"/>
    </row>
    <row r="23" spans="1:17">
      <c r="A23" s="12"/>
      <c r="B23" s="13" t="s">
        <v>355</v>
      </c>
      <c r="C23" s="14" t="s">
        <v>400</v>
      </c>
      <c r="D23" s="15">
        <v>150000</v>
      </c>
      <c r="E23" s="16"/>
      <c r="F23" s="16"/>
      <c r="G23" s="16"/>
      <c r="H23" s="16"/>
      <c r="J23" s="12"/>
      <c r="K23" s="13" t="s">
        <v>355</v>
      </c>
      <c r="L23" s="14" t="s">
        <v>400</v>
      </c>
      <c r="M23" s="15">
        <v>150000</v>
      </c>
      <c r="N23" s="16"/>
      <c r="O23" s="16"/>
      <c r="P23" s="16"/>
      <c r="Q23" s="16"/>
    </row>
    <row r="24" spans="1:17">
      <c r="A24" s="12"/>
      <c r="B24" s="13" t="s">
        <v>355</v>
      </c>
      <c r="C24" s="14" t="s">
        <v>401</v>
      </c>
      <c r="D24" s="15">
        <v>462840</v>
      </c>
      <c r="E24" s="16"/>
      <c r="F24" s="16"/>
      <c r="G24" s="16"/>
      <c r="H24" s="16"/>
      <c r="J24" s="12"/>
      <c r="K24" s="13" t="s">
        <v>355</v>
      </c>
      <c r="L24" s="14" t="s">
        <v>401</v>
      </c>
      <c r="M24" s="15">
        <v>462840</v>
      </c>
      <c r="N24" s="16"/>
      <c r="O24" s="16"/>
      <c r="P24" s="16"/>
      <c r="Q24" s="16"/>
    </row>
    <row r="25" spans="1:17">
      <c r="A25" s="12"/>
      <c r="B25" s="13" t="s">
        <v>417</v>
      </c>
      <c r="C25" s="14" t="s">
        <v>418</v>
      </c>
      <c r="D25" s="15">
        <v>20550000</v>
      </c>
      <c r="E25" s="16"/>
      <c r="F25" s="16"/>
      <c r="G25" s="16"/>
      <c r="H25" s="16"/>
      <c r="J25" s="12"/>
      <c r="K25" s="13" t="s">
        <v>417</v>
      </c>
      <c r="L25" s="14" t="s">
        <v>418</v>
      </c>
      <c r="M25" s="15">
        <v>20550000</v>
      </c>
      <c r="N25" s="16"/>
      <c r="O25" s="16"/>
      <c r="P25" s="16"/>
      <c r="Q25" s="16"/>
    </row>
    <row r="26" spans="1:17">
      <c r="A26" s="12"/>
      <c r="B26" s="13"/>
      <c r="C26" s="14"/>
      <c r="D26" s="15"/>
      <c r="E26" s="16"/>
      <c r="F26" s="16"/>
      <c r="G26" s="16"/>
      <c r="H26" s="16"/>
      <c r="J26" s="12"/>
      <c r="K26" s="13"/>
      <c r="L26" s="14"/>
      <c r="M26" s="15"/>
      <c r="N26" s="16"/>
      <c r="O26" s="16"/>
      <c r="P26" s="16"/>
      <c r="Q26" s="16"/>
    </row>
    <row r="27" spans="1:17" hidden="1">
      <c r="A27" s="12"/>
      <c r="B27" s="13"/>
      <c r="C27" s="14"/>
      <c r="D27" s="15"/>
      <c r="E27" s="16"/>
      <c r="F27" s="16"/>
      <c r="G27" s="16"/>
      <c r="H27" s="16"/>
      <c r="J27" s="12"/>
      <c r="K27" s="13"/>
      <c r="L27" s="14"/>
      <c r="M27" s="15"/>
      <c r="N27" s="16"/>
      <c r="O27" s="16"/>
      <c r="P27" s="16"/>
      <c r="Q27" s="16"/>
    </row>
    <row r="28" spans="1:17">
      <c r="A28" s="18"/>
      <c r="B28" s="19"/>
      <c r="C28" s="160" t="s">
        <v>20</v>
      </c>
      <c r="D28" s="10">
        <f>SUM(D15:D25)</f>
        <v>28265840</v>
      </c>
      <c r="E28" s="10"/>
      <c r="F28" s="10"/>
      <c r="G28" s="10"/>
      <c r="H28" s="10"/>
      <c r="J28" s="18"/>
      <c r="K28" s="19"/>
      <c r="L28" s="166" t="s">
        <v>20</v>
      </c>
      <c r="M28" s="10">
        <f>SUM(M15:M25)</f>
        <v>28265840</v>
      </c>
      <c r="N28" s="10"/>
      <c r="O28" s="10"/>
      <c r="P28" s="10"/>
      <c r="Q28" s="10"/>
    </row>
    <row r="29" spans="1:17">
      <c r="A29" s="20"/>
      <c r="B29" s="161"/>
      <c r="C29" s="152" t="s">
        <v>21</v>
      </c>
      <c r="D29" s="150"/>
      <c r="E29" s="150"/>
      <c r="F29" s="150"/>
      <c r="G29" s="151"/>
      <c r="H29" s="21">
        <f>+D28</f>
        <v>28265840</v>
      </c>
      <c r="J29" s="20"/>
      <c r="K29" s="164"/>
      <c r="L29" s="152" t="s">
        <v>21</v>
      </c>
      <c r="M29" s="150"/>
      <c r="N29" s="150"/>
      <c r="O29" s="150"/>
      <c r="P29" s="151"/>
      <c r="Q29" s="21">
        <f>+M28</f>
        <v>28265840</v>
      </c>
    </row>
    <row r="30" spans="1:17">
      <c r="A30" s="526" t="s">
        <v>22</v>
      </c>
      <c r="B30" s="526"/>
      <c r="C30" s="526"/>
      <c r="D30" s="526"/>
      <c r="E30" s="526">
        <f>+H29</f>
        <v>28265840</v>
      </c>
      <c r="F30" s="526"/>
      <c r="G30" s="526"/>
      <c r="H30" s="526"/>
      <c r="J30" s="526" t="s">
        <v>22</v>
      </c>
      <c r="K30" s="526"/>
      <c r="L30" s="526"/>
      <c r="M30" s="526"/>
      <c r="N30" s="526">
        <f>+Q29</f>
        <v>28265840</v>
      </c>
      <c r="O30" s="526"/>
      <c r="P30" s="526"/>
      <c r="Q30" s="526"/>
    </row>
    <row r="31" spans="1:17">
      <c r="A31" s="524" t="s">
        <v>23</v>
      </c>
      <c r="B31" s="524"/>
      <c r="C31" s="524"/>
      <c r="D31" s="524"/>
      <c r="E31" s="524"/>
      <c r="F31" s="524"/>
      <c r="G31" s="524"/>
      <c r="H31" s="524"/>
      <c r="J31" s="524" t="s">
        <v>23</v>
      </c>
      <c r="K31" s="524"/>
      <c r="L31" s="524"/>
      <c r="M31" s="524"/>
      <c r="N31" s="524"/>
      <c r="O31" s="524"/>
      <c r="P31" s="524"/>
      <c r="Q31" s="524"/>
    </row>
    <row r="32" spans="1:17">
      <c r="A32" s="12"/>
      <c r="B32" s="13" t="s">
        <v>402</v>
      </c>
      <c r="C32" s="15" t="s">
        <v>393</v>
      </c>
      <c r="D32" s="22">
        <v>50000</v>
      </c>
      <c r="E32" s="22"/>
      <c r="F32" s="22"/>
      <c r="G32" s="16"/>
      <c r="H32" s="16"/>
      <c r="J32" s="12"/>
      <c r="K32" s="13" t="s">
        <v>402</v>
      </c>
      <c r="L32" s="15" t="s">
        <v>393</v>
      </c>
      <c r="M32" s="22">
        <v>50000</v>
      </c>
      <c r="N32" s="22"/>
      <c r="O32" s="22"/>
      <c r="P32" s="16"/>
      <c r="Q32" s="16"/>
    </row>
    <row r="33" spans="1:17">
      <c r="A33" s="12"/>
      <c r="B33" s="13" t="s">
        <v>403</v>
      </c>
      <c r="C33" s="15" t="s">
        <v>404</v>
      </c>
      <c r="D33" s="22">
        <v>740000</v>
      </c>
      <c r="E33" s="22"/>
      <c r="F33" s="22"/>
      <c r="G33" s="16"/>
      <c r="H33" s="16"/>
      <c r="J33" s="12"/>
      <c r="K33" s="13" t="s">
        <v>403</v>
      </c>
      <c r="L33" s="15" t="s">
        <v>404</v>
      </c>
      <c r="M33" s="22">
        <v>740000</v>
      </c>
      <c r="N33" s="22"/>
      <c r="O33" s="22"/>
      <c r="P33" s="16"/>
      <c r="Q33" s="16"/>
    </row>
    <row r="34" spans="1:17">
      <c r="A34" s="12"/>
      <c r="B34" s="13" t="s">
        <v>403</v>
      </c>
      <c r="C34" s="15" t="s">
        <v>150</v>
      </c>
      <c r="D34" s="23">
        <v>150000</v>
      </c>
      <c r="E34" s="22"/>
      <c r="F34" s="22"/>
      <c r="G34" s="16"/>
      <c r="H34" s="16"/>
      <c r="J34" s="12"/>
      <c r="K34" s="13" t="s">
        <v>403</v>
      </c>
      <c r="L34" s="15" t="s">
        <v>150</v>
      </c>
      <c r="M34" s="23">
        <v>150000</v>
      </c>
      <c r="N34" s="22"/>
      <c r="O34" s="22"/>
      <c r="P34" s="16"/>
      <c r="Q34" s="16"/>
    </row>
    <row r="35" spans="1:17">
      <c r="A35" s="12"/>
      <c r="B35" s="13"/>
      <c r="C35" s="15"/>
      <c r="D35" s="23"/>
      <c r="E35" s="22"/>
      <c r="F35" s="22"/>
      <c r="G35" s="16"/>
      <c r="H35" s="16"/>
      <c r="J35" s="12"/>
      <c r="K35" s="13"/>
      <c r="L35" s="15"/>
      <c r="M35" s="23"/>
      <c r="N35" s="22"/>
      <c r="O35" s="22"/>
      <c r="P35" s="16"/>
      <c r="Q35" s="16"/>
    </row>
    <row r="36" spans="1:17">
      <c r="A36" s="25"/>
      <c r="B36" s="19"/>
      <c r="C36" s="26" t="s">
        <v>24</v>
      </c>
      <c r="D36" s="27">
        <f>SUM(D32:D34)</f>
        <v>940000</v>
      </c>
      <c r="E36" s="27"/>
      <c r="F36" s="27"/>
      <c r="G36" s="27"/>
      <c r="H36" s="27"/>
      <c r="J36" s="25"/>
      <c r="K36" s="19"/>
      <c r="L36" s="26" t="s">
        <v>24</v>
      </c>
      <c r="M36" s="27">
        <f>SUM(M32:M34)</f>
        <v>940000</v>
      </c>
      <c r="N36" s="27"/>
      <c r="O36" s="27"/>
      <c r="P36" s="27"/>
      <c r="Q36" s="27"/>
    </row>
    <row r="37" spans="1:17">
      <c r="A37" s="20"/>
      <c r="B37" s="19"/>
      <c r="C37" s="160" t="s">
        <v>21</v>
      </c>
      <c r="D37" s="10"/>
      <c r="E37" s="530">
        <f>D36</f>
        <v>940000</v>
      </c>
      <c r="F37" s="530"/>
      <c r="G37" s="530"/>
      <c r="H37" s="530"/>
      <c r="J37" s="20"/>
      <c r="K37" s="19"/>
      <c r="L37" s="166" t="s">
        <v>21</v>
      </c>
      <c r="M37" s="10"/>
      <c r="N37" s="530">
        <f>M36</f>
        <v>940000</v>
      </c>
      <c r="O37" s="530"/>
      <c r="P37" s="530"/>
      <c r="Q37" s="530"/>
    </row>
    <row r="38" spans="1:17" hidden="1">
      <c r="A38" s="524" t="s">
        <v>369</v>
      </c>
      <c r="B38" s="524"/>
      <c r="C38" s="524"/>
      <c r="D38" s="524"/>
      <c r="E38" s="524"/>
      <c r="F38" s="524"/>
      <c r="G38" s="524"/>
      <c r="H38" s="524"/>
      <c r="J38" s="524" t="s">
        <v>369</v>
      </c>
      <c r="K38" s="524"/>
      <c r="L38" s="524"/>
      <c r="M38" s="524"/>
      <c r="N38" s="524"/>
      <c r="O38" s="524"/>
      <c r="P38" s="524"/>
      <c r="Q38" s="524"/>
    </row>
    <row r="39" spans="1:17" hidden="1">
      <c r="A39" s="28"/>
      <c r="B39" s="23" t="s">
        <v>296</v>
      </c>
      <c r="C39" s="23" t="s">
        <v>362</v>
      </c>
      <c r="D39" s="23"/>
      <c r="E39" s="28"/>
      <c r="F39" s="28"/>
      <c r="G39" s="28"/>
      <c r="H39" s="28"/>
      <c r="J39" s="28"/>
      <c r="K39" s="23" t="s">
        <v>296</v>
      </c>
      <c r="L39" s="23" t="s">
        <v>362</v>
      </c>
      <c r="M39" s="23"/>
      <c r="N39" s="28"/>
      <c r="O39" s="28"/>
      <c r="P39" s="28"/>
      <c r="Q39" s="28"/>
    </row>
    <row r="40" spans="1:17" hidden="1">
      <c r="A40" s="28"/>
      <c r="B40" s="23" t="s">
        <v>370</v>
      </c>
      <c r="C40" s="23" t="s">
        <v>371</v>
      </c>
      <c r="D40" s="23"/>
      <c r="E40" s="28"/>
      <c r="F40" s="28"/>
      <c r="G40" s="28"/>
      <c r="H40" s="28"/>
      <c r="J40" s="28"/>
      <c r="K40" s="23" t="s">
        <v>370</v>
      </c>
      <c r="L40" s="23" t="s">
        <v>371</v>
      </c>
      <c r="M40" s="23"/>
      <c r="N40" s="28"/>
      <c r="O40" s="28"/>
      <c r="P40" s="28"/>
      <c r="Q40" s="28"/>
    </row>
    <row r="41" spans="1:17" hidden="1">
      <c r="A41" s="28"/>
      <c r="B41" s="23"/>
      <c r="C41" s="23"/>
      <c r="D41" s="23"/>
      <c r="E41" s="28"/>
      <c r="F41" s="28"/>
      <c r="G41" s="28"/>
      <c r="H41" s="28"/>
      <c r="J41" s="28"/>
      <c r="K41" s="23"/>
      <c r="L41" s="23"/>
      <c r="M41" s="23"/>
      <c r="N41" s="28"/>
      <c r="O41" s="28"/>
      <c r="P41" s="28"/>
      <c r="Q41" s="28"/>
    </row>
    <row r="42" spans="1:17" hidden="1">
      <c r="A42" s="28"/>
      <c r="B42" s="23"/>
      <c r="C42" s="23"/>
      <c r="D42" s="23"/>
      <c r="E42" s="28"/>
      <c r="F42" s="28"/>
      <c r="G42" s="28"/>
      <c r="H42" s="28"/>
      <c r="J42" s="28"/>
      <c r="K42" s="23"/>
      <c r="L42" s="23"/>
      <c r="M42" s="23"/>
      <c r="N42" s="28"/>
      <c r="O42" s="28"/>
      <c r="P42" s="28"/>
      <c r="Q42" s="28"/>
    </row>
    <row r="43" spans="1:17" hidden="1">
      <c r="A43" s="28"/>
      <c r="B43" s="23"/>
      <c r="C43" s="23"/>
      <c r="D43" s="23"/>
      <c r="E43" s="28"/>
      <c r="F43" s="28"/>
      <c r="G43" s="28"/>
      <c r="H43" s="28"/>
      <c r="J43" s="28"/>
      <c r="K43" s="23"/>
      <c r="L43" s="23"/>
      <c r="M43" s="23"/>
      <c r="N43" s="28"/>
      <c r="O43" s="28"/>
      <c r="P43" s="28"/>
      <c r="Q43" s="28"/>
    </row>
    <row r="44" spans="1:17" hidden="1">
      <c r="A44" s="28"/>
      <c r="B44" s="23"/>
      <c r="C44" s="23"/>
      <c r="D44" s="23"/>
      <c r="E44" s="28"/>
      <c r="F44" s="28"/>
      <c r="G44" s="28"/>
      <c r="H44" s="28"/>
      <c r="J44" s="28"/>
      <c r="K44" s="23"/>
      <c r="L44" s="23"/>
      <c r="M44" s="23"/>
      <c r="N44" s="28"/>
      <c r="O44" s="28"/>
      <c r="P44" s="28"/>
      <c r="Q44" s="28"/>
    </row>
    <row r="45" spans="1:17" hidden="1">
      <c r="A45" s="12"/>
      <c r="B45" s="13"/>
      <c r="C45" s="26" t="s">
        <v>334</v>
      </c>
      <c r="D45" s="27">
        <f>SUM(D39:D43)</f>
        <v>0</v>
      </c>
      <c r="E45" s="27">
        <v>0</v>
      </c>
      <c r="F45" s="27">
        <v>0</v>
      </c>
      <c r="G45" s="27"/>
      <c r="H45" s="27"/>
      <c r="J45" s="12"/>
      <c r="K45" s="13"/>
      <c r="L45" s="26" t="s">
        <v>334</v>
      </c>
      <c r="M45" s="27">
        <f>SUM(M39:M43)</f>
        <v>0</v>
      </c>
      <c r="N45" s="27">
        <v>0</v>
      </c>
      <c r="O45" s="27">
        <v>0</v>
      </c>
      <c r="P45" s="27"/>
      <c r="Q45" s="27"/>
    </row>
    <row r="46" spans="1:17" hidden="1">
      <c r="A46" s="20"/>
      <c r="B46" s="19"/>
      <c r="C46" s="160" t="s">
        <v>21</v>
      </c>
      <c r="D46" s="10"/>
      <c r="E46" s="530">
        <f>D45</f>
        <v>0</v>
      </c>
      <c r="F46" s="530"/>
      <c r="G46" s="530"/>
      <c r="H46" s="530"/>
      <c r="J46" s="20"/>
      <c r="K46" s="19"/>
      <c r="L46" s="166" t="s">
        <v>21</v>
      </c>
      <c r="M46" s="10"/>
      <c r="N46" s="530">
        <f>M45</f>
        <v>0</v>
      </c>
      <c r="O46" s="530"/>
      <c r="P46" s="530"/>
      <c r="Q46" s="530"/>
    </row>
    <row r="47" spans="1:17" hidden="1">
      <c r="A47" s="524" t="s">
        <v>372</v>
      </c>
      <c r="B47" s="524"/>
      <c r="C47" s="524"/>
      <c r="D47" s="524"/>
      <c r="E47" s="524"/>
      <c r="F47" s="524"/>
      <c r="G47" s="524"/>
      <c r="H47" s="524"/>
      <c r="J47" s="524" t="s">
        <v>372</v>
      </c>
      <c r="K47" s="524"/>
      <c r="L47" s="524"/>
      <c r="M47" s="524"/>
      <c r="N47" s="524"/>
      <c r="O47" s="524"/>
      <c r="P47" s="524"/>
      <c r="Q47" s="524"/>
    </row>
    <row r="48" spans="1:17" hidden="1">
      <c r="A48" s="28"/>
      <c r="B48" s="23" t="s">
        <v>374</v>
      </c>
      <c r="C48" s="23" t="s">
        <v>375</v>
      </c>
      <c r="D48" s="23"/>
      <c r="E48" s="28"/>
      <c r="F48" s="28"/>
      <c r="G48" s="28"/>
      <c r="H48" s="28"/>
      <c r="J48" s="28"/>
      <c r="K48" s="23" t="s">
        <v>374</v>
      </c>
      <c r="L48" s="23" t="s">
        <v>375</v>
      </c>
      <c r="M48" s="23"/>
      <c r="N48" s="28"/>
      <c r="O48" s="28"/>
      <c r="P48" s="28"/>
      <c r="Q48" s="28"/>
    </row>
    <row r="49" spans="1:17" hidden="1">
      <c r="A49" s="28"/>
      <c r="B49" s="23"/>
      <c r="C49" s="23"/>
      <c r="D49" s="23"/>
      <c r="E49" s="28"/>
      <c r="F49" s="28"/>
      <c r="G49" s="28"/>
      <c r="H49" s="28"/>
      <c r="J49" s="28"/>
      <c r="K49" s="23"/>
      <c r="L49" s="23"/>
      <c r="M49" s="23"/>
      <c r="N49" s="28"/>
      <c r="O49" s="28"/>
      <c r="P49" s="28"/>
      <c r="Q49" s="28"/>
    </row>
    <row r="50" spans="1:17" hidden="1">
      <c r="A50" s="28"/>
      <c r="B50" s="23"/>
      <c r="C50" s="23"/>
      <c r="D50" s="23"/>
      <c r="E50" s="28"/>
      <c r="F50" s="28"/>
      <c r="G50" s="28"/>
      <c r="H50" s="28"/>
      <c r="J50" s="28"/>
      <c r="K50" s="23"/>
      <c r="L50" s="23"/>
      <c r="M50" s="23"/>
      <c r="N50" s="28"/>
      <c r="O50" s="28"/>
      <c r="P50" s="28"/>
      <c r="Q50" s="28"/>
    </row>
    <row r="51" spans="1:17" hidden="1">
      <c r="A51" s="12"/>
      <c r="B51" s="13"/>
      <c r="C51" s="26" t="s">
        <v>373</v>
      </c>
      <c r="D51" s="27">
        <f>SUM(D48:D49)</f>
        <v>0</v>
      </c>
      <c r="E51" s="27">
        <v>0</v>
      </c>
      <c r="F51" s="27">
        <v>0</v>
      </c>
      <c r="G51" s="27"/>
      <c r="H51" s="27"/>
      <c r="J51" s="12"/>
      <c r="K51" s="13"/>
      <c r="L51" s="26" t="s">
        <v>373</v>
      </c>
      <c r="M51" s="27">
        <f>SUM(M48:M49)</f>
        <v>0</v>
      </c>
      <c r="N51" s="27">
        <v>0</v>
      </c>
      <c r="O51" s="27">
        <v>0</v>
      </c>
      <c r="P51" s="27"/>
      <c r="Q51" s="27"/>
    </row>
    <row r="52" spans="1:17" hidden="1">
      <c r="A52" s="20"/>
      <c r="B52" s="19"/>
      <c r="C52" s="160" t="s">
        <v>21</v>
      </c>
      <c r="D52" s="10"/>
      <c r="E52" s="530">
        <f>D51</f>
        <v>0</v>
      </c>
      <c r="F52" s="530"/>
      <c r="G52" s="530"/>
      <c r="H52" s="530"/>
      <c r="J52" s="20"/>
      <c r="K52" s="19"/>
      <c r="L52" s="166" t="s">
        <v>21</v>
      </c>
      <c r="M52" s="10"/>
      <c r="N52" s="530">
        <f>M51</f>
        <v>0</v>
      </c>
      <c r="O52" s="530"/>
      <c r="P52" s="530"/>
      <c r="Q52" s="530"/>
    </row>
    <row r="53" spans="1:17">
      <c r="A53" s="524" t="s">
        <v>54</v>
      </c>
      <c r="B53" s="524"/>
      <c r="C53" s="524"/>
      <c r="D53" s="524"/>
      <c r="E53" s="524"/>
      <c r="F53" s="524"/>
      <c r="G53" s="524"/>
      <c r="H53" s="524"/>
      <c r="J53" s="524" t="s">
        <v>54</v>
      </c>
      <c r="K53" s="524"/>
      <c r="L53" s="524"/>
      <c r="M53" s="524"/>
      <c r="N53" s="524"/>
      <c r="O53" s="524"/>
      <c r="P53" s="524"/>
      <c r="Q53" s="524"/>
    </row>
    <row r="54" spans="1:17">
      <c r="A54" s="28"/>
      <c r="B54" s="19" t="s">
        <v>411</v>
      </c>
      <c r="C54" s="23" t="s">
        <v>405</v>
      </c>
      <c r="D54" s="23">
        <v>5215000</v>
      </c>
      <c r="E54" s="28"/>
      <c r="F54" s="28"/>
      <c r="G54" s="28"/>
      <c r="H54" s="28"/>
      <c r="J54" s="28"/>
      <c r="K54" s="19" t="s">
        <v>411</v>
      </c>
      <c r="L54" s="23" t="s">
        <v>405</v>
      </c>
      <c r="M54" s="23">
        <v>5215000</v>
      </c>
      <c r="N54" s="28"/>
      <c r="O54" s="28"/>
      <c r="P54" s="28"/>
      <c r="Q54" s="28"/>
    </row>
    <row r="55" spans="1:17">
      <c r="A55" s="28"/>
      <c r="B55" s="19" t="s">
        <v>411</v>
      </c>
      <c r="C55" s="23" t="s">
        <v>407</v>
      </c>
      <c r="D55" s="23">
        <v>570000</v>
      </c>
      <c r="E55" s="28"/>
      <c r="F55" s="28"/>
      <c r="G55" s="28"/>
      <c r="H55" s="28"/>
      <c r="J55" s="28"/>
      <c r="K55" s="19" t="s">
        <v>411</v>
      </c>
      <c r="L55" s="23" t="s">
        <v>407</v>
      </c>
      <c r="M55" s="23">
        <v>570000</v>
      </c>
      <c r="N55" s="28"/>
      <c r="O55" s="28"/>
      <c r="P55" s="28"/>
      <c r="Q55" s="28"/>
    </row>
    <row r="56" spans="1:17">
      <c r="A56" s="28"/>
      <c r="B56" s="19" t="s">
        <v>411</v>
      </c>
      <c r="C56" s="23" t="s">
        <v>406</v>
      </c>
      <c r="D56" s="23">
        <v>25000000</v>
      </c>
      <c r="E56" s="28"/>
      <c r="F56" s="28"/>
      <c r="G56" s="28"/>
      <c r="H56" s="28"/>
      <c r="J56" s="28"/>
      <c r="K56" s="19" t="s">
        <v>411</v>
      </c>
      <c r="L56" s="23" t="s">
        <v>406</v>
      </c>
      <c r="M56" s="23">
        <v>25000000</v>
      </c>
      <c r="N56" s="28"/>
      <c r="O56" s="28"/>
      <c r="P56" s="28"/>
      <c r="Q56" s="28"/>
    </row>
    <row r="57" spans="1:17">
      <c r="A57" s="28"/>
      <c r="B57" s="19" t="s">
        <v>411</v>
      </c>
      <c r="C57" s="23" t="s">
        <v>408</v>
      </c>
      <c r="D57" s="23">
        <v>20000000</v>
      </c>
      <c r="E57" s="28"/>
      <c r="F57" s="28"/>
      <c r="G57" s="28"/>
      <c r="H57" s="28"/>
      <c r="J57" s="28"/>
      <c r="K57" s="19" t="s">
        <v>411</v>
      </c>
      <c r="L57" s="23" t="s">
        <v>408</v>
      </c>
      <c r="M57" s="23">
        <v>20000000</v>
      </c>
      <c r="N57" s="28"/>
      <c r="O57" s="28"/>
      <c r="P57" s="28"/>
      <c r="Q57" s="28"/>
    </row>
    <row r="58" spans="1:17">
      <c r="A58" s="28"/>
      <c r="B58" s="19" t="s">
        <v>411</v>
      </c>
      <c r="C58" s="24" t="s">
        <v>263</v>
      </c>
      <c r="D58" s="23">
        <v>1540000</v>
      </c>
      <c r="E58" s="28"/>
      <c r="F58" s="28"/>
      <c r="G58" s="28"/>
      <c r="H58" s="28"/>
      <c r="J58" s="28"/>
      <c r="K58" s="19" t="s">
        <v>411</v>
      </c>
      <c r="L58" s="24" t="s">
        <v>263</v>
      </c>
      <c r="M58" s="23">
        <v>1540000</v>
      </c>
      <c r="N58" s="28"/>
      <c r="O58" s="28"/>
      <c r="P58" s="28"/>
      <c r="Q58" s="28"/>
    </row>
    <row r="59" spans="1:17">
      <c r="A59" s="12"/>
      <c r="B59" s="19" t="s">
        <v>411</v>
      </c>
      <c r="C59" s="24" t="s">
        <v>410</v>
      </c>
      <c r="D59" s="23">
        <v>750000</v>
      </c>
      <c r="E59" s="160"/>
      <c r="F59" s="160"/>
      <c r="G59" s="160"/>
      <c r="H59" s="160"/>
      <c r="J59" s="12"/>
      <c r="K59" s="19" t="s">
        <v>411</v>
      </c>
      <c r="L59" s="24" t="s">
        <v>410</v>
      </c>
      <c r="M59" s="23">
        <v>750000</v>
      </c>
      <c r="N59" s="166"/>
      <c r="O59" s="166"/>
      <c r="P59" s="166"/>
      <c r="Q59" s="166"/>
    </row>
    <row r="60" spans="1:17">
      <c r="A60" s="12"/>
      <c r="B60" s="19" t="s">
        <v>411</v>
      </c>
      <c r="C60" s="24" t="s">
        <v>409</v>
      </c>
      <c r="D60" s="23">
        <v>300000</v>
      </c>
      <c r="E60" s="160"/>
      <c r="F60" s="160"/>
      <c r="G60" s="160"/>
      <c r="H60" s="160"/>
      <c r="J60" s="12"/>
      <c r="K60" s="19" t="s">
        <v>411</v>
      </c>
      <c r="L60" s="24" t="s">
        <v>409</v>
      </c>
      <c r="M60" s="23">
        <v>300000</v>
      </c>
      <c r="N60" s="166"/>
      <c r="O60" s="166"/>
      <c r="P60" s="166"/>
      <c r="Q60" s="166"/>
    </row>
    <row r="61" spans="1:17">
      <c r="A61" s="12"/>
      <c r="B61" s="19"/>
      <c r="C61" s="24"/>
      <c r="D61" s="23"/>
      <c r="E61" s="166"/>
      <c r="F61" s="166"/>
      <c r="G61" s="166"/>
      <c r="H61" s="166"/>
      <c r="J61" s="12"/>
      <c r="K61" s="19"/>
      <c r="L61" s="24"/>
      <c r="M61" s="23"/>
      <c r="N61" s="166"/>
      <c r="O61" s="166"/>
      <c r="P61" s="166"/>
      <c r="Q61" s="166"/>
    </row>
    <row r="62" spans="1:17">
      <c r="A62" s="12"/>
      <c r="B62" s="13"/>
      <c r="C62" s="26" t="s">
        <v>55</v>
      </c>
      <c r="D62" s="27">
        <f>SUM(D54:D60)</f>
        <v>53375000</v>
      </c>
      <c r="E62" s="27">
        <v>0</v>
      </c>
      <c r="F62" s="27">
        <v>0</v>
      </c>
      <c r="G62" s="27"/>
      <c r="H62" s="27"/>
      <c r="J62" s="12"/>
      <c r="K62" s="13"/>
      <c r="L62" s="26" t="s">
        <v>55</v>
      </c>
      <c r="M62" s="27">
        <f>SUM(M54:M60)</f>
        <v>53375000</v>
      </c>
      <c r="N62" s="27">
        <v>0</v>
      </c>
      <c r="O62" s="27">
        <v>0</v>
      </c>
      <c r="P62" s="27"/>
      <c r="Q62" s="27"/>
    </row>
    <row r="63" spans="1:17">
      <c r="A63" s="20"/>
      <c r="B63" s="19"/>
      <c r="C63" s="160" t="s">
        <v>21</v>
      </c>
      <c r="D63" s="10"/>
      <c r="E63" s="530">
        <f>D62</f>
        <v>53375000</v>
      </c>
      <c r="F63" s="530"/>
      <c r="G63" s="530"/>
      <c r="H63" s="530"/>
      <c r="J63" s="20"/>
      <c r="K63" s="19"/>
      <c r="L63" s="166" t="s">
        <v>21</v>
      </c>
      <c r="M63" s="10"/>
      <c r="N63" s="530">
        <f>M62</f>
        <v>53375000</v>
      </c>
      <c r="O63" s="530"/>
      <c r="P63" s="530"/>
      <c r="Q63" s="530"/>
    </row>
    <row r="64" spans="1:17" hidden="1">
      <c r="A64" s="524" t="s">
        <v>144</v>
      </c>
      <c r="B64" s="524"/>
      <c r="C64" s="524"/>
      <c r="D64" s="524"/>
      <c r="E64" s="524"/>
      <c r="F64" s="524"/>
      <c r="G64" s="524"/>
      <c r="H64" s="524"/>
      <c r="J64" s="524" t="s">
        <v>144</v>
      </c>
      <c r="K64" s="524"/>
      <c r="L64" s="524"/>
      <c r="M64" s="524"/>
      <c r="N64" s="524"/>
      <c r="O64" s="524"/>
      <c r="P64" s="524"/>
      <c r="Q64" s="524"/>
    </row>
    <row r="65" spans="1:17" hidden="1">
      <c r="A65" s="28"/>
      <c r="B65" s="23"/>
      <c r="C65" s="23"/>
      <c r="D65" s="23"/>
      <c r="E65" s="28"/>
      <c r="F65" s="28"/>
      <c r="G65" s="28"/>
      <c r="H65" s="28"/>
      <c r="J65" s="28"/>
      <c r="K65" s="23"/>
      <c r="L65" s="23"/>
      <c r="M65" s="23"/>
      <c r="N65" s="28"/>
      <c r="O65" s="28"/>
      <c r="P65" s="28"/>
      <c r="Q65" s="28"/>
    </row>
    <row r="66" spans="1:17" hidden="1">
      <c r="A66" s="28"/>
      <c r="B66" s="23"/>
      <c r="C66" s="23"/>
      <c r="D66" s="23"/>
      <c r="E66" s="28"/>
      <c r="F66" s="28"/>
      <c r="G66" s="28"/>
      <c r="H66" s="28"/>
      <c r="J66" s="28"/>
      <c r="K66" s="23"/>
      <c r="L66" s="23"/>
      <c r="M66" s="23"/>
      <c r="N66" s="28"/>
      <c r="O66" s="28"/>
      <c r="P66" s="28"/>
      <c r="Q66" s="28"/>
    </row>
    <row r="67" spans="1:17" hidden="1">
      <c r="A67" s="12"/>
      <c r="B67" s="19"/>
      <c r="C67" s="24"/>
      <c r="D67" s="23"/>
      <c r="E67" s="160"/>
      <c r="F67" s="160"/>
      <c r="G67" s="160"/>
      <c r="H67" s="160"/>
      <c r="J67" s="12"/>
      <c r="K67" s="19"/>
      <c r="L67" s="24"/>
      <c r="M67" s="23"/>
      <c r="N67" s="166"/>
      <c r="O67" s="166"/>
      <c r="P67" s="166"/>
      <c r="Q67" s="166"/>
    </row>
    <row r="68" spans="1:17" hidden="1">
      <c r="A68" s="12"/>
      <c r="B68" s="13"/>
      <c r="C68" s="26" t="s">
        <v>196</v>
      </c>
      <c r="D68" s="27">
        <f>SUM(D65:D67)</f>
        <v>0</v>
      </c>
      <c r="E68" s="27">
        <v>0</v>
      </c>
      <c r="F68" s="27">
        <v>0</v>
      </c>
      <c r="G68" s="27"/>
      <c r="H68" s="27"/>
      <c r="J68" s="12"/>
      <c r="K68" s="13"/>
      <c r="L68" s="26" t="s">
        <v>196</v>
      </c>
      <c r="M68" s="27">
        <f>SUM(M65:M67)</f>
        <v>0</v>
      </c>
      <c r="N68" s="27">
        <v>0</v>
      </c>
      <c r="O68" s="27">
        <v>0</v>
      </c>
      <c r="P68" s="27"/>
      <c r="Q68" s="27"/>
    </row>
    <row r="69" spans="1:17" hidden="1">
      <c r="A69" s="20"/>
      <c r="B69" s="19"/>
      <c r="C69" s="160" t="s">
        <v>21</v>
      </c>
      <c r="D69" s="10"/>
      <c r="E69" s="530">
        <f>D68</f>
        <v>0</v>
      </c>
      <c r="F69" s="530"/>
      <c r="G69" s="530"/>
      <c r="H69" s="530"/>
      <c r="J69" s="20"/>
      <c r="K69" s="19"/>
      <c r="L69" s="166" t="s">
        <v>21</v>
      </c>
      <c r="M69" s="10"/>
      <c r="N69" s="530">
        <f>M68</f>
        <v>0</v>
      </c>
      <c r="O69" s="530"/>
      <c r="P69" s="530"/>
      <c r="Q69" s="530"/>
    </row>
    <row r="70" spans="1:17">
      <c r="A70" s="527" t="s">
        <v>26</v>
      </c>
      <c r="B70" s="528"/>
      <c r="C70" s="528"/>
      <c r="D70" s="528"/>
      <c r="E70" s="528"/>
      <c r="F70" s="528"/>
      <c r="G70" s="528"/>
      <c r="H70" s="529"/>
      <c r="J70" s="527" t="s">
        <v>26</v>
      </c>
      <c r="K70" s="528"/>
      <c r="L70" s="528"/>
      <c r="M70" s="528"/>
      <c r="N70" s="528"/>
      <c r="O70" s="528"/>
      <c r="P70" s="528"/>
      <c r="Q70" s="529"/>
    </row>
    <row r="71" spans="1:17">
      <c r="A71" s="12"/>
      <c r="B71" s="19" t="s">
        <v>389</v>
      </c>
      <c r="C71" s="24" t="s">
        <v>390</v>
      </c>
      <c r="D71" s="23">
        <v>324000</v>
      </c>
      <c r="E71" s="22"/>
      <c r="F71" s="22"/>
      <c r="G71" s="16"/>
      <c r="H71" s="16"/>
      <c r="J71" s="12"/>
      <c r="K71" s="19" t="s">
        <v>389</v>
      </c>
      <c r="L71" s="24" t="s">
        <v>425</v>
      </c>
      <c r="M71" s="23">
        <v>324000</v>
      </c>
      <c r="N71" s="22"/>
      <c r="O71" s="22"/>
      <c r="P71" s="16"/>
      <c r="Q71" s="16"/>
    </row>
    <row r="72" spans="1:17">
      <c r="A72" s="12"/>
      <c r="B72" s="19" t="s">
        <v>421</v>
      </c>
      <c r="C72" s="24" t="s">
        <v>419</v>
      </c>
      <c r="D72" s="23">
        <f>220000+15000</f>
        <v>235000</v>
      </c>
      <c r="E72" s="22"/>
      <c r="F72" s="22"/>
      <c r="G72" s="16"/>
      <c r="H72" s="16"/>
      <c r="J72" s="12"/>
      <c r="K72" s="19" t="s">
        <v>421</v>
      </c>
      <c r="L72" s="24" t="s">
        <v>426</v>
      </c>
      <c r="M72" s="23">
        <f>220000+15000</f>
        <v>235000</v>
      </c>
      <c r="N72" s="22"/>
      <c r="O72" s="22"/>
      <c r="P72" s="16"/>
      <c r="Q72" s="16"/>
    </row>
    <row r="73" spans="1:17">
      <c r="A73" s="12"/>
      <c r="B73" s="19" t="s">
        <v>422</v>
      </c>
      <c r="C73" s="23" t="s">
        <v>420</v>
      </c>
      <c r="D73" s="23">
        <v>72000</v>
      </c>
      <c r="E73" s="22"/>
      <c r="F73" s="22"/>
      <c r="G73" s="16"/>
      <c r="H73" s="16"/>
      <c r="J73" s="12"/>
      <c r="K73" s="19" t="s">
        <v>422</v>
      </c>
      <c r="L73" s="23" t="s">
        <v>427</v>
      </c>
      <c r="M73" s="23">
        <v>72000</v>
      </c>
      <c r="N73" s="22"/>
      <c r="O73" s="22"/>
      <c r="P73" s="16"/>
      <c r="Q73" s="16"/>
    </row>
    <row r="74" spans="1:17">
      <c r="A74" s="12"/>
      <c r="B74" s="19"/>
      <c r="C74" s="24"/>
      <c r="D74" s="23"/>
      <c r="E74" s="22"/>
      <c r="F74" s="22"/>
      <c r="G74" s="16"/>
      <c r="H74" s="16"/>
      <c r="J74" s="12"/>
      <c r="K74" s="19"/>
      <c r="L74" s="24"/>
      <c r="M74" s="23"/>
      <c r="N74" s="22"/>
      <c r="O74" s="22"/>
      <c r="P74" s="16"/>
      <c r="Q74" s="16"/>
    </row>
    <row r="75" spans="1:17" hidden="1">
      <c r="A75" s="12"/>
      <c r="B75" s="19"/>
      <c r="C75" s="24"/>
      <c r="D75" s="23"/>
      <c r="E75" s="22"/>
      <c r="F75" s="22"/>
      <c r="G75" s="16"/>
      <c r="H75" s="16"/>
      <c r="J75" s="12"/>
      <c r="K75" s="19"/>
      <c r="L75" s="24"/>
      <c r="M75" s="23"/>
      <c r="N75" s="22"/>
      <c r="O75" s="22"/>
      <c r="P75" s="16"/>
      <c r="Q75" s="16"/>
    </row>
    <row r="76" spans="1:17" hidden="1">
      <c r="A76" s="12"/>
      <c r="B76" s="19"/>
      <c r="C76" s="24"/>
      <c r="D76" s="23"/>
      <c r="E76" s="22"/>
      <c r="F76" s="22"/>
      <c r="G76" s="16"/>
      <c r="H76" s="16"/>
      <c r="J76" s="12"/>
      <c r="K76" s="19"/>
      <c r="L76" s="24"/>
      <c r="M76" s="23"/>
      <c r="N76" s="22"/>
      <c r="O76" s="22"/>
      <c r="P76" s="16"/>
      <c r="Q76" s="16"/>
    </row>
    <row r="77" spans="1:17" hidden="1">
      <c r="A77" s="12"/>
      <c r="B77" s="19"/>
      <c r="C77" s="23"/>
      <c r="D77" s="23"/>
      <c r="E77" s="22"/>
      <c r="F77" s="22"/>
      <c r="G77" s="16"/>
      <c r="H77" s="16"/>
      <c r="J77" s="12"/>
      <c r="K77" s="19"/>
      <c r="L77" s="23"/>
      <c r="M77" s="23"/>
      <c r="N77" s="22"/>
      <c r="O77" s="22"/>
      <c r="P77" s="16"/>
      <c r="Q77" s="16"/>
    </row>
    <row r="78" spans="1:17" hidden="1">
      <c r="A78" s="12"/>
      <c r="B78" s="19"/>
      <c r="C78" s="23"/>
      <c r="D78" s="23"/>
      <c r="E78" s="22"/>
      <c r="F78" s="22"/>
      <c r="G78" s="16"/>
      <c r="H78" s="16"/>
      <c r="J78" s="12"/>
      <c r="K78" s="19"/>
      <c r="L78" s="23"/>
      <c r="M78" s="23"/>
      <c r="N78" s="22"/>
      <c r="O78" s="22"/>
      <c r="P78" s="16"/>
      <c r="Q78" s="16"/>
    </row>
    <row r="79" spans="1:17" hidden="1">
      <c r="A79" s="12"/>
      <c r="B79" s="19"/>
      <c r="C79" s="23"/>
      <c r="D79" s="23"/>
      <c r="E79" s="22"/>
      <c r="F79" s="22"/>
      <c r="G79" s="16"/>
      <c r="H79" s="16"/>
      <c r="J79" s="12"/>
      <c r="K79" s="19"/>
      <c r="L79" s="23"/>
      <c r="M79" s="23"/>
      <c r="N79" s="22"/>
      <c r="O79" s="22"/>
      <c r="P79" s="16"/>
      <c r="Q79" s="16"/>
    </row>
    <row r="80" spans="1:17" hidden="1">
      <c r="A80" s="12"/>
      <c r="B80" s="19"/>
      <c r="C80" s="24"/>
      <c r="D80" s="23"/>
      <c r="E80" s="22"/>
      <c r="F80" s="22"/>
      <c r="G80" s="16"/>
      <c r="H80" s="16"/>
      <c r="J80" s="12"/>
      <c r="K80" s="19"/>
      <c r="L80" s="24"/>
      <c r="M80" s="23"/>
      <c r="N80" s="22"/>
      <c r="O80" s="22"/>
      <c r="P80" s="16"/>
      <c r="Q80" s="16"/>
    </row>
    <row r="81" spans="1:17" hidden="1">
      <c r="A81" s="12"/>
      <c r="B81" s="19"/>
      <c r="C81" s="24"/>
      <c r="D81" s="23"/>
      <c r="E81" s="22"/>
      <c r="F81" s="22"/>
      <c r="G81" s="16"/>
      <c r="H81" s="16"/>
      <c r="J81" s="12"/>
      <c r="K81" s="19"/>
      <c r="L81" s="24"/>
      <c r="M81" s="23"/>
      <c r="N81" s="22"/>
      <c r="O81" s="22"/>
      <c r="P81" s="16"/>
      <c r="Q81" s="16"/>
    </row>
    <row r="82" spans="1:17">
      <c r="A82" s="25"/>
      <c r="B82" s="19"/>
      <c r="C82" s="26" t="s">
        <v>31</v>
      </c>
      <c r="D82" s="27">
        <f>SUM(D71:D81)</f>
        <v>631000</v>
      </c>
      <c r="E82" s="27"/>
      <c r="F82" s="27"/>
      <c r="G82" s="27"/>
      <c r="H82" s="27"/>
      <c r="J82" s="25"/>
      <c r="K82" s="19"/>
      <c r="L82" s="26" t="s">
        <v>31</v>
      </c>
      <c r="M82" s="27">
        <f>SUM(M71:M81)</f>
        <v>631000</v>
      </c>
      <c r="N82" s="27"/>
      <c r="O82" s="27"/>
      <c r="P82" s="27"/>
      <c r="Q82" s="27"/>
    </row>
    <row r="83" spans="1:17">
      <c r="A83" s="20"/>
      <c r="B83" s="19"/>
      <c r="C83" s="160" t="s">
        <v>21</v>
      </c>
      <c r="D83" s="10"/>
      <c r="E83" s="530">
        <f>D82</f>
        <v>631000</v>
      </c>
      <c r="F83" s="530"/>
      <c r="G83" s="530"/>
      <c r="H83" s="530"/>
      <c r="J83" s="20"/>
      <c r="K83" s="19"/>
      <c r="L83" s="166" t="s">
        <v>21</v>
      </c>
      <c r="M83" s="10"/>
      <c r="N83" s="530">
        <f>M82</f>
        <v>631000</v>
      </c>
      <c r="O83" s="530"/>
      <c r="P83" s="530"/>
      <c r="Q83" s="530"/>
    </row>
    <row r="84" spans="1:17">
      <c r="A84" s="527" t="s">
        <v>32</v>
      </c>
      <c r="B84" s="528"/>
      <c r="C84" s="528"/>
      <c r="D84" s="528"/>
      <c r="E84" s="528"/>
      <c r="F84" s="528"/>
      <c r="G84" s="528"/>
      <c r="H84" s="529"/>
      <c r="J84" s="527" t="s">
        <v>32</v>
      </c>
      <c r="K84" s="528"/>
      <c r="L84" s="528"/>
      <c r="M84" s="528"/>
      <c r="N84" s="528"/>
      <c r="O84" s="528"/>
      <c r="P84" s="528"/>
      <c r="Q84" s="529"/>
    </row>
    <row r="85" spans="1:17">
      <c r="A85" s="12"/>
      <c r="B85" s="13"/>
      <c r="C85" s="22"/>
      <c r="D85" s="22"/>
      <c r="E85" s="160"/>
      <c r="F85" s="160"/>
      <c r="G85" s="160"/>
      <c r="H85" s="160"/>
      <c r="J85" s="12"/>
      <c r="K85" s="13"/>
      <c r="L85" s="22"/>
      <c r="M85" s="22"/>
      <c r="N85" s="166"/>
      <c r="O85" s="166"/>
      <c r="P85" s="166"/>
      <c r="Q85" s="166"/>
    </row>
    <row r="86" spans="1:17">
      <c r="A86" s="12"/>
      <c r="B86" s="13"/>
      <c r="C86" s="22"/>
      <c r="D86" s="22"/>
      <c r="E86" s="160"/>
      <c r="F86" s="160"/>
      <c r="G86" s="160"/>
      <c r="H86" s="160"/>
      <c r="J86" s="12"/>
      <c r="K86" s="13"/>
      <c r="L86" s="22"/>
      <c r="M86" s="22"/>
      <c r="N86" s="166"/>
      <c r="O86" s="166"/>
      <c r="P86" s="166"/>
      <c r="Q86" s="166"/>
    </row>
    <row r="87" spans="1:17">
      <c r="A87" s="12"/>
      <c r="B87" s="13"/>
      <c r="C87" s="22"/>
      <c r="D87" s="22"/>
      <c r="E87" s="160"/>
      <c r="F87" s="160"/>
      <c r="G87" s="160"/>
      <c r="H87" s="160"/>
      <c r="J87" s="12"/>
      <c r="K87" s="13"/>
      <c r="L87" s="22"/>
      <c r="M87" s="22"/>
      <c r="N87" s="166"/>
      <c r="O87" s="166"/>
      <c r="P87" s="166"/>
      <c r="Q87" s="166"/>
    </row>
    <row r="88" spans="1:17">
      <c r="A88" s="12"/>
      <c r="B88" s="13"/>
      <c r="C88" s="22"/>
      <c r="D88" s="29"/>
      <c r="E88" s="160"/>
      <c r="F88" s="160"/>
      <c r="G88" s="160"/>
      <c r="H88" s="160"/>
      <c r="J88" s="12"/>
      <c r="K88" s="13"/>
      <c r="L88" s="22"/>
      <c r="M88" s="29"/>
      <c r="N88" s="166"/>
      <c r="O88" s="166"/>
      <c r="P88" s="166"/>
      <c r="Q88" s="166"/>
    </row>
    <row r="89" spans="1:17">
      <c r="A89" s="12"/>
      <c r="B89" s="13"/>
      <c r="C89" s="26" t="s">
        <v>34</v>
      </c>
      <c r="D89" s="27">
        <f>SUM(D85:D88)</f>
        <v>0</v>
      </c>
      <c r="E89" s="27">
        <v>0</v>
      </c>
      <c r="F89" s="27">
        <v>0</v>
      </c>
      <c r="G89" s="27"/>
      <c r="H89" s="27"/>
      <c r="J89" s="12"/>
      <c r="K89" s="13"/>
      <c r="L89" s="26" t="s">
        <v>34</v>
      </c>
      <c r="M89" s="27">
        <f>SUM(M85:M88)</f>
        <v>0</v>
      </c>
      <c r="N89" s="27">
        <v>0</v>
      </c>
      <c r="O89" s="27">
        <v>0</v>
      </c>
      <c r="P89" s="27"/>
      <c r="Q89" s="27"/>
    </row>
    <row r="90" spans="1:17">
      <c r="A90" s="20"/>
      <c r="B90" s="19"/>
      <c r="C90" s="160" t="s">
        <v>21</v>
      </c>
      <c r="D90" s="10"/>
      <c r="E90" s="531">
        <f>D89</f>
        <v>0</v>
      </c>
      <c r="F90" s="532"/>
      <c r="G90" s="532"/>
      <c r="H90" s="533"/>
      <c r="J90" s="20"/>
      <c r="K90" s="19"/>
      <c r="L90" s="166" t="s">
        <v>21</v>
      </c>
      <c r="M90" s="10"/>
      <c r="N90" s="531">
        <f>M89</f>
        <v>0</v>
      </c>
      <c r="O90" s="532"/>
      <c r="P90" s="532"/>
      <c r="Q90" s="533"/>
    </row>
    <row r="91" spans="1:17">
      <c r="A91" s="525" t="s">
        <v>35</v>
      </c>
      <c r="B91" s="525"/>
      <c r="C91" s="525"/>
      <c r="D91" s="158"/>
      <c r="E91" s="526">
        <f>E37+E46+E83+E90+E63+E69+E52</f>
        <v>54946000</v>
      </c>
      <c r="F91" s="526"/>
      <c r="G91" s="526"/>
      <c r="H91" s="526"/>
      <c r="J91" s="525" t="s">
        <v>35</v>
      </c>
      <c r="K91" s="525"/>
      <c r="L91" s="525"/>
      <c r="M91" s="162"/>
      <c r="N91" s="526">
        <f>N37+N46+N83+N90+N63+N69+N52</f>
        <v>54946000</v>
      </c>
      <c r="O91" s="526"/>
      <c r="P91" s="526"/>
      <c r="Q91" s="526"/>
    </row>
    <row r="92" spans="1:17">
      <c r="A92" s="522" t="s">
        <v>36</v>
      </c>
      <c r="B92" s="522"/>
      <c r="C92" s="522"/>
      <c r="D92" s="157"/>
      <c r="E92" s="523">
        <f>+E30+E91</f>
        <v>83211840</v>
      </c>
      <c r="F92" s="523"/>
      <c r="G92" s="523"/>
      <c r="H92" s="523"/>
      <c r="J92" s="522" t="s">
        <v>36</v>
      </c>
      <c r="K92" s="522"/>
      <c r="L92" s="522"/>
      <c r="M92" s="165"/>
      <c r="N92" s="523">
        <f>+N30+N91</f>
        <v>83211840</v>
      </c>
      <c r="O92" s="523"/>
      <c r="P92" s="523"/>
      <c r="Q92" s="523"/>
    </row>
    <row r="93" spans="1:17">
      <c r="A93" s="524" t="s">
        <v>32</v>
      </c>
      <c r="B93" s="524"/>
      <c r="C93" s="524"/>
      <c r="D93" s="524"/>
      <c r="E93" s="524"/>
      <c r="F93" s="524"/>
      <c r="G93" s="524"/>
      <c r="H93" s="524"/>
      <c r="J93" s="524" t="s">
        <v>32</v>
      </c>
      <c r="K93" s="524"/>
      <c r="L93" s="524"/>
      <c r="M93" s="524"/>
      <c r="N93" s="524"/>
      <c r="O93" s="524"/>
      <c r="P93" s="524"/>
      <c r="Q93" s="524"/>
    </row>
    <row r="94" spans="1:17">
      <c r="A94" s="33"/>
      <c r="B94" s="13"/>
      <c r="C94" s="22"/>
      <c r="D94" s="22"/>
      <c r="E94" s="22"/>
      <c r="F94" s="22"/>
      <c r="G94" s="16"/>
      <c r="H94" s="16"/>
      <c r="J94" s="33"/>
      <c r="K94" s="13"/>
      <c r="L94" s="22"/>
      <c r="M94" s="22"/>
      <c r="N94" s="22"/>
      <c r="O94" s="22"/>
      <c r="P94" s="16"/>
      <c r="Q94" s="16"/>
    </row>
    <row r="95" spans="1:17">
      <c r="A95" s="33"/>
      <c r="B95" s="13"/>
      <c r="C95" s="22"/>
      <c r="D95" s="22"/>
      <c r="E95" s="22"/>
      <c r="F95" s="22"/>
      <c r="G95" s="16"/>
      <c r="H95" s="16"/>
      <c r="J95" s="33"/>
      <c r="K95" s="13"/>
      <c r="L95" s="22"/>
      <c r="M95" s="22"/>
      <c r="N95" s="22"/>
      <c r="O95" s="22"/>
      <c r="P95" s="16"/>
      <c r="Q95" s="16"/>
    </row>
    <row r="96" spans="1:17">
      <c r="A96" s="33"/>
      <c r="B96" s="13"/>
      <c r="C96" s="22"/>
      <c r="D96" s="22"/>
      <c r="E96" s="22"/>
      <c r="F96" s="22"/>
      <c r="G96" s="16"/>
      <c r="H96" s="16"/>
      <c r="J96" s="33"/>
      <c r="K96" s="13"/>
      <c r="L96" s="22"/>
      <c r="M96" s="22"/>
      <c r="N96" s="22"/>
      <c r="O96" s="22"/>
      <c r="P96" s="16"/>
      <c r="Q96" s="16"/>
    </row>
    <row r="97" spans="1:17">
      <c r="A97" s="20"/>
      <c r="B97" s="13"/>
      <c r="C97" s="22"/>
      <c r="D97" s="22"/>
      <c r="E97" s="22"/>
      <c r="F97" s="16"/>
      <c r="G97" s="16"/>
      <c r="H97" s="16"/>
      <c r="J97" s="20"/>
      <c r="K97" s="13"/>
      <c r="L97" s="22"/>
      <c r="M97" s="22"/>
      <c r="N97" s="22"/>
      <c r="O97" s="16"/>
      <c r="P97" s="16"/>
      <c r="Q97" s="16"/>
    </row>
    <row r="98" spans="1:17">
      <c r="A98" s="20"/>
      <c r="B98" s="13"/>
      <c r="C98" s="22"/>
      <c r="D98" s="22"/>
      <c r="E98" s="22"/>
      <c r="F98" s="16"/>
      <c r="G98" s="16"/>
      <c r="H98" s="16"/>
      <c r="J98" s="20"/>
      <c r="K98" s="13"/>
      <c r="L98" s="22"/>
      <c r="M98" s="22"/>
      <c r="N98" s="22"/>
      <c r="O98" s="16"/>
      <c r="P98" s="16"/>
      <c r="Q98" s="16"/>
    </row>
    <row r="99" spans="1:17">
      <c r="A99" s="525" t="s">
        <v>37</v>
      </c>
      <c r="B99" s="525"/>
      <c r="C99" s="525"/>
      <c r="D99" s="158">
        <f>SUM(D94:D98)</f>
        <v>0</v>
      </c>
      <c r="E99" s="526"/>
      <c r="F99" s="526"/>
      <c r="G99" s="526"/>
      <c r="H99" s="526"/>
      <c r="J99" s="525" t="s">
        <v>37</v>
      </c>
      <c r="K99" s="525"/>
      <c r="L99" s="525"/>
      <c r="M99" s="162">
        <f>SUM(M94:M98)</f>
        <v>0</v>
      </c>
      <c r="N99" s="526"/>
      <c r="O99" s="526"/>
      <c r="P99" s="526"/>
      <c r="Q99" s="526"/>
    </row>
    <row r="100" spans="1:17">
      <c r="A100" s="34" t="s">
        <v>38</v>
      </c>
      <c r="B100" s="35"/>
      <c r="C100" s="158"/>
      <c r="D100" s="158"/>
      <c r="E100" s="159"/>
      <c r="F100" s="159"/>
      <c r="G100" s="526"/>
      <c r="H100" s="526"/>
      <c r="J100" s="34" t="s">
        <v>38</v>
      </c>
      <c r="K100" s="35"/>
      <c r="L100" s="162"/>
      <c r="M100" s="162"/>
      <c r="N100" s="163"/>
      <c r="O100" s="163"/>
      <c r="P100" s="526"/>
      <c r="Q100" s="526"/>
    </row>
    <row r="101" spans="1:17">
      <c r="A101" s="37"/>
      <c r="B101" s="38"/>
      <c r="C101" s="39"/>
      <c r="D101" s="39"/>
      <c r="E101" s="39"/>
      <c r="F101" s="39"/>
      <c r="G101" s="39"/>
      <c r="H101" s="39"/>
      <c r="J101" s="37"/>
      <c r="K101" s="38"/>
      <c r="L101" s="39"/>
      <c r="M101" s="39"/>
      <c r="N101" s="39"/>
      <c r="O101" s="39"/>
      <c r="P101" s="39"/>
      <c r="Q101" s="39"/>
    </row>
    <row r="102" spans="1:17">
      <c r="A102" s="519" t="s">
        <v>13</v>
      </c>
      <c r="B102" s="520"/>
      <c r="C102" s="520"/>
      <c r="D102" s="520"/>
      <c r="E102" s="521"/>
      <c r="F102" s="39"/>
      <c r="G102" s="39"/>
      <c r="H102" s="40"/>
      <c r="J102" s="519" t="s">
        <v>13</v>
      </c>
      <c r="K102" s="520"/>
      <c r="L102" s="520"/>
      <c r="M102" s="520"/>
      <c r="N102" s="521"/>
      <c r="O102" s="39"/>
      <c r="P102" s="39"/>
      <c r="Q102" s="40"/>
    </row>
    <row r="103" spans="1:17">
      <c r="A103" s="41" t="s">
        <v>39</v>
      </c>
      <c r="B103" s="42" t="s">
        <v>40</v>
      </c>
      <c r="C103" s="43" t="s">
        <v>41</v>
      </c>
      <c r="D103" s="43" t="s">
        <v>42</v>
      </c>
      <c r="E103" s="43" t="s">
        <v>43</v>
      </c>
      <c r="F103" s="39"/>
      <c r="G103" s="39"/>
      <c r="H103" s="39"/>
      <c r="J103" s="41" t="s">
        <v>39</v>
      </c>
      <c r="K103" s="42" t="s">
        <v>40</v>
      </c>
      <c r="L103" s="43" t="s">
        <v>41</v>
      </c>
      <c r="M103" s="43" t="s">
        <v>42</v>
      </c>
      <c r="N103" s="43" t="s">
        <v>43</v>
      </c>
      <c r="O103" s="39"/>
      <c r="P103" s="39"/>
      <c r="Q103" s="39"/>
    </row>
    <row r="104" spans="1:17">
      <c r="A104" s="41"/>
      <c r="B104" s="44"/>
      <c r="C104" s="45"/>
      <c r="D104" s="46"/>
      <c r="E104" s="46"/>
      <c r="F104" s="39"/>
      <c r="G104" s="39"/>
      <c r="H104" s="39"/>
      <c r="J104" s="41"/>
      <c r="K104" s="110">
        <v>46087</v>
      </c>
      <c r="L104" s="45" t="s">
        <v>424</v>
      </c>
      <c r="M104" s="46">
        <v>83200000</v>
      </c>
      <c r="N104" s="46"/>
      <c r="O104" s="39"/>
      <c r="P104" s="39"/>
      <c r="Q104" s="39"/>
    </row>
    <row r="105" spans="1:17">
      <c r="A105" s="41"/>
      <c r="B105" s="44"/>
      <c r="C105" s="45"/>
      <c r="D105" s="46"/>
      <c r="E105" s="46"/>
      <c r="F105" s="39"/>
      <c r="G105" s="39"/>
      <c r="H105" s="39"/>
      <c r="J105" s="41"/>
      <c r="K105" s="44"/>
      <c r="L105" s="45"/>
      <c r="M105" s="46"/>
      <c r="N105" s="46"/>
      <c r="O105" s="39"/>
      <c r="P105" s="39"/>
      <c r="Q105" s="39"/>
    </row>
    <row r="106" spans="1:17">
      <c r="A106" s="41"/>
      <c r="B106" s="44"/>
      <c r="C106" s="45"/>
      <c r="D106" s="46"/>
      <c r="E106" s="46"/>
      <c r="F106" s="39"/>
      <c r="G106" s="39"/>
      <c r="H106" s="39"/>
      <c r="J106" s="41"/>
      <c r="K106" s="44"/>
      <c r="L106" s="45"/>
      <c r="M106" s="46"/>
      <c r="N106" s="46"/>
      <c r="O106" s="39"/>
      <c r="P106" s="39"/>
      <c r="Q106" s="39"/>
    </row>
    <row r="107" spans="1:17">
      <c r="A107" s="41"/>
      <c r="B107" s="44"/>
      <c r="C107" s="47"/>
      <c r="D107" s="46"/>
      <c r="E107" s="46"/>
      <c r="F107" s="39"/>
      <c r="G107" s="39"/>
      <c r="H107" s="39"/>
      <c r="J107" s="41"/>
      <c r="K107" s="44"/>
      <c r="L107" s="47"/>
      <c r="M107" s="46"/>
      <c r="N107" s="46"/>
      <c r="O107" s="39"/>
      <c r="P107" s="39"/>
      <c r="Q107" s="39"/>
    </row>
    <row r="108" spans="1:17">
      <c r="A108" s="41"/>
      <c r="B108" s="44"/>
      <c r="C108" s="46"/>
      <c r="D108" s="48"/>
      <c r="E108" s="46"/>
      <c r="F108" s="39"/>
      <c r="G108" s="39"/>
      <c r="H108" s="39"/>
      <c r="J108" s="41"/>
      <c r="K108" s="44"/>
      <c r="L108" s="46"/>
      <c r="M108" s="48"/>
      <c r="N108" s="46"/>
      <c r="O108" s="39"/>
      <c r="P108" s="39"/>
      <c r="Q108" s="39"/>
    </row>
    <row r="109" spans="1:17">
      <c r="A109" s="49"/>
      <c r="B109" s="50"/>
      <c r="C109" s="51" t="s">
        <v>44</v>
      </c>
      <c r="D109" s="51">
        <f>SUM(D104:D108)</f>
        <v>0</v>
      </c>
      <c r="E109" s="52"/>
      <c r="F109" s="39"/>
      <c r="G109" s="39"/>
      <c r="H109" s="39"/>
      <c r="J109" s="49"/>
      <c r="K109" s="50"/>
      <c r="L109" s="51" t="s">
        <v>44</v>
      </c>
      <c r="M109" s="51">
        <f>SUM(M104:M108)</f>
        <v>83200000</v>
      </c>
      <c r="N109" s="52"/>
      <c r="O109" s="39"/>
      <c r="P109" s="39"/>
      <c r="Q109" s="39"/>
    </row>
    <row r="110" spans="1:17">
      <c r="A110" s="53"/>
      <c r="B110" s="54"/>
      <c r="C110" s="55"/>
      <c r="D110" s="56"/>
      <c r="E110" s="3"/>
      <c r="F110" s="39"/>
      <c r="G110" s="39"/>
      <c r="H110" s="39"/>
      <c r="J110" s="53"/>
      <c r="K110" s="54"/>
      <c r="L110" s="55"/>
      <c r="M110" s="56"/>
      <c r="N110" s="3"/>
      <c r="O110" s="39"/>
      <c r="P110" s="39"/>
      <c r="Q110" s="39"/>
    </row>
  </sheetData>
  <mergeCells count="66">
    <mergeCell ref="J93:Q93"/>
    <mergeCell ref="J99:L99"/>
    <mergeCell ref="N99:Q99"/>
    <mergeCell ref="P100:Q100"/>
    <mergeCell ref="J102:N102"/>
    <mergeCell ref="N90:Q90"/>
    <mergeCell ref="J91:L91"/>
    <mergeCell ref="N91:Q91"/>
    <mergeCell ref="J92:L92"/>
    <mergeCell ref="N92:Q92"/>
    <mergeCell ref="J64:Q64"/>
    <mergeCell ref="N69:Q69"/>
    <mergeCell ref="J70:Q70"/>
    <mergeCell ref="N83:Q83"/>
    <mergeCell ref="J84:Q84"/>
    <mergeCell ref="N46:Q46"/>
    <mergeCell ref="J47:Q47"/>
    <mergeCell ref="N52:Q52"/>
    <mergeCell ref="J53:Q53"/>
    <mergeCell ref="N63:Q63"/>
    <mergeCell ref="J30:M30"/>
    <mergeCell ref="N30:Q30"/>
    <mergeCell ref="J31:Q31"/>
    <mergeCell ref="N37:Q37"/>
    <mergeCell ref="J38:Q38"/>
    <mergeCell ref="J3:Q3"/>
    <mergeCell ref="J11:P11"/>
    <mergeCell ref="J12:Q12"/>
    <mergeCell ref="J13:J14"/>
    <mergeCell ref="K13:K14"/>
    <mergeCell ref="L13:L14"/>
    <mergeCell ref="M13:M14"/>
    <mergeCell ref="N13:Q13"/>
    <mergeCell ref="A3:H3"/>
    <mergeCell ref="A11:G11"/>
    <mergeCell ref="A12:H12"/>
    <mergeCell ref="A13:A14"/>
    <mergeCell ref="B13:B14"/>
    <mergeCell ref="C13:C14"/>
    <mergeCell ref="D13:D14"/>
    <mergeCell ref="E13:H13"/>
    <mergeCell ref="E69:H69"/>
    <mergeCell ref="A30:D30"/>
    <mergeCell ref="E30:H30"/>
    <mergeCell ref="A31:H31"/>
    <mergeCell ref="E37:H37"/>
    <mergeCell ref="A38:H38"/>
    <mergeCell ref="E46:H46"/>
    <mergeCell ref="A47:H47"/>
    <mergeCell ref="E52:H52"/>
    <mergeCell ref="A53:H53"/>
    <mergeCell ref="E63:H63"/>
    <mergeCell ref="A64:H64"/>
    <mergeCell ref="A70:H70"/>
    <mergeCell ref="E83:H83"/>
    <mergeCell ref="A84:H84"/>
    <mergeCell ref="E90:H90"/>
    <mergeCell ref="A91:C91"/>
    <mergeCell ref="E91:H91"/>
    <mergeCell ref="A102:E102"/>
    <mergeCell ref="A92:C92"/>
    <mergeCell ref="E92:H92"/>
    <mergeCell ref="A93:H93"/>
    <mergeCell ref="A99:C99"/>
    <mergeCell ref="E99:H99"/>
    <mergeCell ref="G100:H100"/>
  </mergeCells>
  <pageMargins left="0.11811023622047245" right="0.11811023622047245" top="0.11811023622047245" bottom="0.11811023622047245" header="0.11811023622047245" footer="0.11811023622047245"/>
  <pageSetup paperSize="9" scale="89" orientation="portrait" r:id="rId1"/>
  <rowBreaks count="1" manualBreakCount="1">
    <brk id="92" max="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6"/>
  <sheetViews>
    <sheetView workbookViewId="0"/>
  </sheetViews>
  <sheetFormatPr defaultRowHeight="15"/>
  <cols>
    <col min="2" max="2" width="9.7109375" bestFit="1" customWidth="1"/>
    <col min="3" max="3" width="52.42578125" bestFit="1" customWidth="1"/>
    <col min="4" max="6" width="10" bestFit="1" customWidth="1"/>
  </cols>
  <sheetData>
    <row r="1" spans="1:9">
      <c r="A1" s="1" t="s">
        <v>0</v>
      </c>
      <c r="B1" s="2"/>
      <c r="C1" s="3"/>
      <c r="D1" s="3"/>
      <c r="E1" s="3"/>
      <c r="F1" s="3"/>
      <c r="G1" s="3"/>
      <c r="H1" s="3"/>
    </row>
    <row r="2" spans="1:9">
      <c r="A2" s="1" t="s">
        <v>311</v>
      </c>
      <c r="B2" s="2"/>
      <c r="C2" s="3"/>
      <c r="D2" s="3"/>
      <c r="E2" s="3"/>
      <c r="F2" s="3"/>
      <c r="G2" s="3"/>
      <c r="H2" s="3"/>
    </row>
    <row r="3" spans="1:9">
      <c r="A3" s="534" t="s">
        <v>1</v>
      </c>
      <c r="B3" s="534"/>
      <c r="C3" s="534"/>
      <c r="D3" s="534"/>
      <c r="E3" s="534"/>
      <c r="F3" s="534"/>
      <c r="G3" s="534"/>
      <c r="H3" s="534"/>
    </row>
    <row r="4" spans="1:9">
      <c r="A4" s="4"/>
      <c r="B4" s="5"/>
      <c r="C4" s="6" t="s">
        <v>2</v>
      </c>
      <c r="D4" s="7">
        <v>0</v>
      </c>
      <c r="E4" s="6"/>
      <c r="F4" s="6"/>
      <c r="G4" s="6"/>
      <c r="H4" s="6"/>
    </row>
    <row r="5" spans="1:9">
      <c r="A5" s="4"/>
      <c r="B5" s="5"/>
      <c r="C5" s="6" t="s">
        <v>3</v>
      </c>
      <c r="D5" s="8"/>
      <c r="E5" s="6"/>
      <c r="F5" s="6"/>
      <c r="G5" s="6"/>
      <c r="H5" s="6"/>
    </row>
    <row r="6" spans="1:9">
      <c r="A6" s="4"/>
      <c r="B6" s="5"/>
      <c r="C6" s="6" t="s">
        <v>4</v>
      </c>
      <c r="D6" s="9"/>
      <c r="E6" s="6"/>
      <c r="F6" s="6"/>
      <c r="G6" s="6"/>
      <c r="H6" s="6"/>
    </row>
    <row r="7" spans="1:9">
      <c r="A7" s="4"/>
      <c r="B7" s="5"/>
      <c r="C7" s="6" t="s">
        <v>5</v>
      </c>
      <c r="D7" s="6"/>
      <c r="E7" s="6"/>
      <c r="F7" s="6"/>
      <c r="G7" s="6"/>
      <c r="H7" s="6"/>
    </row>
    <row r="8" spans="1:9">
      <c r="A8" s="4"/>
      <c r="B8" s="5"/>
      <c r="C8" s="6" t="s">
        <v>6</v>
      </c>
      <c r="D8" s="6"/>
      <c r="E8" s="6"/>
      <c r="F8" s="6"/>
      <c r="G8" s="6"/>
      <c r="H8" s="6"/>
    </row>
    <row r="9" spans="1:9">
      <c r="A9" s="4"/>
      <c r="B9" s="5"/>
      <c r="C9" s="6" t="s">
        <v>7</v>
      </c>
      <c r="D9" s="6"/>
      <c r="E9" s="6"/>
      <c r="F9" s="6"/>
      <c r="G9" s="6"/>
      <c r="H9" s="6"/>
    </row>
    <row r="10" spans="1:9">
      <c r="A10" s="4"/>
      <c r="B10" s="5"/>
      <c r="C10" s="6"/>
      <c r="D10" s="6"/>
      <c r="E10" s="6"/>
      <c r="F10" s="6"/>
      <c r="G10" s="6"/>
      <c r="H10" s="6"/>
    </row>
    <row r="11" spans="1:9">
      <c r="A11" s="530" t="s">
        <v>154</v>
      </c>
      <c r="B11" s="530"/>
      <c r="C11" s="530"/>
      <c r="D11" s="10"/>
      <c r="E11" s="10"/>
      <c r="F11" s="10"/>
      <c r="G11" s="10"/>
      <c r="H11" s="10">
        <f>SUM(D4:D9)</f>
        <v>0</v>
      </c>
    </row>
    <row r="12" spans="1:9">
      <c r="A12" s="524" t="s">
        <v>109</v>
      </c>
      <c r="B12" s="524"/>
      <c r="C12" s="524"/>
      <c r="D12" s="524"/>
      <c r="E12" s="524"/>
      <c r="F12" s="524"/>
      <c r="G12" s="524"/>
      <c r="H12" s="524"/>
    </row>
    <row r="13" spans="1:9">
      <c r="A13" s="12"/>
      <c r="B13" s="13" t="s">
        <v>412</v>
      </c>
      <c r="C13" s="15" t="s">
        <v>413</v>
      </c>
      <c r="D13" s="22">
        <v>3150000</v>
      </c>
      <c r="E13" s="30"/>
      <c r="F13" s="22"/>
      <c r="G13" s="16"/>
      <c r="H13" s="16"/>
      <c r="I13" s="72"/>
    </row>
    <row r="14" spans="1:9">
      <c r="A14" s="12"/>
      <c r="B14" s="13" t="s">
        <v>412</v>
      </c>
      <c r="C14" s="15" t="s">
        <v>414</v>
      </c>
      <c r="D14" s="22">
        <v>12000</v>
      </c>
      <c r="E14" s="30"/>
      <c r="F14" s="22"/>
      <c r="G14" s="16"/>
      <c r="H14" s="16"/>
    </row>
    <row r="15" spans="1:9">
      <c r="A15" s="12"/>
      <c r="B15" s="13"/>
      <c r="C15" s="15"/>
      <c r="D15" s="22"/>
      <c r="E15" s="30"/>
      <c r="F15" s="22"/>
      <c r="G15" s="16"/>
      <c r="H15" s="16"/>
    </row>
    <row r="16" spans="1:9">
      <c r="A16" s="12"/>
      <c r="B16" s="13"/>
      <c r="C16" s="15"/>
      <c r="D16" s="22"/>
      <c r="E16" s="22"/>
      <c r="F16" s="22"/>
      <c r="G16" s="16"/>
      <c r="H16" s="16"/>
    </row>
    <row r="17" spans="1:8">
      <c r="A17" s="12"/>
      <c r="B17" s="13"/>
      <c r="C17" s="15"/>
      <c r="D17" s="23"/>
      <c r="E17" s="22"/>
      <c r="F17" s="22"/>
      <c r="G17" s="16"/>
      <c r="H17" s="16"/>
    </row>
    <row r="18" spans="1:8">
      <c r="A18" s="25"/>
      <c r="B18" s="19"/>
      <c r="C18" s="26" t="s">
        <v>107</v>
      </c>
      <c r="D18" s="27">
        <f>SUM(D13:D17)</f>
        <v>3162000</v>
      </c>
      <c r="E18" s="27">
        <f>SUM(E13:E17)</f>
        <v>0</v>
      </c>
      <c r="F18" s="27">
        <f>SUM(F13:F17)</f>
        <v>0</v>
      </c>
      <c r="G18" s="27"/>
      <c r="H18" s="27"/>
    </row>
    <row r="19" spans="1:8">
      <c r="A19" s="20"/>
      <c r="B19" s="19"/>
      <c r="C19" s="160" t="s">
        <v>21</v>
      </c>
      <c r="D19" s="10"/>
      <c r="E19" s="530">
        <f>D18</f>
        <v>3162000</v>
      </c>
      <c r="F19" s="530"/>
      <c r="G19" s="530"/>
      <c r="H19" s="530"/>
    </row>
    <row r="20" spans="1:8">
      <c r="A20" s="524" t="s">
        <v>114</v>
      </c>
      <c r="B20" s="524"/>
      <c r="C20" s="524"/>
      <c r="D20" s="524"/>
      <c r="E20" s="524"/>
      <c r="F20" s="524"/>
      <c r="G20" s="524"/>
      <c r="H20" s="524"/>
    </row>
    <row r="21" spans="1:8">
      <c r="A21" s="12"/>
      <c r="B21" s="19" t="s">
        <v>391</v>
      </c>
      <c r="C21" s="24" t="s">
        <v>392</v>
      </c>
      <c r="D21" s="22">
        <v>1050000</v>
      </c>
      <c r="E21" s="22"/>
      <c r="F21" s="22"/>
      <c r="G21" s="16"/>
      <c r="H21" s="16"/>
    </row>
    <row r="22" spans="1:8">
      <c r="A22" s="12"/>
      <c r="B22" s="13"/>
      <c r="C22" s="15"/>
      <c r="D22" s="22"/>
      <c r="E22" s="22"/>
      <c r="F22" s="22"/>
      <c r="G22" s="16"/>
      <c r="H22" s="16"/>
    </row>
    <row r="23" spans="1:8">
      <c r="A23" s="12"/>
      <c r="B23" s="13"/>
      <c r="C23" s="15"/>
      <c r="D23" s="22"/>
      <c r="E23" s="22"/>
      <c r="F23" s="22"/>
      <c r="G23" s="16"/>
      <c r="H23" s="16"/>
    </row>
    <row r="24" spans="1:8">
      <c r="A24" s="12"/>
      <c r="B24" s="13"/>
      <c r="C24" s="15"/>
      <c r="D24" s="22"/>
      <c r="E24" s="22"/>
      <c r="F24" s="22"/>
      <c r="G24" s="16"/>
      <c r="H24" s="16"/>
    </row>
    <row r="25" spans="1:8">
      <c r="A25" s="12"/>
      <c r="B25" s="13"/>
      <c r="C25" s="15"/>
      <c r="D25" s="23"/>
      <c r="E25" s="22"/>
      <c r="F25" s="22"/>
      <c r="G25" s="16"/>
      <c r="H25" s="16"/>
    </row>
    <row r="26" spans="1:8">
      <c r="A26" s="25"/>
      <c r="B26" s="19"/>
      <c r="C26" s="26" t="s">
        <v>107</v>
      </c>
      <c r="D26" s="27">
        <f>SUM(D21:D25)</f>
        <v>1050000</v>
      </c>
      <c r="E26" s="27"/>
      <c r="F26" s="27"/>
      <c r="G26" s="27"/>
      <c r="H26" s="27"/>
    </row>
    <row r="27" spans="1:8">
      <c r="A27" s="20"/>
      <c r="B27" s="19"/>
      <c r="C27" s="160" t="s">
        <v>21</v>
      </c>
      <c r="D27" s="10"/>
      <c r="E27" s="530">
        <f>D26</f>
        <v>1050000</v>
      </c>
      <c r="F27" s="530"/>
      <c r="G27" s="530"/>
      <c r="H27" s="530"/>
    </row>
    <row r="28" spans="1:8">
      <c r="A28" s="525" t="s">
        <v>115</v>
      </c>
      <c r="B28" s="525"/>
      <c r="C28" s="525"/>
      <c r="D28" s="158"/>
      <c r="E28" s="526">
        <f>E19+E27</f>
        <v>4212000</v>
      </c>
      <c r="F28" s="526"/>
      <c r="G28" s="526"/>
      <c r="H28" s="526"/>
    </row>
    <row r="29" spans="1:8">
      <c r="A29" s="524" t="s">
        <v>32</v>
      </c>
      <c r="B29" s="524"/>
      <c r="C29" s="524"/>
      <c r="D29" s="524"/>
      <c r="E29" s="524"/>
      <c r="F29" s="524"/>
      <c r="G29" s="524"/>
      <c r="H29" s="524"/>
    </row>
    <row r="30" spans="1:8">
      <c r="A30" s="33"/>
      <c r="B30" s="13"/>
      <c r="C30" s="22"/>
      <c r="D30" s="22"/>
      <c r="E30" s="22"/>
      <c r="F30" s="22"/>
      <c r="G30" s="16"/>
      <c r="H30" s="16"/>
    </row>
    <row r="31" spans="1:8">
      <c r="A31" s="33"/>
      <c r="B31" s="13"/>
      <c r="C31" s="22"/>
      <c r="D31" s="22"/>
      <c r="E31" s="22"/>
      <c r="F31" s="22"/>
      <c r="G31" s="16"/>
      <c r="H31" s="16"/>
    </row>
    <row r="32" spans="1:8">
      <c r="A32" s="33"/>
      <c r="B32" s="13"/>
      <c r="C32" s="22"/>
      <c r="D32" s="22"/>
      <c r="E32" s="22"/>
      <c r="F32" s="22"/>
      <c r="G32" s="16"/>
      <c r="H32" s="16"/>
    </row>
    <row r="33" spans="1:8">
      <c r="A33" s="20"/>
      <c r="B33" s="13"/>
      <c r="C33" s="22"/>
      <c r="D33" s="22"/>
      <c r="E33" s="22"/>
      <c r="F33" s="16"/>
      <c r="G33" s="16"/>
      <c r="H33" s="16"/>
    </row>
    <row r="34" spans="1:8">
      <c r="A34" s="20"/>
      <c r="B34" s="13"/>
      <c r="C34" s="22"/>
      <c r="D34" s="22"/>
      <c r="E34" s="22"/>
      <c r="F34" s="16"/>
      <c r="G34" s="16"/>
      <c r="H34" s="16"/>
    </row>
    <row r="35" spans="1:8">
      <c r="A35" s="525" t="s">
        <v>37</v>
      </c>
      <c r="B35" s="525"/>
      <c r="C35" s="525"/>
      <c r="D35" s="158">
        <f>SUM(D30:D34)</f>
        <v>0</v>
      </c>
      <c r="E35" s="526"/>
      <c r="F35" s="526"/>
      <c r="G35" s="526"/>
      <c r="H35" s="526"/>
    </row>
    <row r="36" spans="1:8">
      <c r="A36" s="34" t="s">
        <v>38</v>
      </c>
      <c r="B36" s="35"/>
      <c r="C36" s="158"/>
      <c r="D36" s="158"/>
      <c r="E36" s="159"/>
      <c r="F36" s="159"/>
      <c r="G36" s="526"/>
      <c r="H36" s="526"/>
    </row>
    <row r="37" spans="1:8">
      <c r="A37" s="37"/>
      <c r="B37" s="38"/>
      <c r="C37" s="39"/>
      <c r="D37" s="39"/>
      <c r="E37" s="39"/>
      <c r="F37" s="39"/>
      <c r="G37" s="39"/>
      <c r="H37" s="39"/>
    </row>
    <row r="38" spans="1:8">
      <c r="A38" s="519" t="s">
        <v>13</v>
      </c>
      <c r="B38" s="520"/>
      <c r="C38" s="520"/>
      <c r="D38" s="520"/>
      <c r="E38" s="521"/>
      <c r="F38" s="39"/>
      <c r="G38" s="39"/>
      <c r="H38" s="40"/>
    </row>
    <row r="39" spans="1:8">
      <c r="A39" s="41" t="s">
        <v>39</v>
      </c>
      <c r="B39" s="42" t="s">
        <v>40</v>
      </c>
      <c r="C39" s="43" t="s">
        <v>41</v>
      </c>
      <c r="D39" s="43" t="s">
        <v>42</v>
      </c>
      <c r="E39" s="43" t="s">
        <v>43</v>
      </c>
      <c r="F39" s="39"/>
      <c r="G39" s="39"/>
      <c r="H39" s="39"/>
    </row>
    <row r="40" spans="1:8">
      <c r="A40" s="41"/>
      <c r="B40" s="44"/>
      <c r="C40" s="45" t="s">
        <v>423</v>
      </c>
      <c r="D40" s="46">
        <v>4212000</v>
      </c>
      <c r="E40" s="46"/>
      <c r="F40" s="39"/>
      <c r="G40" s="39"/>
      <c r="H40" s="39"/>
    </row>
    <row r="41" spans="1:8">
      <c r="A41" s="41"/>
      <c r="B41" s="44"/>
      <c r="C41" s="45"/>
      <c r="D41" s="46"/>
      <c r="E41" s="46"/>
      <c r="F41" s="39"/>
      <c r="G41" s="39"/>
      <c r="H41" s="39"/>
    </row>
    <row r="42" spans="1:8">
      <c r="A42" s="41"/>
      <c r="B42" s="44"/>
      <c r="C42" s="45"/>
      <c r="D42" s="46"/>
      <c r="E42" s="46"/>
      <c r="F42" s="39"/>
      <c r="G42" s="39"/>
      <c r="H42" s="39"/>
    </row>
    <row r="43" spans="1:8">
      <c r="A43" s="41"/>
      <c r="B43" s="44"/>
      <c r="C43" s="47"/>
      <c r="D43" s="46"/>
      <c r="E43" s="46"/>
      <c r="F43" s="39"/>
      <c r="G43" s="39"/>
      <c r="H43" s="39"/>
    </row>
    <row r="44" spans="1:8">
      <c r="A44" s="41"/>
      <c r="B44" s="44"/>
      <c r="C44" s="46"/>
      <c r="D44" s="48"/>
      <c r="E44" s="46"/>
      <c r="F44" s="39"/>
      <c r="G44" s="39"/>
      <c r="H44" s="39"/>
    </row>
    <row r="45" spans="1:8">
      <c r="A45" s="49"/>
      <c r="B45" s="50"/>
      <c r="C45" s="51" t="s">
        <v>44</v>
      </c>
      <c r="D45" s="51">
        <f>SUM(D40:D44)</f>
        <v>4212000</v>
      </c>
      <c r="E45" s="52"/>
      <c r="F45" s="39"/>
      <c r="G45" s="39"/>
      <c r="H45" s="39"/>
    </row>
    <row r="46" spans="1:8">
      <c r="A46" s="53"/>
      <c r="B46" s="54"/>
      <c r="C46" s="55"/>
      <c r="D46" s="56"/>
      <c r="E46" s="3"/>
      <c r="F46" s="39"/>
      <c r="G46" s="39"/>
      <c r="H46" s="39"/>
    </row>
  </sheetData>
  <mergeCells count="13">
    <mergeCell ref="E27:H27"/>
    <mergeCell ref="A3:H3"/>
    <mergeCell ref="A11:C11"/>
    <mergeCell ref="A12:H12"/>
    <mergeCell ref="E19:H19"/>
    <mergeCell ref="A20:H20"/>
    <mergeCell ref="A38:E38"/>
    <mergeCell ref="A28:C28"/>
    <mergeCell ref="E28:H28"/>
    <mergeCell ref="A29:H29"/>
    <mergeCell ref="A35:C35"/>
    <mergeCell ref="E35:H35"/>
    <mergeCell ref="G36:H3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33"/>
  <sheetViews>
    <sheetView workbookViewId="0"/>
  </sheetViews>
  <sheetFormatPr defaultRowHeight="15"/>
  <cols>
    <col min="1" max="1" width="43.28515625" bestFit="1" customWidth="1"/>
    <col min="2" max="2" width="10.5703125" bestFit="1" customWidth="1"/>
    <col min="3" max="3" width="25.140625" bestFit="1" customWidth="1"/>
    <col min="4" max="4" width="10.5703125" bestFit="1" customWidth="1"/>
    <col min="5" max="5" width="59.7109375" bestFit="1" customWidth="1"/>
    <col min="7" max="7" width="57.85546875" bestFit="1" customWidth="1"/>
    <col min="8" max="8" width="11.5703125" bestFit="1" customWidth="1"/>
    <col min="9" max="9" width="42.28515625" bestFit="1" customWidth="1"/>
    <col min="12" max="12" width="11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75" customFormat="1">
      <c r="A2" s="23" t="s">
        <v>405</v>
      </c>
      <c r="B2" s="23">
        <v>5215000</v>
      </c>
      <c r="C2" s="23" t="s">
        <v>400</v>
      </c>
      <c r="D2" s="23">
        <v>150000</v>
      </c>
      <c r="E2" s="15" t="s">
        <v>404</v>
      </c>
      <c r="F2" s="22">
        <v>740000</v>
      </c>
      <c r="G2" s="14" t="s">
        <v>416</v>
      </c>
      <c r="H2" s="15">
        <v>4745000</v>
      </c>
      <c r="I2" s="15" t="s">
        <v>393</v>
      </c>
      <c r="J2" s="22">
        <v>50000</v>
      </c>
    </row>
    <row r="3" spans="1:10" s="175" customFormat="1">
      <c r="A3" s="23" t="s">
        <v>407</v>
      </c>
      <c r="B3" s="23">
        <v>570000</v>
      </c>
      <c r="C3" s="23" t="s">
        <v>150</v>
      </c>
      <c r="D3" s="23">
        <v>150000</v>
      </c>
      <c r="E3" s="15"/>
      <c r="F3" s="22"/>
      <c r="G3" s="15" t="s">
        <v>73</v>
      </c>
      <c r="H3" s="22">
        <v>503500</v>
      </c>
      <c r="I3" s="15"/>
      <c r="J3" s="22"/>
    </row>
    <row r="4" spans="1:10" s="175" customFormat="1">
      <c r="A4" s="23" t="s">
        <v>263</v>
      </c>
      <c r="B4" s="23">
        <v>1540000</v>
      </c>
      <c r="C4" s="15" t="s">
        <v>410</v>
      </c>
      <c r="D4" s="22">
        <v>750000</v>
      </c>
      <c r="E4" s="15"/>
      <c r="F4" s="23"/>
      <c r="G4" s="15" t="s">
        <v>19</v>
      </c>
      <c r="H4" s="22">
        <v>503500</v>
      </c>
      <c r="I4" s="15"/>
      <c r="J4" s="22"/>
    </row>
    <row r="5" spans="1:10" s="175" customFormat="1">
      <c r="A5" s="24" t="s">
        <v>429</v>
      </c>
      <c r="B5" s="23">
        <v>300000</v>
      </c>
      <c r="C5" s="22"/>
      <c r="D5" s="61"/>
      <c r="E5" s="15"/>
      <c r="F5" s="23"/>
      <c r="G5" s="15" t="s">
        <v>388</v>
      </c>
      <c r="H5" s="23">
        <v>16000</v>
      </c>
      <c r="I5" s="14"/>
      <c r="J5" s="15"/>
    </row>
    <row r="6" spans="1:10">
      <c r="A6" s="15"/>
      <c r="B6" s="23"/>
      <c r="C6" s="64"/>
      <c r="D6" s="61"/>
      <c r="E6" s="15"/>
      <c r="F6" s="22"/>
      <c r="G6" s="23" t="s">
        <v>396</v>
      </c>
      <c r="H6" s="23">
        <v>650000</v>
      </c>
      <c r="I6" s="14"/>
      <c r="J6" s="15"/>
    </row>
    <row r="7" spans="1:10">
      <c r="A7" s="23"/>
      <c r="B7" s="23"/>
      <c r="C7" s="22"/>
      <c r="D7" s="29"/>
      <c r="E7" s="15"/>
      <c r="F7" s="22"/>
      <c r="G7" s="23" t="s">
        <v>397</v>
      </c>
      <c r="H7" s="23">
        <v>250000</v>
      </c>
      <c r="I7" s="14"/>
      <c r="J7" s="15"/>
    </row>
    <row r="8" spans="1:10">
      <c r="A8" s="15"/>
      <c r="B8" s="22"/>
      <c r="C8" s="22"/>
      <c r="D8" s="29"/>
      <c r="E8" s="22"/>
      <c r="F8" s="29"/>
      <c r="G8" s="14" t="s">
        <v>398</v>
      </c>
      <c r="H8" s="15">
        <v>185000</v>
      </c>
      <c r="I8" s="22"/>
      <c r="J8" s="29"/>
    </row>
    <row r="9" spans="1:10">
      <c r="A9" s="64"/>
      <c r="B9" s="61"/>
      <c r="C9" s="22"/>
      <c r="D9" s="29"/>
      <c r="E9" s="61"/>
      <c r="F9" s="65"/>
      <c r="G9" s="14" t="s">
        <v>399</v>
      </c>
      <c r="H9" s="15">
        <v>250000</v>
      </c>
      <c r="I9" s="22"/>
      <c r="J9" s="29"/>
    </row>
    <row r="10" spans="1:10">
      <c r="A10" s="64"/>
      <c r="B10" s="29"/>
      <c r="C10" s="66"/>
      <c r="D10" s="66"/>
      <c r="E10" s="61"/>
      <c r="F10" s="65"/>
      <c r="G10" s="14" t="s">
        <v>401</v>
      </c>
      <c r="H10" s="15">
        <v>462840</v>
      </c>
      <c r="I10" s="22"/>
      <c r="J10" s="29"/>
    </row>
    <row r="11" spans="1:10">
      <c r="A11" s="64"/>
      <c r="B11" s="61"/>
      <c r="C11" s="66"/>
      <c r="D11" s="66"/>
      <c r="E11" s="61"/>
      <c r="F11" s="65"/>
      <c r="G11" s="14" t="s">
        <v>418</v>
      </c>
      <c r="H11" s="15">
        <v>20550000</v>
      </c>
      <c r="I11" s="22"/>
      <c r="J11" s="29"/>
    </row>
    <row r="12" spans="1:10">
      <c r="A12" s="64"/>
      <c r="B12" s="61"/>
      <c r="C12" s="66"/>
      <c r="D12" s="66"/>
      <c r="E12" s="61"/>
      <c r="F12" s="65"/>
      <c r="G12" s="15" t="s">
        <v>406</v>
      </c>
      <c r="H12" s="22">
        <v>25000000</v>
      </c>
      <c r="I12" s="22"/>
      <c r="J12" s="29"/>
    </row>
    <row r="13" spans="1:10">
      <c r="A13" s="64"/>
      <c r="B13" s="61"/>
      <c r="C13" s="66"/>
      <c r="D13" s="66"/>
      <c r="E13" s="61"/>
      <c r="F13" s="65"/>
      <c r="G13" s="15" t="s">
        <v>408</v>
      </c>
      <c r="H13" s="22">
        <v>20000000</v>
      </c>
      <c r="I13" s="62"/>
      <c r="J13" s="67"/>
    </row>
    <row r="14" spans="1:10">
      <c r="A14" s="68"/>
      <c r="B14" s="69"/>
      <c r="C14" s="69"/>
      <c r="D14" s="69"/>
      <c r="E14" s="69"/>
      <c r="F14" s="69"/>
      <c r="G14" s="15" t="s">
        <v>425</v>
      </c>
      <c r="H14" s="176">
        <v>324000</v>
      </c>
      <c r="I14" s="68"/>
      <c r="J14" s="69"/>
    </row>
    <row r="15" spans="1:10">
      <c r="A15" s="68"/>
      <c r="B15" s="69"/>
      <c r="C15" s="69"/>
      <c r="D15" s="69"/>
      <c r="E15" s="69"/>
      <c r="F15" s="69"/>
      <c r="G15" s="117" t="s">
        <v>426</v>
      </c>
      <c r="H15" s="118">
        <v>235000</v>
      </c>
      <c r="I15" s="68"/>
      <c r="J15" s="69"/>
    </row>
    <row r="16" spans="1:10">
      <c r="A16" s="68"/>
      <c r="B16" s="69"/>
      <c r="C16" s="69"/>
      <c r="D16" s="69"/>
      <c r="E16" s="69"/>
      <c r="F16" s="69"/>
      <c r="G16" s="119" t="s">
        <v>427</v>
      </c>
      <c r="H16" s="120">
        <v>72000</v>
      </c>
      <c r="I16" s="68"/>
      <c r="J16" s="69"/>
    </row>
    <row r="17" spans="1:12">
      <c r="A17" s="68"/>
      <c r="B17" s="69"/>
      <c r="C17" s="69"/>
      <c r="D17" s="69"/>
      <c r="E17" s="69"/>
      <c r="F17" s="69"/>
      <c r="G17" s="119" t="s">
        <v>413</v>
      </c>
      <c r="H17" s="120">
        <v>3150000</v>
      </c>
      <c r="I17" s="68"/>
      <c r="J17" s="69"/>
    </row>
    <row r="18" spans="1:12">
      <c r="A18" s="68"/>
      <c r="B18" s="69"/>
      <c r="C18" s="69"/>
      <c r="D18" s="69"/>
      <c r="E18" s="69"/>
      <c r="F18" s="69"/>
      <c r="G18" s="119" t="s">
        <v>414</v>
      </c>
      <c r="H18" s="120">
        <v>12000</v>
      </c>
      <c r="I18" s="68"/>
      <c r="J18" s="69"/>
    </row>
    <row r="19" spans="1:12">
      <c r="A19" s="68"/>
      <c r="B19" s="69"/>
      <c r="C19" s="69"/>
      <c r="D19" s="69"/>
      <c r="E19" s="69"/>
      <c r="F19" s="69"/>
      <c r="G19" s="119" t="s">
        <v>392</v>
      </c>
      <c r="H19" s="177">
        <v>1050000</v>
      </c>
      <c r="I19" s="68"/>
      <c r="J19" s="69"/>
    </row>
    <row r="20" spans="1:12">
      <c r="A20" s="68"/>
      <c r="B20" s="69"/>
      <c r="C20" s="69"/>
      <c r="D20" s="69"/>
      <c r="E20" s="69"/>
      <c r="F20" s="69"/>
      <c r="G20" s="119"/>
      <c r="H20" s="120"/>
      <c r="I20" s="68"/>
      <c r="J20" s="69"/>
    </row>
    <row r="21" spans="1:12">
      <c r="A21" s="68"/>
      <c r="B21" s="69"/>
      <c r="C21" s="69"/>
      <c r="D21" s="69"/>
      <c r="E21" s="69"/>
      <c r="F21" s="69"/>
      <c r="G21" s="119"/>
      <c r="H21" s="120"/>
      <c r="I21" s="68"/>
      <c r="J21" s="69"/>
    </row>
    <row r="22" spans="1:12">
      <c r="A22" s="68"/>
      <c r="B22" s="69"/>
      <c r="C22" s="69"/>
      <c r="D22" s="69"/>
      <c r="E22" s="69"/>
      <c r="F22" s="69"/>
      <c r="G22" s="119"/>
      <c r="H22" s="120"/>
      <c r="I22" s="68"/>
      <c r="J22" s="69"/>
    </row>
    <row r="23" spans="1:12">
      <c r="A23" s="68"/>
      <c r="B23" s="69"/>
      <c r="C23" s="69"/>
      <c r="D23" s="69"/>
      <c r="E23" s="69"/>
      <c r="F23" s="69"/>
      <c r="G23" s="119"/>
      <c r="H23" s="120"/>
      <c r="I23" s="68"/>
      <c r="J23" s="69"/>
    </row>
    <row r="24" spans="1:12">
      <c r="A24" s="68"/>
      <c r="B24" s="69"/>
      <c r="C24" s="69"/>
      <c r="D24" s="69"/>
      <c r="E24" s="69"/>
      <c r="F24" s="69"/>
      <c r="G24" s="119"/>
      <c r="H24" s="120"/>
      <c r="I24" s="68"/>
      <c r="J24" s="69"/>
    </row>
    <row r="25" spans="1:12">
      <c r="A25" s="68"/>
      <c r="B25" s="69"/>
      <c r="C25" s="69"/>
      <c r="D25" s="69"/>
      <c r="E25" s="69"/>
      <c r="F25" s="69"/>
      <c r="G25" s="119"/>
      <c r="H25" s="120"/>
      <c r="I25" s="68"/>
      <c r="J25" s="69"/>
    </row>
    <row r="26" spans="1:12">
      <c r="A26" s="68"/>
      <c r="B26" s="69"/>
      <c r="C26" s="69"/>
      <c r="D26" s="69"/>
      <c r="E26" s="69"/>
      <c r="F26" s="69"/>
      <c r="G26" s="119"/>
      <c r="H26" s="120"/>
      <c r="I26" s="68"/>
      <c r="J26" s="69"/>
    </row>
    <row r="27" spans="1:12">
      <c r="A27" s="68"/>
      <c r="B27" s="69"/>
      <c r="C27" s="69"/>
      <c r="D27" s="69"/>
      <c r="E27" s="69"/>
      <c r="F27" s="69"/>
      <c r="G27" s="119"/>
      <c r="H27" s="120"/>
      <c r="I27" s="68"/>
      <c r="J27" s="69"/>
    </row>
    <row r="28" spans="1:12">
      <c r="A28" s="68"/>
      <c r="B28" s="69"/>
      <c r="C28" s="69"/>
      <c r="D28" s="69"/>
      <c r="E28" s="69"/>
      <c r="F28" s="69"/>
      <c r="G28" s="119"/>
      <c r="H28" s="120"/>
      <c r="I28" s="68"/>
      <c r="J28" s="69"/>
    </row>
    <row r="29" spans="1:12">
      <c r="A29" s="70"/>
      <c r="B29" s="71">
        <f>SUM(B2:B27)</f>
        <v>7625000</v>
      </c>
      <c r="C29" s="71">
        <f t="shared" ref="C29:J29" si="0">SUM(C2:C27)</f>
        <v>0</v>
      </c>
      <c r="D29" s="71">
        <f t="shared" si="0"/>
        <v>1050000</v>
      </c>
      <c r="E29" s="71">
        <f t="shared" si="0"/>
        <v>0</v>
      </c>
      <c r="F29" s="71">
        <f t="shared" si="0"/>
        <v>740000</v>
      </c>
      <c r="G29" s="71">
        <f t="shared" si="0"/>
        <v>0</v>
      </c>
      <c r="H29" s="71">
        <f>SUM(H2:H27)</f>
        <v>77958840</v>
      </c>
      <c r="I29" s="71">
        <f t="shared" si="0"/>
        <v>0</v>
      </c>
      <c r="J29" s="71">
        <f t="shared" si="0"/>
        <v>50000</v>
      </c>
      <c r="K29" s="72"/>
      <c r="L29" s="72">
        <f>SUM(B29:K29)</f>
        <v>87423840</v>
      </c>
    </row>
    <row r="30" spans="1:12">
      <c r="A30" t="s">
        <v>428</v>
      </c>
      <c r="B30" s="77">
        <v>500000</v>
      </c>
      <c r="C30" t="s">
        <v>317</v>
      </c>
      <c r="D30" s="77">
        <v>100000</v>
      </c>
      <c r="E30" s="77"/>
      <c r="F30" s="77"/>
      <c r="L30" s="72">
        <f>L29-Sheet3!N92</f>
        <v>4212000</v>
      </c>
    </row>
    <row r="31" spans="1:12">
      <c r="D31" s="77"/>
      <c r="E31" s="77"/>
      <c r="F31" s="77"/>
    </row>
    <row r="32" spans="1:12">
      <c r="B32" s="72">
        <f>B29-B30</f>
        <v>7125000</v>
      </c>
      <c r="D32" s="72">
        <f>D29-D30-D31</f>
        <v>950000</v>
      </c>
      <c r="E32" s="77"/>
      <c r="F32" s="77"/>
    </row>
    <row r="33" spans="5:8">
      <c r="E33" s="77"/>
      <c r="F33" s="77"/>
      <c r="H33" s="72">
        <f>H14+H15+H16+H19+160000</f>
        <v>1841000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9"/>
  <sheetViews>
    <sheetView workbookViewId="0"/>
  </sheetViews>
  <sheetFormatPr defaultRowHeight="15"/>
  <cols>
    <col min="3" max="3" width="58.28515625" bestFit="1" customWidth="1"/>
    <col min="4" max="4" width="11" customWidth="1"/>
    <col min="5" max="5" width="7.7109375" customWidth="1"/>
    <col min="6" max="6" width="6.28515625" customWidth="1"/>
    <col min="7" max="7" width="8" customWidth="1"/>
    <col min="8" max="8" width="11" bestFit="1" customWidth="1"/>
    <col min="12" max="12" width="58.28515625" bestFit="1" customWidth="1"/>
    <col min="13" max="13" width="12" bestFit="1" customWidth="1"/>
    <col min="17" max="17" width="11" bestFit="1" customWidth="1"/>
    <col min="21" max="21" width="59.85546875" customWidth="1"/>
    <col min="22" max="22" width="11.7109375" bestFit="1" customWidth="1"/>
    <col min="28" max="28" width="11.5703125" bestFit="1" customWidth="1"/>
  </cols>
  <sheetData>
    <row r="1" spans="1:26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  <c r="S1" s="1" t="s">
        <v>0</v>
      </c>
      <c r="T1" s="2"/>
      <c r="U1" s="3"/>
      <c r="V1" s="3"/>
      <c r="W1" s="3"/>
      <c r="X1" s="3"/>
      <c r="Y1" s="3"/>
      <c r="Z1" s="3"/>
    </row>
    <row r="2" spans="1:26">
      <c r="A2" s="1" t="s">
        <v>461</v>
      </c>
      <c r="B2" s="2"/>
      <c r="C2" s="3"/>
      <c r="D2" s="3"/>
      <c r="E2" s="3"/>
      <c r="F2" s="3"/>
      <c r="G2" s="3"/>
      <c r="H2" s="3"/>
      <c r="J2" s="1" t="s">
        <v>461</v>
      </c>
      <c r="K2" s="2"/>
      <c r="L2" s="3"/>
      <c r="M2" s="3"/>
      <c r="N2" s="3"/>
      <c r="O2" s="3"/>
      <c r="P2" s="3"/>
      <c r="Q2" s="3"/>
      <c r="S2" s="1" t="s">
        <v>461</v>
      </c>
      <c r="T2" s="2"/>
      <c r="U2" s="3"/>
      <c r="V2" s="3"/>
      <c r="W2" s="3"/>
      <c r="X2" s="3"/>
      <c r="Y2" s="3"/>
      <c r="Z2" s="3"/>
    </row>
    <row r="3" spans="1:26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  <c r="S3" s="534" t="s">
        <v>1</v>
      </c>
      <c r="T3" s="534"/>
      <c r="U3" s="534"/>
      <c r="V3" s="534"/>
      <c r="W3" s="534"/>
      <c r="X3" s="534"/>
      <c r="Y3" s="534"/>
      <c r="Z3" s="534"/>
    </row>
    <row r="4" spans="1:26">
      <c r="A4" s="4"/>
      <c r="B4" s="5"/>
      <c r="C4" s="6" t="s">
        <v>2</v>
      </c>
      <c r="D4" s="7">
        <f>18077570-4745000-2818500</f>
        <v>10514070</v>
      </c>
      <c r="E4" s="6"/>
      <c r="F4" s="6"/>
      <c r="G4" s="6"/>
      <c r="H4" s="6"/>
      <c r="J4" s="4"/>
      <c r="K4" s="5"/>
      <c r="L4" s="6" t="s">
        <v>2</v>
      </c>
      <c r="M4" s="7">
        <f>18077570-4745000-2818500</f>
        <v>10514070</v>
      </c>
      <c r="N4" s="6"/>
      <c r="O4" s="6"/>
      <c r="P4" s="6"/>
      <c r="Q4" s="6"/>
      <c r="S4" s="4"/>
      <c r="T4" s="5"/>
      <c r="U4" s="6" t="s">
        <v>2</v>
      </c>
      <c r="V4" s="7">
        <f>18077570-4745000-2818500</f>
        <v>10514070</v>
      </c>
      <c r="W4" s="6"/>
      <c r="X4" s="6"/>
      <c r="Y4" s="6"/>
      <c r="Z4" s="6"/>
    </row>
    <row r="5" spans="1:26">
      <c r="A5" s="4"/>
      <c r="B5" s="5"/>
      <c r="C5" s="6" t="s">
        <v>3</v>
      </c>
      <c r="D5" s="8">
        <v>434765</v>
      </c>
      <c r="E5" s="6"/>
      <c r="F5" s="6"/>
      <c r="G5" s="6"/>
      <c r="H5" s="6"/>
      <c r="J5" s="4"/>
      <c r="K5" s="5"/>
      <c r="L5" s="6" t="s">
        <v>3</v>
      </c>
      <c r="M5" s="8">
        <v>434765</v>
      </c>
      <c r="N5" s="6"/>
      <c r="O5" s="6"/>
      <c r="P5" s="6"/>
      <c r="Q5" s="6"/>
      <c r="S5" s="4"/>
      <c r="T5" s="5"/>
      <c r="U5" s="6" t="s">
        <v>3</v>
      </c>
      <c r="V5" s="8">
        <v>434765</v>
      </c>
      <c r="W5" s="6"/>
      <c r="X5" s="6"/>
      <c r="Y5" s="6"/>
      <c r="Z5" s="6"/>
    </row>
    <row r="6" spans="1:26">
      <c r="A6" s="4"/>
      <c r="B6" s="5"/>
      <c r="C6" s="6" t="s">
        <v>460</v>
      </c>
      <c r="D6" s="115">
        <v>1213200</v>
      </c>
      <c r="E6" s="6"/>
      <c r="F6" s="6"/>
      <c r="G6" s="6"/>
      <c r="H6" s="6"/>
      <c r="J6" s="4"/>
      <c r="K6" s="5"/>
      <c r="L6" s="6" t="s">
        <v>460</v>
      </c>
      <c r="M6" s="115">
        <v>1213200</v>
      </c>
      <c r="N6" s="6"/>
      <c r="O6" s="6"/>
      <c r="P6" s="6"/>
      <c r="Q6" s="6"/>
      <c r="S6" s="4"/>
      <c r="T6" s="5"/>
      <c r="U6" s="6" t="s">
        <v>460</v>
      </c>
      <c r="V6" s="115">
        <v>1213200</v>
      </c>
      <c r="W6" s="6"/>
      <c r="X6" s="6"/>
      <c r="Y6" s="6"/>
      <c r="Z6" s="6"/>
    </row>
    <row r="7" spans="1:26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  <c r="S7" s="4"/>
      <c r="T7" s="5"/>
      <c r="U7" s="6" t="s">
        <v>5</v>
      </c>
      <c r="V7" s="6">
        <v>1146153</v>
      </c>
      <c r="W7" s="6"/>
      <c r="X7" s="6"/>
      <c r="Y7" s="6"/>
      <c r="Z7" s="6"/>
    </row>
    <row r="8" spans="1:26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  <c r="S8" s="4"/>
      <c r="T8" s="5"/>
      <c r="U8" s="6" t="s">
        <v>6</v>
      </c>
      <c r="V8" s="6">
        <v>3297736</v>
      </c>
      <c r="W8" s="6"/>
      <c r="X8" s="6"/>
      <c r="Y8" s="6"/>
      <c r="Z8" s="6"/>
    </row>
    <row r="9" spans="1:26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  <c r="S9" s="4"/>
      <c r="T9" s="5"/>
      <c r="U9" s="6" t="s">
        <v>7</v>
      </c>
      <c r="V9" s="6">
        <v>2626657</v>
      </c>
      <c r="W9" s="6"/>
      <c r="X9" s="6"/>
      <c r="Y9" s="6"/>
      <c r="Z9" s="6"/>
    </row>
    <row r="10" spans="1:26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  <c r="S10" s="4"/>
      <c r="T10" s="5"/>
      <c r="U10" s="6"/>
      <c r="V10" s="6"/>
      <c r="W10" s="6"/>
      <c r="X10" s="6"/>
      <c r="Y10" s="6"/>
      <c r="Z10" s="6"/>
    </row>
    <row r="11" spans="1:26">
      <c r="A11" s="531" t="s">
        <v>462</v>
      </c>
      <c r="B11" s="532"/>
      <c r="C11" s="532"/>
      <c r="D11" s="532"/>
      <c r="E11" s="532"/>
      <c r="F11" s="532"/>
      <c r="G11" s="533"/>
      <c r="H11" s="10">
        <f>SUM(D4:D9)</f>
        <v>19232581</v>
      </c>
      <c r="J11" s="531" t="s">
        <v>462</v>
      </c>
      <c r="K11" s="532"/>
      <c r="L11" s="532"/>
      <c r="M11" s="532"/>
      <c r="N11" s="532"/>
      <c r="O11" s="532"/>
      <c r="P11" s="533"/>
      <c r="Q11" s="10">
        <f>SUM(M4:M9)</f>
        <v>19232581</v>
      </c>
      <c r="S11" s="531" t="s">
        <v>462</v>
      </c>
      <c r="T11" s="532"/>
      <c r="U11" s="532"/>
      <c r="V11" s="532"/>
      <c r="W11" s="532"/>
      <c r="X11" s="532"/>
      <c r="Y11" s="533"/>
      <c r="Z11" s="10">
        <f>SUM(V4:V9)</f>
        <v>19232581</v>
      </c>
    </row>
    <row r="12" spans="1:26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  <c r="S12" s="535" t="s">
        <v>8</v>
      </c>
      <c r="T12" s="535"/>
      <c r="U12" s="535"/>
      <c r="V12" s="535"/>
      <c r="W12" s="535"/>
      <c r="X12" s="535"/>
      <c r="Y12" s="535"/>
      <c r="Z12" s="535"/>
    </row>
    <row r="13" spans="1:26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  <c r="S13" s="536" t="s">
        <v>9</v>
      </c>
      <c r="T13" s="537" t="s">
        <v>10</v>
      </c>
      <c r="U13" s="538" t="s">
        <v>11</v>
      </c>
      <c r="V13" s="538" t="s">
        <v>12</v>
      </c>
      <c r="W13" s="530" t="s">
        <v>13</v>
      </c>
      <c r="X13" s="530"/>
      <c r="Y13" s="530"/>
      <c r="Z13" s="530"/>
    </row>
    <row r="14" spans="1:26">
      <c r="A14" s="536"/>
      <c r="B14" s="537"/>
      <c r="C14" s="538"/>
      <c r="D14" s="538"/>
      <c r="E14" s="174" t="s">
        <v>14</v>
      </c>
      <c r="F14" s="174" t="s">
        <v>15</v>
      </c>
      <c r="G14" s="174" t="s">
        <v>16</v>
      </c>
      <c r="H14" s="174" t="s">
        <v>17</v>
      </c>
      <c r="J14" s="536"/>
      <c r="K14" s="537"/>
      <c r="L14" s="538"/>
      <c r="M14" s="538"/>
      <c r="N14" s="181" t="s">
        <v>14</v>
      </c>
      <c r="O14" s="181" t="s">
        <v>15</v>
      </c>
      <c r="P14" s="181" t="s">
        <v>16</v>
      </c>
      <c r="Q14" s="181" t="s">
        <v>17</v>
      </c>
      <c r="S14" s="536"/>
      <c r="T14" s="537"/>
      <c r="U14" s="538"/>
      <c r="V14" s="538"/>
      <c r="W14" s="200" t="s">
        <v>14</v>
      </c>
      <c r="X14" s="200" t="s">
        <v>15</v>
      </c>
      <c r="Y14" s="200" t="s">
        <v>16</v>
      </c>
      <c r="Z14" s="200" t="s">
        <v>17</v>
      </c>
    </row>
    <row r="15" spans="1:26">
      <c r="A15" s="12"/>
      <c r="B15" s="19"/>
      <c r="C15" s="14"/>
      <c r="E15" s="168"/>
      <c r="F15" s="168"/>
      <c r="G15" s="168"/>
      <c r="H15" s="168"/>
      <c r="J15" s="12"/>
      <c r="K15" s="19"/>
      <c r="L15" s="14"/>
      <c r="N15" s="168"/>
      <c r="O15" s="168"/>
      <c r="P15" s="168"/>
      <c r="Q15" s="168"/>
      <c r="S15" s="12"/>
      <c r="T15" s="19" t="s">
        <v>489</v>
      </c>
      <c r="U15" s="14" t="s">
        <v>490</v>
      </c>
      <c r="V15" s="77">
        <v>1590000</v>
      </c>
      <c r="W15" s="168"/>
      <c r="X15" s="168"/>
      <c r="Y15" s="168"/>
      <c r="Z15" s="168"/>
    </row>
    <row r="16" spans="1:26">
      <c r="A16" s="12"/>
      <c r="B16" s="13"/>
      <c r="C16" s="14"/>
      <c r="D16" s="167"/>
      <c r="E16" s="16"/>
      <c r="F16" s="16"/>
      <c r="G16" s="16"/>
      <c r="H16" s="16"/>
      <c r="J16" s="12"/>
      <c r="K16" s="13"/>
      <c r="L16" s="14"/>
      <c r="M16" s="167"/>
      <c r="N16" s="16"/>
      <c r="O16" s="16"/>
      <c r="P16" s="16"/>
      <c r="Q16" s="16"/>
      <c r="S16" s="12"/>
      <c r="T16" s="19" t="s">
        <v>489</v>
      </c>
      <c r="U16" s="14" t="s">
        <v>491</v>
      </c>
      <c r="V16" s="167">
        <v>30000</v>
      </c>
      <c r="W16" s="16"/>
      <c r="X16" s="16"/>
      <c r="Y16" s="16"/>
      <c r="Z16" s="16"/>
    </row>
    <row r="17" spans="1:26">
      <c r="A17" s="12"/>
      <c r="B17" s="13"/>
      <c r="C17" s="14"/>
      <c r="D17" s="15"/>
      <c r="E17" s="16"/>
      <c r="F17" s="16"/>
      <c r="G17" s="16"/>
      <c r="H17" s="16"/>
      <c r="J17" s="12"/>
      <c r="K17" s="13"/>
      <c r="L17" s="14"/>
      <c r="M17" s="15"/>
      <c r="N17" s="16"/>
      <c r="O17" s="16"/>
      <c r="P17" s="16"/>
      <c r="Q17" s="16"/>
      <c r="S17" s="12"/>
      <c r="T17" s="13"/>
      <c r="U17" s="14">
        <v>0</v>
      </c>
      <c r="V17" s="15"/>
      <c r="W17" s="16"/>
      <c r="X17" s="16"/>
      <c r="Y17" s="16"/>
      <c r="Z17" s="16"/>
    </row>
    <row r="18" spans="1:26">
      <c r="A18" s="18"/>
      <c r="B18" s="19"/>
      <c r="C18" s="174" t="s">
        <v>20</v>
      </c>
      <c r="D18" s="10">
        <f>SUM(D16:D17)</f>
        <v>0</v>
      </c>
      <c r="E18" s="10"/>
      <c r="F18" s="10"/>
      <c r="G18" s="10"/>
      <c r="H18" s="10"/>
      <c r="J18" s="18"/>
      <c r="K18" s="19"/>
      <c r="L18" s="181" t="s">
        <v>20</v>
      </c>
      <c r="M18" s="10">
        <f>SUM(M16:M17)</f>
        <v>0</v>
      </c>
      <c r="N18" s="10"/>
      <c r="O18" s="10"/>
      <c r="P18" s="10"/>
      <c r="Q18" s="10"/>
      <c r="S18" s="18"/>
      <c r="T18" s="19"/>
      <c r="U18" s="200" t="s">
        <v>20</v>
      </c>
      <c r="V18" s="10">
        <f>SUM(V15:V17)</f>
        <v>1620000</v>
      </c>
      <c r="W18" s="10"/>
      <c r="X18" s="10"/>
      <c r="Y18" s="10"/>
      <c r="Z18" s="10"/>
    </row>
    <row r="19" spans="1:26">
      <c r="A19" s="20"/>
      <c r="B19" s="172"/>
      <c r="C19" s="152" t="s">
        <v>21</v>
      </c>
      <c r="D19" s="150"/>
      <c r="E19" s="150"/>
      <c r="F19" s="150"/>
      <c r="G19" s="151"/>
      <c r="H19" s="21">
        <f>+D18</f>
        <v>0</v>
      </c>
      <c r="J19" s="20"/>
      <c r="K19" s="182"/>
      <c r="L19" s="152" t="s">
        <v>21</v>
      </c>
      <c r="M19" s="150"/>
      <c r="N19" s="150"/>
      <c r="O19" s="150"/>
      <c r="P19" s="151"/>
      <c r="Q19" s="21">
        <f>+M18</f>
        <v>0</v>
      </c>
      <c r="S19" s="20"/>
      <c r="T19" s="201"/>
      <c r="U19" s="152" t="s">
        <v>21</v>
      </c>
      <c r="V19" s="150"/>
      <c r="W19" s="150"/>
      <c r="X19" s="150"/>
      <c r="Y19" s="151"/>
      <c r="Z19" s="21">
        <f>+V18</f>
        <v>1620000</v>
      </c>
    </row>
    <row r="20" spans="1:26">
      <c r="A20" s="526" t="s">
        <v>22</v>
      </c>
      <c r="B20" s="526"/>
      <c r="C20" s="526"/>
      <c r="D20" s="526"/>
      <c r="E20" s="526">
        <f>+H19</f>
        <v>0</v>
      </c>
      <c r="F20" s="526"/>
      <c r="G20" s="526"/>
      <c r="H20" s="526"/>
      <c r="J20" s="526" t="s">
        <v>22</v>
      </c>
      <c r="K20" s="526"/>
      <c r="L20" s="526"/>
      <c r="M20" s="526"/>
      <c r="N20" s="526">
        <f>+Q19</f>
        <v>0</v>
      </c>
      <c r="O20" s="526"/>
      <c r="P20" s="526"/>
      <c r="Q20" s="526"/>
      <c r="S20" s="526" t="s">
        <v>22</v>
      </c>
      <c r="T20" s="526"/>
      <c r="U20" s="526"/>
      <c r="V20" s="526"/>
      <c r="W20" s="526">
        <f>+Z19</f>
        <v>1620000</v>
      </c>
      <c r="X20" s="526"/>
      <c r="Y20" s="526"/>
      <c r="Z20" s="526"/>
    </row>
    <row r="21" spans="1:26">
      <c r="A21" s="524" t="s">
        <v>23</v>
      </c>
      <c r="B21" s="524"/>
      <c r="C21" s="524"/>
      <c r="D21" s="524"/>
      <c r="E21" s="524"/>
      <c r="F21" s="524"/>
      <c r="G21" s="524"/>
      <c r="H21" s="524"/>
      <c r="J21" s="524" t="s">
        <v>23</v>
      </c>
      <c r="K21" s="524"/>
      <c r="L21" s="524"/>
      <c r="M21" s="524"/>
      <c r="N21" s="524"/>
      <c r="O21" s="524"/>
      <c r="P21" s="524"/>
      <c r="Q21" s="524"/>
      <c r="S21" s="524" t="s">
        <v>23</v>
      </c>
      <c r="T21" s="524"/>
      <c r="U21" s="524"/>
      <c r="V21" s="524"/>
      <c r="W21" s="524"/>
      <c r="X21" s="524"/>
      <c r="Y21" s="524"/>
      <c r="Z21" s="524"/>
    </row>
    <row r="22" spans="1:26">
      <c r="A22" s="12"/>
      <c r="B22" s="13" t="s">
        <v>430</v>
      </c>
      <c r="C22" s="15" t="s">
        <v>471</v>
      </c>
      <c r="D22" s="22">
        <v>750000</v>
      </c>
      <c r="E22" s="22"/>
      <c r="F22" s="22"/>
      <c r="G22" s="16"/>
      <c r="H22" s="16"/>
      <c r="J22" s="12"/>
      <c r="K22" s="13" t="s">
        <v>430</v>
      </c>
      <c r="L22" s="15" t="s">
        <v>432</v>
      </c>
      <c r="M22" s="22">
        <v>750000</v>
      </c>
      <c r="N22" s="22"/>
      <c r="O22" s="22"/>
      <c r="P22" s="16"/>
      <c r="Q22" s="16"/>
      <c r="S22" s="12"/>
      <c r="T22" s="13" t="s">
        <v>485</v>
      </c>
      <c r="U22" s="15" t="s">
        <v>486</v>
      </c>
      <c r="V22" s="22">
        <v>4877000</v>
      </c>
      <c r="W22" s="22"/>
      <c r="X22" s="22"/>
      <c r="Y22" s="16"/>
      <c r="Z22" s="16"/>
    </row>
    <row r="23" spans="1:26">
      <c r="A23" s="12"/>
      <c r="B23" s="13" t="s">
        <v>430</v>
      </c>
      <c r="C23" s="15" t="s">
        <v>431</v>
      </c>
      <c r="D23" s="22">
        <v>1395000</v>
      </c>
      <c r="E23" s="22"/>
      <c r="F23" s="22"/>
      <c r="G23" s="16"/>
      <c r="H23" s="16"/>
      <c r="J23" s="12"/>
      <c r="K23" s="13" t="s">
        <v>430</v>
      </c>
      <c r="L23" s="15" t="s">
        <v>431</v>
      </c>
      <c r="M23" s="22">
        <v>1395000</v>
      </c>
      <c r="N23" s="22"/>
      <c r="O23" s="22"/>
      <c r="P23" s="16"/>
      <c r="Q23" s="16"/>
      <c r="S23" s="12"/>
      <c r="T23" s="13" t="s">
        <v>487</v>
      </c>
      <c r="U23" s="15" t="s">
        <v>488</v>
      </c>
      <c r="V23" s="22"/>
      <c r="W23" s="22"/>
      <c r="X23" s="22"/>
      <c r="Y23" s="16"/>
      <c r="Z23" s="16"/>
    </row>
    <row r="24" spans="1:26">
      <c r="A24" s="12"/>
      <c r="B24" s="13" t="s">
        <v>433</v>
      </c>
      <c r="C24" s="15" t="s">
        <v>470</v>
      </c>
      <c r="D24" s="23">
        <v>900000</v>
      </c>
      <c r="E24" s="22"/>
      <c r="F24" s="22"/>
      <c r="G24" s="16"/>
      <c r="H24" s="16"/>
      <c r="J24" s="12"/>
      <c r="K24" s="13" t="s">
        <v>433</v>
      </c>
      <c r="L24" s="15" t="s">
        <v>505</v>
      </c>
      <c r="M24" s="23">
        <v>900000</v>
      </c>
      <c r="N24" s="22"/>
      <c r="O24" s="22"/>
      <c r="P24" s="16"/>
      <c r="Q24" s="16"/>
      <c r="S24" s="12"/>
      <c r="T24" s="13" t="s">
        <v>433</v>
      </c>
      <c r="U24" s="15"/>
      <c r="V24" s="23"/>
      <c r="W24" s="22"/>
      <c r="X24" s="22"/>
      <c r="Y24" s="16"/>
      <c r="Z24" s="16"/>
    </row>
    <row r="25" spans="1:26">
      <c r="A25" s="12"/>
      <c r="B25" s="13" t="s">
        <v>433</v>
      </c>
      <c r="C25" s="15" t="s">
        <v>434</v>
      </c>
      <c r="D25" s="23">
        <v>1377000</v>
      </c>
      <c r="E25" s="22"/>
      <c r="F25" s="22"/>
      <c r="G25" s="16"/>
      <c r="H25" s="16"/>
      <c r="J25" s="12"/>
      <c r="K25" s="13" t="s">
        <v>433</v>
      </c>
      <c r="L25" s="15" t="s">
        <v>434</v>
      </c>
      <c r="M25" s="23">
        <v>1377000</v>
      </c>
      <c r="N25" s="22"/>
      <c r="O25" s="22"/>
      <c r="P25" s="16"/>
      <c r="Q25" s="16"/>
      <c r="S25" s="12"/>
      <c r="T25" s="13" t="s">
        <v>433</v>
      </c>
      <c r="U25" s="15"/>
      <c r="V25" s="23"/>
      <c r="W25" s="22"/>
      <c r="X25" s="22"/>
      <c r="Y25" s="16"/>
      <c r="Z25" s="16"/>
    </row>
    <row r="26" spans="1:26">
      <c r="A26" s="12"/>
      <c r="B26" s="13" t="s">
        <v>441</v>
      </c>
      <c r="C26" s="15" t="s">
        <v>442</v>
      </c>
      <c r="D26" s="23">
        <v>260000</v>
      </c>
      <c r="E26" s="22"/>
      <c r="F26" s="22"/>
      <c r="G26" s="16"/>
      <c r="H26" s="16"/>
      <c r="J26" s="12"/>
      <c r="K26" s="13" t="s">
        <v>441</v>
      </c>
      <c r="L26" s="15" t="s">
        <v>442</v>
      </c>
      <c r="M26" s="23">
        <v>260000</v>
      </c>
      <c r="N26" s="22"/>
      <c r="O26" s="22"/>
      <c r="P26" s="16"/>
      <c r="Q26" s="16"/>
      <c r="S26" s="12"/>
      <c r="T26" s="13" t="s">
        <v>441</v>
      </c>
      <c r="U26" s="15"/>
      <c r="V26" s="23"/>
      <c r="W26" s="22"/>
      <c r="X26" s="22"/>
      <c r="Y26" s="16"/>
      <c r="Z26" s="16"/>
    </row>
    <row r="27" spans="1:26">
      <c r="A27" s="12"/>
      <c r="B27" s="13" t="s">
        <v>441</v>
      </c>
      <c r="C27" s="183" t="s">
        <v>443</v>
      </c>
      <c r="D27" s="23">
        <v>150000</v>
      </c>
      <c r="E27" s="22"/>
      <c r="F27" s="22"/>
      <c r="G27" s="16"/>
      <c r="H27" s="16"/>
      <c r="J27" s="12"/>
      <c r="K27" s="13" t="s">
        <v>441</v>
      </c>
      <c r="L27" s="15" t="s">
        <v>443</v>
      </c>
      <c r="M27" s="23">
        <v>150000</v>
      </c>
      <c r="N27" s="22"/>
      <c r="O27" s="22"/>
      <c r="P27" s="16"/>
      <c r="Q27" s="16"/>
      <c r="S27" s="12"/>
      <c r="T27" s="13" t="s">
        <v>441</v>
      </c>
      <c r="U27" s="15"/>
      <c r="V27" s="23"/>
      <c r="W27" s="22"/>
      <c r="X27" s="22"/>
      <c r="Y27" s="16"/>
      <c r="Z27" s="16"/>
    </row>
    <row r="28" spans="1:26">
      <c r="A28" s="12"/>
      <c r="B28" s="13" t="s">
        <v>441</v>
      </c>
      <c r="C28" s="15" t="s">
        <v>444</v>
      </c>
      <c r="D28" s="23">
        <v>1055000</v>
      </c>
      <c r="E28" s="22"/>
      <c r="F28" s="22"/>
      <c r="G28" s="16"/>
      <c r="H28" s="16"/>
      <c r="J28" s="12"/>
      <c r="K28" s="13" t="s">
        <v>441</v>
      </c>
      <c r="L28" s="15" t="s">
        <v>444</v>
      </c>
      <c r="M28" s="23">
        <v>1055000</v>
      </c>
      <c r="N28" s="22"/>
      <c r="O28" s="22"/>
      <c r="P28" s="16"/>
      <c r="Q28" s="16"/>
      <c r="S28" s="12"/>
      <c r="T28" s="13" t="s">
        <v>441</v>
      </c>
      <c r="U28" s="15"/>
      <c r="V28" s="23"/>
      <c r="W28" s="22"/>
      <c r="X28" s="22"/>
      <c r="Y28" s="16"/>
      <c r="Z28" s="16"/>
    </row>
    <row r="29" spans="1:26">
      <c r="A29" s="12"/>
      <c r="B29" s="13" t="s">
        <v>435</v>
      </c>
      <c r="C29" s="15" t="s">
        <v>436</v>
      </c>
      <c r="D29" s="23">
        <v>1210000</v>
      </c>
      <c r="E29" s="22"/>
      <c r="F29" s="22"/>
      <c r="G29" s="16"/>
      <c r="H29" s="16"/>
      <c r="J29" s="12"/>
      <c r="K29" s="13" t="s">
        <v>435</v>
      </c>
      <c r="L29" s="15" t="s">
        <v>436</v>
      </c>
      <c r="M29" s="23">
        <v>1210000</v>
      </c>
      <c r="N29" s="22"/>
      <c r="O29" s="22"/>
      <c r="P29" s="16"/>
      <c r="Q29" s="16"/>
      <c r="S29" s="12"/>
      <c r="T29" s="13" t="s">
        <v>435</v>
      </c>
      <c r="U29" s="15"/>
      <c r="V29" s="23"/>
      <c r="W29" s="22"/>
      <c r="X29" s="22"/>
      <c r="Y29" s="16"/>
      <c r="Z29" s="16"/>
    </row>
    <row r="30" spans="1:26">
      <c r="A30" s="12"/>
      <c r="B30" s="13" t="s">
        <v>435</v>
      </c>
      <c r="C30" s="15" t="s">
        <v>437</v>
      </c>
      <c r="D30" s="23">
        <v>200000</v>
      </c>
      <c r="E30" s="22"/>
      <c r="F30" s="22"/>
      <c r="G30" s="16"/>
      <c r="H30" s="16"/>
      <c r="J30" s="12"/>
      <c r="K30" s="13" t="s">
        <v>435</v>
      </c>
      <c r="L30" s="15" t="s">
        <v>437</v>
      </c>
      <c r="M30" s="23">
        <v>200000</v>
      </c>
      <c r="N30" s="22"/>
      <c r="O30" s="22"/>
      <c r="P30" s="16"/>
      <c r="Q30" s="16"/>
      <c r="S30" s="12"/>
      <c r="T30" s="13" t="s">
        <v>435</v>
      </c>
      <c r="U30" s="15"/>
      <c r="V30" s="23"/>
      <c r="W30" s="22"/>
      <c r="X30" s="22"/>
      <c r="Y30" s="16"/>
      <c r="Z30" s="16"/>
    </row>
    <row r="31" spans="1:26">
      <c r="A31" s="12"/>
      <c r="B31" s="13" t="s">
        <v>435</v>
      </c>
      <c r="C31" s="15" t="s">
        <v>438</v>
      </c>
      <c r="D31" s="23">
        <v>300000</v>
      </c>
      <c r="E31" s="22"/>
      <c r="F31" s="22"/>
      <c r="G31" s="16"/>
      <c r="H31" s="16"/>
      <c r="J31" s="12"/>
      <c r="K31" s="13" t="s">
        <v>435</v>
      </c>
      <c r="L31" s="15" t="s">
        <v>438</v>
      </c>
      <c r="M31" s="23">
        <v>300000</v>
      </c>
      <c r="N31" s="22"/>
      <c r="O31" s="22"/>
      <c r="P31" s="16"/>
      <c r="Q31" s="16"/>
      <c r="S31" s="12"/>
      <c r="T31" s="13" t="s">
        <v>435</v>
      </c>
      <c r="U31" s="15"/>
      <c r="V31" s="23"/>
      <c r="W31" s="22"/>
      <c r="X31" s="22"/>
      <c r="Y31" s="16"/>
      <c r="Z31" s="16"/>
    </row>
    <row r="32" spans="1:26">
      <c r="A32" s="12"/>
      <c r="B32" s="13" t="s">
        <v>435</v>
      </c>
      <c r="C32" s="15" t="s">
        <v>439</v>
      </c>
      <c r="D32" s="23">
        <v>400000</v>
      </c>
      <c r="E32" s="22"/>
      <c r="F32" s="22"/>
      <c r="G32" s="16"/>
      <c r="H32" s="16"/>
      <c r="J32" s="12"/>
      <c r="K32" s="13" t="s">
        <v>435</v>
      </c>
      <c r="L32" s="15" t="s">
        <v>439</v>
      </c>
      <c r="M32" s="23">
        <v>400000</v>
      </c>
      <c r="N32" s="22"/>
      <c r="O32" s="22"/>
      <c r="P32" s="16"/>
      <c r="Q32" s="16"/>
      <c r="S32" s="12"/>
      <c r="T32" s="13" t="s">
        <v>435</v>
      </c>
      <c r="U32" s="15"/>
      <c r="V32" s="23"/>
      <c r="W32" s="22"/>
      <c r="X32" s="22"/>
      <c r="Y32" s="16"/>
      <c r="Z32" s="16"/>
    </row>
    <row r="33" spans="1:26">
      <c r="A33" s="12"/>
      <c r="B33" s="13" t="s">
        <v>435</v>
      </c>
      <c r="C33" s="15" t="s">
        <v>150</v>
      </c>
      <c r="D33" s="23">
        <v>150000</v>
      </c>
      <c r="E33" s="22"/>
      <c r="F33" s="22"/>
      <c r="G33" s="16"/>
      <c r="H33" s="16"/>
      <c r="J33" s="12"/>
      <c r="K33" s="13" t="s">
        <v>435</v>
      </c>
      <c r="L33" s="15" t="s">
        <v>150</v>
      </c>
      <c r="M33" s="23">
        <v>150000</v>
      </c>
      <c r="N33" s="22"/>
      <c r="O33" s="22"/>
      <c r="P33" s="16"/>
      <c r="Q33" s="16"/>
      <c r="S33" s="12"/>
      <c r="T33" s="13" t="s">
        <v>435</v>
      </c>
      <c r="U33" s="15"/>
      <c r="V33" s="23"/>
      <c r="W33" s="22"/>
      <c r="X33" s="22"/>
      <c r="Y33" s="16"/>
      <c r="Z33" s="16"/>
    </row>
    <row r="34" spans="1:26">
      <c r="A34" s="12"/>
      <c r="B34" s="13" t="s">
        <v>435</v>
      </c>
      <c r="C34" s="15" t="s">
        <v>440</v>
      </c>
      <c r="D34" s="23">
        <v>5000000</v>
      </c>
      <c r="E34" s="22"/>
      <c r="F34" s="22"/>
      <c r="G34" s="16"/>
      <c r="H34" s="16"/>
      <c r="J34" s="12"/>
      <c r="K34" s="13" t="s">
        <v>435</v>
      </c>
      <c r="L34" s="15" t="s">
        <v>440</v>
      </c>
      <c r="M34" s="23">
        <v>5000000</v>
      </c>
      <c r="N34" s="22"/>
      <c r="O34" s="22"/>
      <c r="P34" s="16"/>
      <c r="Q34" s="16"/>
      <c r="S34" s="12"/>
      <c r="T34" s="13" t="s">
        <v>435</v>
      </c>
      <c r="U34" s="15"/>
      <c r="V34" s="23"/>
      <c r="W34" s="22"/>
      <c r="X34" s="22"/>
      <c r="Y34" s="16"/>
      <c r="Z34" s="16"/>
    </row>
    <row r="35" spans="1:26">
      <c r="A35" s="12"/>
      <c r="B35" s="13"/>
      <c r="C35" s="15"/>
      <c r="D35" s="23"/>
      <c r="E35" s="22"/>
      <c r="F35" s="22"/>
      <c r="G35" s="16"/>
      <c r="H35" s="16"/>
      <c r="J35" s="12"/>
      <c r="K35" s="13"/>
      <c r="L35" s="15"/>
      <c r="M35" s="23"/>
      <c r="N35" s="22"/>
      <c r="O35" s="22"/>
      <c r="P35" s="16"/>
      <c r="Q35" s="16"/>
      <c r="S35" s="12"/>
      <c r="T35" s="13"/>
      <c r="U35" s="15"/>
      <c r="V35" s="23"/>
      <c r="W35" s="22"/>
      <c r="X35" s="22"/>
      <c r="Y35" s="16"/>
      <c r="Z35" s="16"/>
    </row>
    <row r="36" spans="1:26" hidden="1">
      <c r="A36" s="12"/>
      <c r="B36" s="13"/>
      <c r="C36" s="15"/>
      <c r="D36" s="23"/>
      <c r="E36" s="22"/>
      <c r="F36" s="22"/>
      <c r="G36" s="16"/>
      <c r="H36" s="16"/>
      <c r="J36" s="12"/>
      <c r="K36" s="13"/>
      <c r="L36" s="15"/>
      <c r="M36" s="23"/>
      <c r="N36" s="22"/>
      <c r="O36" s="22"/>
      <c r="P36" s="16"/>
      <c r="Q36" s="16"/>
      <c r="S36" s="12"/>
      <c r="T36" s="13"/>
      <c r="U36" s="15"/>
      <c r="V36" s="23"/>
      <c r="W36" s="22"/>
      <c r="X36" s="22"/>
      <c r="Y36" s="16"/>
      <c r="Z36" s="16"/>
    </row>
    <row r="37" spans="1:26" hidden="1">
      <c r="A37" s="12"/>
      <c r="B37" s="13"/>
      <c r="C37" s="15"/>
      <c r="D37" s="23"/>
      <c r="E37" s="22"/>
      <c r="F37" s="22"/>
      <c r="G37" s="16"/>
      <c r="H37" s="16"/>
      <c r="J37" s="12"/>
      <c r="K37" s="13"/>
      <c r="L37" s="15"/>
      <c r="M37" s="23"/>
      <c r="N37" s="22"/>
      <c r="O37" s="22"/>
      <c r="P37" s="16"/>
      <c r="Q37" s="16"/>
      <c r="S37" s="12"/>
      <c r="T37" s="13"/>
      <c r="U37" s="15"/>
      <c r="V37" s="23"/>
      <c r="W37" s="22"/>
      <c r="X37" s="22"/>
      <c r="Y37" s="16"/>
      <c r="Z37" s="16"/>
    </row>
    <row r="38" spans="1:26">
      <c r="A38" s="25"/>
      <c r="B38" s="19"/>
      <c r="C38" s="26" t="s">
        <v>24</v>
      </c>
      <c r="D38" s="27">
        <f>SUM(D22:D37)</f>
        <v>13147000</v>
      </c>
      <c r="E38" s="27"/>
      <c r="F38" s="27"/>
      <c r="G38" s="27"/>
      <c r="H38" s="27"/>
      <c r="J38" s="25"/>
      <c r="K38" s="19"/>
      <c r="L38" s="26" t="s">
        <v>24</v>
      </c>
      <c r="M38" s="27">
        <f>SUM(M22:M37)</f>
        <v>13147000</v>
      </c>
      <c r="N38" s="27"/>
      <c r="O38" s="27"/>
      <c r="P38" s="27"/>
      <c r="Q38" s="27"/>
      <c r="S38" s="25"/>
      <c r="T38" s="19"/>
      <c r="U38" s="26" t="s">
        <v>24</v>
      </c>
      <c r="V38" s="27">
        <f>SUM(V22:V37)</f>
        <v>4877000</v>
      </c>
      <c r="W38" s="27"/>
      <c r="X38" s="27"/>
      <c r="Y38" s="27"/>
      <c r="Z38" s="27"/>
    </row>
    <row r="39" spans="1:26">
      <c r="A39" s="20"/>
      <c r="B39" s="19"/>
      <c r="C39" s="174" t="s">
        <v>21</v>
      </c>
      <c r="D39" s="10"/>
      <c r="E39" s="530">
        <f>D38</f>
        <v>13147000</v>
      </c>
      <c r="F39" s="530"/>
      <c r="G39" s="530"/>
      <c r="H39" s="530"/>
      <c r="J39" s="20"/>
      <c r="K39" s="19"/>
      <c r="L39" s="181" t="s">
        <v>21</v>
      </c>
      <c r="M39" s="10"/>
      <c r="N39" s="530">
        <f>M38</f>
        <v>13147000</v>
      </c>
      <c r="O39" s="530"/>
      <c r="P39" s="530"/>
      <c r="Q39" s="530"/>
      <c r="S39" s="20"/>
      <c r="T39" s="19"/>
      <c r="U39" s="200" t="s">
        <v>21</v>
      </c>
      <c r="V39" s="10"/>
      <c r="W39" s="530">
        <f>V38</f>
        <v>4877000</v>
      </c>
      <c r="X39" s="530"/>
      <c r="Y39" s="530"/>
      <c r="Z39" s="530"/>
    </row>
    <row r="40" spans="1:26">
      <c r="A40" s="524" t="s">
        <v>349</v>
      </c>
      <c r="B40" s="524"/>
      <c r="C40" s="524"/>
      <c r="D40" s="524"/>
      <c r="E40" s="524"/>
      <c r="F40" s="524"/>
      <c r="G40" s="524"/>
      <c r="H40" s="524"/>
      <c r="J40" s="524" t="s">
        <v>349</v>
      </c>
      <c r="K40" s="524"/>
      <c r="L40" s="524"/>
      <c r="M40" s="524"/>
      <c r="N40" s="524"/>
      <c r="O40" s="524"/>
      <c r="P40" s="524"/>
      <c r="Q40" s="524"/>
      <c r="S40" s="524" t="s">
        <v>349</v>
      </c>
      <c r="T40" s="524"/>
      <c r="U40" s="524"/>
      <c r="V40" s="524"/>
      <c r="W40" s="524"/>
      <c r="X40" s="524"/>
      <c r="Y40" s="524"/>
      <c r="Z40" s="524"/>
    </row>
    <row r="41" spans="1:26">
      <c r="A41" s="28"/>
      <c r="B41" s="23" t="s">
        <v>447</v>
      </c>
      <c r="C41" s="23" t="s">
        <v>445</v>
      </c>
      <c r="D41" s="23">
        <v>3150000</v>
      </c>
      <c r="E41" s="28"/>
      <c r="F41" s="28"/>
      <c r="G41" s="28"/>
      <c r="H41" s="28"/>
      <c r="J41" s="28"/>
      <c r="K41" s="23" t="s">
        <v>447</v>
      </c>
      <c r="L41" s="23" t="s">
        <v>445</v>
      </c>
      <c r="M41" s="23">
        <v>3150000</v>
      </c>
      <c r="N41" s="28"/>
      <c r="O41" s="28"/>
      <c r="P41" s="28"/>
      <c r="Q41" s="28"/>
      <c r="S41" s="28"/>
      <c r="T41" s="23" t="s">
        <v>447</v>
      </c>
      <c r="U41" s="23" t="s">
        <v>445</v>
      </c>
      <c r="V41" s="23"/>
      <c r="W41" s="28"/>
      <c r="X41" s="28"/>
      <c r="Y41" s="28"/>
      <c r="Z41" s="28"/>
    </row>
    <row r="42" spans="1:26">
      <c r="A42" s="28"/>
      <c r="B42" s="23" t="s">
        <v>447</v>
      </c>
      <c r="C42" s="23" t="s">
        <v>446</v>
      </c>
      <c r="D42" s="23">
        <v>12000</v>
      </c>
      <c r="E42" s="28"/>
      <c r="F42" s="28"/>
      <c r="G42" s="28"/>
      <c r="H42" s="28"/>
      <c r="J42" s="28"/>
      <c r="K42" s="23" t="s">
        <v>447</v>
      </c>
      <c r="L42" s="23" t="s">
        <v>446</v>
      </c>
      <c r="M42" s="23"/>
      <c r="N42" s="28"/>
      <c r="O42" s="28"/>
      <c r="P42" s="28"/>
      <c r="Q42" s="28"/>
      <c r="S42" s="28"/>
      <c r="T42" s="23" t="s">
        <v>447</v>
      </c>
      <c r="U42" s="23" t="s">
        <v>446</v>
      </c>
      <c r="V42" s="23">
        <v>12000</v>
      </c>
      <c r="W42" s="28"/>
      <c r="X42" s="28"/>
      <c r="Y42" s="28"/>
      <c r="Z42" s="28"/>
    </row>
    <row r="43" spans="1:26">
      <c r="A43" s="28"/>
      <c r="B43" s="23"/>
      <c r="C43" s="23"/>
      <c r="D43" s="23"/>
      <c r="E43" s="28"/>
      <c r="F43" s="28"/>
      <c r="G43" s="28"/>
      <c r="H43" s="28"/>
      <c r="J43" s="28"/>
      <c r="K43" s="23"/>
      <c r="L43" s="23"/>
      <c r="M43" s="23"/>
      <c r="N43" s="28"/>
      <c r="O43" s="28"/>
      <c r="P43" s="28"/>
      <c r="Q43" s="28"/>
      <c r="S43" s="28"/>
      <c r="T43" s="23"/>
      <c r="U43" s="23"/>
      <c r="V43" s="23"/>
      <c r="W43" s="28"/>
      <c r="X43" s="28"/>
      <c r="Y43" s="28"/>
      <c r="Z43" s="28"/>
    </row>
    <row r="44" spans="1:26" hidden="1">
      <c r="A44" s="28"/>
      <c r="B44" s="23"/>
      <c r="C44" s="23"/>
      <c r="D44" s="23"/>
      <c r="E44" s="28"/>
      <c r="F44" s="28"/>
      <c r="G44" s="28"/>
      <c r="H44" s="28"/>
      <c r="J44" s="28"/>
      <c r="K44" s="23"/>
      <c r="L44" s="23"/>
      <c r="M44" s="23"/>
      <c r="N44" s="28"/>
      <c r="O44" s="28"/>
      <c r="P44" s="28"/>
      <c r="Q44" s="28"/>
      <c r="S44" s="28"/>
      <c r="T44" s="23"/>
      <c r="U44" s="23"/>
      <c r="V44" s="23"/>
      <c r="W44" s="28"/>
      <c r="X44" s="28"/>
      <c r="Y44" s="28"/>
      <c r="Z44" s="28"/>
    </row>
    <row r="45" spans="1:26" hidden="1">
      <c r="A45" s="28"/>
      <c r="B45" s="23"/>
      <c r="C45" s="23"/>
      <c r="D45" s="23"/>
      <c r="E45" s="28"/>
      <c r="F45" s="28"/>
      <c r="G45" s="28"/>
      <c r="H45" s="28"/>
      <c r="J45" s="28"/>
      <c r="K45" s="23"/>
      <c r="L45" s="23"/>
      <c r="M45" s="23"/>
      <c r="N45" s="28"/>
      <c r="O45" s="28"/>
      <c r="P45" s="28"/>
      <c r="Q45" s="28"/>
      <c r="S45" s="28"/>
      <c r="T45" s="23"/>
      <c r="U45" s="23"/>
      <c r="V45" s="23"/>
      <c r="W45" s="28"/>
      <c r="X45" s="28"/>
      <c r="Y45" s="28"/>
      <c r="Z45" s="28"/>
    </row>
    <row r="46" spans="1:26" hidden="1">
      <c r="A46" s="28"/>
      <c r="B46" s="23"/>
      <c r="C46" s="23"/>
      <c r="D46" s="23"/>
      <c r="E46" s="28"/>
      <c r="F46" s="28"/>
      <c r="G46" s="28"/>
      <c r="H46" s="28"/>
      <c r="J46" s="28"/>
      <c r="K46" s="23"/>
      <c r="L46" s="23"/>
      <c r="M46" s="23"/>
      <c r="N46" s="28"/>
      <c r="O46" s="28"/>
      <c r="P46" s="28"/>
      <c r="Q46" s="28"/>
      <c r="S46" s="28"/>
      <c r="T46" s="23"/>
      <c r="U46" s="23"/>
      <c r="V46" s="23"/>
      <c r="W46" s="28"/>
      <c r="X46" s="28"/>
      <c r="Y46" s="28"/>
      <c r="Z46" s="28"/>
    </row>
    <row r="47" spans="1:26">
      <c r="A47" s="12"/>
      <c r="B47" s="13"/>
      <c r="C47" s="26" t="s">
        <v>448</v>
      </c>
      <c r="D47" s="27">
        <f>SUM(D41:D45)</f>
        <v>3162000</v>
      </c>
      <c r="E47" s="27">
        <v>0</v>
      </c>
      <c r="F47" s="27">
        <v>0</v>
      </c>
      <c r="G47" s="27"/>
      <c r="H47" s="27"/>
      <c r="J47" s="12"/>
      <c r="K47" s="13"/>
      <c r="L47" s="26" t="s">
        <v>448</v>
      </c>
      <c r="M47" s="27">
        <f>SUM(M41:M45)</f>
        <v>3150000</v>
      </c>
      <c r="N47" s="27">
        <v>0</v>
      </c>
      <c r="O47" s="27">
        <v>0</v>
      </c>
      <c r="P47" s="27"/>
      <c r="Q47" s="27"/>
      <c r="S47" s="12"/>
      <c r="T47" s="13"/>
      <c r="U47" s="26" t="s">
        <v>448</v>
      </c>
      <c r="V47" s="27">
        <f>SUM(V41:V45)</f>
        <v>12000</v>
      </c>
      <c r="W47" s="27">
        <v>0</v>
      </c>
      <c r="X47" s="27">
        <v>0</v>
      </c>
      <c r="Y47" s="27"/>
      <c r="Z47" s="27"/>
    </row>
    <row r="48" spans="1:26">
      <c r="A48" s="20"/>
      <c r="B48" s="19"/>
      <c r="C48" s="174" t="s">
        <v>21</v>
      </c>
      <c r="D48" s="10"/>
      <c r="E48" s="530">
        <f>D47</f>
        <v>3162000</v>
      </c>
      <c r="F48" s="530"/>
      <c r="G48" s="530"/>
      <c r="H48" s="530"/>
      <c r="J48" s="20"/>
      <c r="K48" s="19"/>
      <c r="L48" s="181" t="s">
        <v>21</v>
      </c>
      <c r="M48" s="10"/>
      <c r="N48" s="530">
        <f>M47</f>
        <v>3150000</v>
      </c>
      <c r="O48" s="530"/>
      <c r="P48" s="530"/>
      <c r="Q48" s="530"/>
      <c r="S48" s="20"/>
      <c r="T48" s="19"/>
      <c r="U48" s="200" t="s">
        <v>21</v>
      </c>
      <c r="V48" s="10"/>
      <c r="W48" s="530">
        <f>V47</f>
        <v>12000</v>
      </c>
      <c r="X48" s="530"/>
      <c r="Y48" s="530"/>
      <c r="Z48" s="530"/>
    </row>
    <row r="49" spans="1:28" hidden="1">
      <c r="A49" s="524" t="s">
        <v>372</v>
      </c>
      <c r="B49" s="524"/>
      <c r="C49" s="524"/>
      <c r="D49" s="524"/>
      <c r="E49" s="524"/>
      <c r="F49" s="524"/>
      <c r="G49" s="524"/>
      <c r="H49" s="524"/>
      <c r="J49" s="524" t="s">
        <v>372</v>
      </c>
      <c r="K49" s="524"/>
      <c r="L49" s="524"/>
      <c r="M49" s="524"/>
      <c r="N49" s="524"/>
      <c r="O49" s="524"/>
      <c r="P49" s="524"/>
      <c r="Q49" s="524"/>
      <c r="S49" s="524" t="s">
        <v>372</v>
      </c>
      <c r="T49" s="524"/>
      <c r="U49" s="524"/>
      <c r="V49" s="524"/>
      <c r="W49" s="524"/>
      <c r="X49" s="524"/>
      <c r="Y49" s="524"/>
      <c r="Z49" s="524"/>
    </row>
    <row r="50" spans="1:28" hidden="1">
      <c r="A50" s="28"/>
      <c r="B50" s="23" t="s">
        <v>374</v>
      </c>
      <c r="C50" s="23" t="s">
        <v>375</v>
      </c>
      <c r="D50" s="23"/>
      <c r="E50" s="28"/>
      <c r="F50" s="28"/>
      <c r="G50" s="28"/>
      <c r="H50" s="28"/>
      <c r="J50" s="28"/>
      <c r="K50" s="23" t="s">
        <v>374</v>
      </c>
      <c r="L50" s="23" t="s">
        <v>375</v>
      </c>
      <c r="M50" s="23"/>
      <c r="N50" s="28"/>
      <c r="O50" s="28"/>
      <c r="P50" s="28"/>
      <c r="Q50" s="28"/>
      <c r="S50" s="28"/>
      <c r="T50" s="23" t="s">
        <v>374</v>
      </c>
      <c r="U50" s="23" t="s">
        <v>375</v>
      </c>
      <c r="V50" s="23"/>
      <c r="W50" s="28"/>
      <c r="X50" s="28"/>
      <c r="Y50" s="28"/>
      <c r="Z50" s="28"/>
    </row>
    <row r="51" spans="1:28" hidden="1">
      <c r="A51" s="28"/>
      <c r="B51" s="23"/>
      <c r="C51" s="23"/>
      <c r="D51" s="23"/>
      <c r="E51" s="28"/>
      <c r="F51" s="28"/>
      <c r="G51" s="28"/>
      <c r="H51" s="28"/>
      <c r="J51" s="28"/>
      <c r="K51" s="23"/>
      <c r="L51" s="23"/>
      <c r="M51" s="23"/>
      <c r="N51" s="28"/>
      <c r="O51" s="28"/>
      <c r="P51" s="28"/>
      <c r="Q51" s="28"/>
      <c r="S51" s="28"/>
      <c r="T51" s="23"/>
      <c r="U51" s="23"/>
      <c r="V51" s="23"/>
      <c r="W51" s="28"/>
      <c r="X51" s="28"/>
      <c r="Y51" s="28"/>
      <c r="Z51" s="28"/>
    </row>
    <row r="52" spans="1:28" hidden="1">
      <c r="A52" s="28"/>
      <c r="B52" s="23"/>
      <c r="C52" s="23"/>
      <c r="D52" s="23"/>
      <c r="E52" s="28"/>
      <c r="F52" s="28"/>
      <c r="G52" s="28"/>
      <c r="H52" s="28"/>
      <c r="J52" s="28"/>
      <c r="K52" s="23"/>
      <c r="L52" s="23"/>
      <c r="M52" s="23"/>
      <c r="N52" s="28"/>
      <c r="O52" s="28"/>
      <c r="P52" s="28"/>
      <c r="Q52" s="28"/>
      <c r="S52" s="28"/>
      <c r="T52" s="23"/>
      <c r="U52" s="23"/>
      <c r="V52" s="23"/>
      <c r="W52" s="28"/>
      <c r="X52" s="28"/>
      <c r="Y52" s="28"/>
      <c r="Z52" s="28"/>
    </row>
    <row r="53" spans="1:28" hidden="1">
      <c r="A53" s="12"/>
      <c r="B53" s="13"/>
      <c r="C53" s="26" t="s">
        <v>373</v>
      </c>
      <c r="D53" s="27">
        <f>SUM(D50:D51)</f>
        <v>0</v>
      </c>
      <c r="E53" s="27">
        <v>0</v>
      </c>
      <c r="F53" s="27">
        <v>0</v>
      </c>
      <c r="G53" s="27"/>
      <c r="H53" s="27"/>
      <c r="J53" s="12"/>
      <c r="K53" s="13"/>
      <c r="L53" s="26" t="s">
        <v>373</v>
      </c>
      <c r="M53" s="27">
        <f>SUM(M50:M51)</f>
        <v>0</v>
      </c>
      <c r="N53" s="27">
        <v>0</v>
      </c>
      <c r="O53" s="27">
        <v>0</v>
      </c>
      <c r="P53" s="27"/>
      <c r="Q53" s="27"/>
      <c r="S53" s="12"/>
      <c r="T53" s="13"/>
      <c r="U53" s="26" t="s">
        <v>373</v>
      </c>
      <c r="V53" s="27">
        <f>SUM(V50:V51)</f>
        <v>0</v>
      </c>
      <c r="W53" s="27">
        <v>0</v>
      </c>
      <c r="X53" s="27">
        <v>0</v>
      </c>
      <c r="Y53" s="27"/>
      <c r="Z53" s="27"/>
    </row>
    <row r="54" spans="1:28" hidden="1">
      <c r="A54" s="20"/>
      <c r="B54" s="19"/>
      <c r="C54" s="174" t="s">
        <v>21</v>
      </c>
      <c r="D54" s="10"/>
      <c r="E54" s="530">
        <f>D53</f>
        <v>0</v>
      </c>
      <c r="F54" s="530"/>
      <c r="G54" s="530"/>
      <c r="H54" s="530"/>
      <c r="J54" s="20"/>
      <c r="K54" s="19"/>
      <c r="L54" s="181" t="s">
        <v>21</v>
      </c>
      <c r="M54" s="10"/>
      <c r="N54" s="530">
        <f>M53</f>
        <v>0</v>
      </c>
      <c r="O54" s="530"/>
      <c r="P54" s="530"/>
      <c r="Q54" s="530"/>
      <c r="S54" s="20"/>
      <c r="T54" s="19"/>
      <c r="U54" s="200" t="s">
        <v>21</v>
      </c>
      <c r="V54" s="10"/>
      <c r="W54" s="530">
        <f>V53</f>
        <v>0</v>
      </c>
      <c r="X54" s="530"/>
      <c r="Y54" s="530"/>
      <c r="Z54" s="530"/>
    </row>
    <row r="55" spans="1:28">
      <c r="A55" s="524" t="s">
        <v>54</v>
      </c>
      <c r="B55" s="524"/>
      <c r="C55" s="524"/>
      <c r="D55" s="524"/>
      <c r="E55" s="524"/>
      <c r="F55" s="524"/>
      <c r="G55" s="524"/>
      <c r="H55" s="524"/>
      <c r="J55" s="524" t="s">
        <v>54</v>
      </c>
      <c r="K55" s="524"/>
      <c r="L55" s="524"/>
      <c r="M55" s="524"/>
      <c r="N55" s="524"/>
      <c r="O55" s="524"/>
      <c r="P55" s="524"/>
      <c r="Q55" s="524"/>
      <c r="S55" s="524" t="s">
        <v>54</v>
      </c>
      <c r="T55" s="524"/>
      <c r="U55" s="524"/>
      <c r="V55" s="524"/>
      <c r="W55" s="524"/>
      <c r="X55" s="524"/>
      <c r="Y55" s="524"/>
      <c r="Z55" s="524"/>
    </row>
    <row r="56" spans="1:28">
      <c r="A56" s="28"/>
      <c r="B56" s="19" t="s">
        <v>452</v>
      </c>
      <c r="C56" s="23" t="s">
        <v>365</v>
      </c>
      <c r="D56" s="23">
        <v>4445000</v>
      </c>
      <c r="E56" s="28"/>
      <c r="F56" s="28"/>
      <c r="G56" s="28"/>
      <c r="H56" s="28"/>
      <c r="J56" s="28"/>
      <c r="K56" s="19" t="s">
        <v>452</v>
      </c>
      <c r="L56" s="23" t="s">
        <v>365</v>
      </c>
      <c r="M56" s="23">
        <v>4445000</v>
      </c>
      <c r="N56" s="28"/>
      <c r="O56" s="28"/>
      <c r="P56" s="28"/>
      <c r="Q56" s="28"/>
      <c r="S56" s="28"/>
      <c r="T56" s="19" t="s">
        <v>452</v>
      </c>
      <c r="U56" s="23" t="s">
        <v>365</v>
      </c>
      <c r="V56" s="23"/>
      <c r="W56" s="28"/>
      <c r="X56" s="28"/>
      <c r="Y56" s="28"/>
      <c r="Z56" s="28"/>
    </row>
    <row r="57" spans="1:28">
      <c r="A57" s="28"/>
      <c r="B57" s="19" t="s">
        <v>452</v>
      </c>
      <c r="C57" s="23" t="s">
        <v>463</v>
      </c>
      <c r="D57" s="23">
        <v>27000000</v>
      </c>
      <c r="E57" s="28"/>
      <c r="F57" s="28"/>
      <c r="G57" s="28"/>
      <c r="H57" s="28"/>
      <c r="J57" s="28"/>
      <c r="K57" s="19" t="s">
        <v>452</v>
      </c>
      <c r="L57" s="23" t="s">
        <v>463</v>
      </c>
      <c r="M57" s="23"/>
      <c r="N57" s="28"/>
      <c r="O57" s="28"/>
      <c r="P57" s="28"/>
      <c r="Q57" s="28" t="s">
        <v>465</v>
      </c>
      <c r="S57" s="28"/>
      <c r="T57" s="19" t="s">
        <v>452</v>
      </c>
      <c r="U57" s="23" t="s">
        <v>492</v>
      </c>
      <c r="V57" s="23">
        <v>15000000</v>
      </c>
      <c r="W57" s="28"/>
      <c r="X57" s="28"/>
      <c r="Y57" s="28"/>
      <c r="Z57" s="28" t="s">
        <v>465</v>
      </c>
    </row>
    <row r="58" spans="1:28">
      <c r="A58" s="28"/>
      <c r="B58" s="19" t="s">
        <v>452</v>
      </c>
      <c r="C58" s="23" t="s">
        <v>464</v>
      </c>
      <c r="D58" s="23">
        <v>21000000</v>
      </c>
      <c r="E58" s="28"/>
      <c r="F58" s="28"/>
      <c r="G58" s="28"/>
      <c r="H58" s="28"/>
      <c r="J58" s="28"/>
      <c r="K58" s="19" t="s">
        <v>452</v>
      </c>
      <c r="L58" s="23" t="s">
        <v>473</v>
      </c>
      <c r="M58" s="23">
        <v>5000000</v>
      </c>
      <c r="N58" s="28"/>
      <c r="O58" s="28"/>
      <c r="P58" s="28"/>
      <c r="Q58" s="28" t="s">
        <v>469</v>
      </c>
      <c r="S58" s="28"/>
      <c r="T58" s="19" t="s">
        <v>452</v>
      </c>
      <c r="U58" s="23" t="s">
        <v>464</v>
      </c>
      <c r="V58" s="23"/>
      <c r="W58" s="28"/>
      <c r="X58" s="28"/>
      <c r="Y58" s="28"/>
      <c r="Z58" s="28" t="s">
        <v>469</v>
      </c>
      <c r="AB58" s="72"/>
    </row>
    <row r="59" spans="1:28">
      <c r="A59" s="28"/>
      <c r="B59" s="19" t="s">
        <v>452</v>
      </c>
      <c r="C59" s="24" t="s">
        <v>263</v>
      </c>
      <c r="D59" s="23">
        <v>1540000</v>
      </c>
      <c r="E59" s="28"/>
      <c r="F59" s="28"/>
      <c r="G59" s="28"/>
      <c r="H59" s="28"/>
      <c r="J59" s="28"/>
      <c r="K59" s="19" t="s">
        <v>452</v>
      </c>
      <c r="L59" s="24" t="s">
        <v>263</v>
      </c>
      <c r="M59" s="23">
        <v>1540000</v>
      </c>
      <c r="N59" s="28"/>
      <c r="O59" s="28"/>
      <c r="P59" s="28"/>
      <c r="Q59" s="28"/>
      <c r="S59" s="28"/>
      <c r="T59" s="19" t="s">
        <v>452</v>
      </c>
      <c r="U59" s="24" t="s">
        <v>263</v>
      </c>
      <c r="V59" s="23"/>
      <c r="W59" s="28"/>
      <c r="X59" s="28"/>
      <c r="Y59" s="28"/>
      <c r="Z59" s="28"/>
    </row>
    <row r="60" spans="1:28">
      <c r="A60" s="12"/>
      <c r="B60" s="19" t="s">
        <v>452</v>
      </c>
      <c r="C60" s="24" t="s">
        <v>410</v>
      </c>
      <c r="D60" s="23">
        <v>900000</v>
      </c>
      <c r="E60" s="174"/>
      <c r="F60" s="174"/>
      <c r="G60" s="174"/>
      <c r="H60" s="174"/>
      <c r="J60" s="12"/>
      <c r="K60" s="19" t="s">
        <v>452</v>
      </c>
      <c r="L60" s="24" t="s">
        <v>410</v>
      </c>
      <c r="M60" s="23">
        <v>900000</v>
      </c>
      <c r="N60" s="181"/>
      <c r="O60" s="181"/>
      <c r="P60" s="181"/>
      <c r="Q60" s="181"/>
      <c r="S60" s="12"/>
      <c r="T60" s="19" t="s">
        <v>452</v>
      </c>
      <c r="U60" s="24" t="s">
        <v>410</v>
      </c>
      <c r="V60" s="23"/>
      <c r="W60" s="200"/>
      <c r="X60" s="200"/>
      <c r="Y60" s="200"/>
      <c r="Z60" s="200"/>
    </row>
    <row r="61" spans="1:28">
      <c r="A61" s="12"/>
      <c r="B61" s="19" t="s">
        <v>452</v>
      </c>
      <c r="C61" s="24" t="s">
        <v>409</v>
      </c>
      <c r="D61" s="23">
        <v>300000</v>
      </c>
      <c r="E61" s="174"/>
      <c r="F61" s="174"/>
      <c r="G61" s="174"/>
      <c r="H61" s="174"/>
      <c r="J61" s="12"/>
      <c r="K61" s="19" t="s">
        <v>452</v>
      </c>
      <c r="L61" s="24" t="s">
        <v>429</v>
      </c>
      <c r="M61" s="23">
        <v>300000</v>
      </c>
      <c r="N61" s="181"/>
      <c r="O61" s="181"/>
      <c r="P61" s="181"/>
      <c r="Q61" s="181"/>
      <c r="S61" s="12"/>
      <c r="T61" s="19" t="s">
        <v>452</v>
      </c>
      <c r="U61" s="24" t="s">
        <v>429</v>
      </c>
      <c r="V61" s="23"/>
      <c r="W61" s="200"/>
      <c r="X61" s="200"/>
      <c r="Y61" s="200"/>
      <c r="Z61" s="200"/>
    </row>
    <row r="62" spans="1:28">
      <c r="A62" s="12"/>
      <c r="B62" s="19" t="s">
        <v>452</v>
      </c>
      <c r="C62" s="24" t="s">
        <v>449</v>
      </c>
      <c r="D62" s="23">
        <v>1500000</v>
      </c>
      <c r="E62" s="174"/>
      <c r="F62" s="174"/>
      <c r="G62" s="174"/>
      <c r="H62" s="174"/>
      <c r="J62" s="12"/>
      <c r="K62" s="19" t="s">
        <v>452</v>
      </c>
      <c r="L62" s="24" t="s">
        <v>449</v>
      </c>
      <c r="M62" s="23">
        <v>1500000</v>
      </c>
      <c r="N62" s="181"/>
      <c r="O62" s="181"/>
      <c r="P62" s="181"/>
      <c r="Q62" s="181"/>
      <c r="S62" s="12"/>
      <c r="T62" s="19" t="s">
        <v>452</v>
      </c>
      <c r="U62" s="24" t="s">
        <v>449</v>
      </c>
      <c r="V62" s="23"/>
      <c r="W62" s="200"/>
      <c r="X62" s="200"/>
      <c r="Y62" s="200"/>
      <c r="Z62" s="200"/>
      <c r="AB62" s="72"/>
    </row>
    <row r="63" spans="1:28">
      <c r="A63" s="12"/>
      <c r="B63" s="19" t="s">
        <v>452</v>
      </c>
      <c r="C63" s="24" t="s">
        <v>450</v>
      </c>
      <c r="D63" s="23">
        <v>600000</v>
      </c>
      <c r="E63" s="174"/>
      <c r="F63" s="174"/>
      <c r="G63" s="174"/>
      <c r="H63" s="174"/>
      <c r="J63" s="12"/>
      <c r="K63" s="19" t="s">
        <v>452</v>
      </c>
      <c r="L63" s="24" t="s">
        <v>450</v>
      </c>
      <c r="M63" s="23">
        <v>600000</v>
      </c>
      <c r="N63" s="181"/>
      <c r="O63" s="181"/>
      <c r="P63" s="181"/>
      <c r="Q63" s="181"/>
      <c r="S63" s="12"/>
      <c r="T63" s="19" t="s">
        <v>452</v>
      </c>
      <c r="U63" s="24" t="s">
        <v>450</v>
      </c>
      <c r="V63" s="23"/>
      <c r="W63" s="200"/>
      <c r="X63" s="200"/>
      <c r="Y63" s="200"/>
      <c r="Z63" s="200"/>
    </row>
    <row r="64" spans="1:28">
      <c r="A64" s="12"/>
      <c r="B64" s="19" t="s">
        <v>452</v>
      </c>
      <c r="C64" s="24" t="s">
        <v>451</v>
      </c>
      <c r="D64" s="23">
        <v>500000</v>
      </c>
      <c r="E64" s="174"/>
      <c r="F64" s="174"/>
      <c r="G64" s="174"/>
      <c r="H64" s="174"/>
      <c r="J64" s="12"/>
      <c r="K64" s="19" t="s">
        <v>452</v>
      </c>
      <c r="L64" s="24" t="s">
        <v>451</v>
      </c>
      <c r="M64" s="23">
        <v>500000</v>
      </c>
      <c r="N64" s="181"/>
      <c r="O64" s="181"/>
      <c r="P64" s="181"/>
      <c r="Q64" s="181"/>
      <c r="S64" s="12"/>
      <c r="T64" s="19" t="s">
        <v>452</v>
      </c>
      <c r="U64" s="24" t="s">
        <v>451</v>
      </c>
      <c r="V64" s="23"/>
      <c r="W64" s="200"/>
      <c r="X64" s="200"/>
      <c r="Y64" s="200"/>
      <c r="Z64" s="200"/>
    </row>
    <row r="65" spans="1:26">
      <c r="A65" s="12"/>
      <c r="B65" s="19" t="s">
        <v>452</v>
      </c>
      <c r="C65" s="24" t="s">
        <v>414</v>
      </c>
      <c r="D65" s="23">
        <v>126000</v>
      </c>
      <c r="E65" s="174"/>
      <c r="F65" s="174"/>
      <c r="G65" s="174"/>
      <c r="H65" s="174"/>
      <c r="J65" s="12"/>
      <c r="K65" s="19" t="s">
        <v>452</v>
      </c>
      <c r="L65" s="24" t="s">
        <v>414</v>
      </c>
      <c r="M65" s="23">
        <v>126000</v>
      </c>
      <c r="N65" s="181"/>
      <c r="O65" s="181"/>
      <c r="P65" s="181"/>
      <c r="Q65" s="181"/>
      <c r="S65" s="12"/>
      <c r="T65" s="19" t="s">
        <v>452</v>
      </c>
      <c r="U65" s="24" t="s">
        <v>414</v>
      </c>
      <c r="V65" s="23"/>
      <c r="W65" s="200"/>
      <c r="X65" s="200"/>
      <c r="Y65" s="200"/>
      <c r="Z65" s="200"/>
    </row>
    <row r="66" spans="1:26">
      <c r="A66" s="12"/>
      <c r="B66" s="19" t="s">
        <v>456</v>
      </c>
      <c r="C66" s="24" t="s">
        <v>457</v>
      </c>
      <c r="D66" s="23">
        <f>28063200+5092000</f>
        <v>33155200</v>
      </c>
      <c r="E66" s="174"/>
      <c r="F66" s="174"/>
      <c r="G66" s="174"/>
      <c r="H66" s="174"/>
      <c r="J66" s="12"/>
      <c r="K66" s="19" t="s">
        <v>456</v>
      </c>
      <c r="L66" s="24" t="s">
        <v>457</v>
      </c>
      <c r="M66" s="23">
        <f>11500000-223000</f>
        <v>11277000</v>
      </c>
      <c r="N66" s="181"/>
      <c r="O66" s="181"/>
      <c r="P66" s="181"/>
      <c r="Q66" s="181"/>
      <c r="S66" s="12"/>
      <c r="T66" s="19" t="s">
        <v>456</v>
      </c>
      <c r="U66" s="24" t="s">
        <v>457</v>
      </c>
      <c r="V66" s="23">
        <f>D66-M66-9000000</f>
        <v>12878200</v>
      </c>
      <c r="W66" s="200"/>
      <c r="X66" s="200"/>
      <c r="Y66" s="200"/>
      <c r="Z66" s="200"/>
    </row>
    <row r="67" spans="1:26">
      <c r="A67" s="12"/>
      <c r="B67" s="19"/>
      <c r="C67" s="24"/>
      <c r="D67" s="23"/>
      <c r="E67" s="174"/>
      <c r="F67" s="174"/>
      <c r="G67" s="174"/>
      <c r="H67" s="174"/>
      <c r="J67" s="12"/>
      <c r="K67" s="19"/>
      <c r="L67" s="24"/>
      <c r="M67" s="23"/>
      <c r="N67" s="181"/>
      <c r="O67" s="181"/>
      <c r="P67" s="181"/>
      <c r="Q67" s="181"/>
      <c r="S67" s="12"/>
      <c r="T67" s="19"/>
      <c r="U67" s="24"/>
      <c r="V67" s="23"/>
      <c r="W67" s="200"/>
      <c r="X67" s="200"/>
      <c r="Y67" s="200"/>
      <c r="Z67" s="200"/>
    </row>
    <row r="68" spans="1:26" hidden="1">
      <c r="A68" s="12"/>
      <c r="B68" s="19"/>
      <c r="C68" s="24"/>
      <c r="D68" s="23"/>
      <c r="E68" s="174"/>
      <c r="F68" s="174"/>
      <c r="G68" s="174"/>
      <c r="H68" s="174"/>
      <c r="J68" s="12"/>
      <c r="K68" s="19"/>
      <c r="L68" s="24"/>
      <c r="M68" s="23"/>
      <c r="N68" s="181"/>
      <c r="O68" s="181"/>
      <c r="P68" s="181"/>
      <c r="Q68" s="181"/>
      <c r="S68" s="12"/>
      <c r="T68" s="19"/>
      <c r="U68" s="24"/>
      <c r="V68" s="23"/>
      <c r="W68" s="200"/>
      <c r="X68" s="200"/>
      <c r="Y68" s="200"/>
      <c r="Z68" s="200"/>
    </row>
    <row r="69" spans="1:26" hidden="1">
      <c r="A69" s="12"/>
      <c r="B69" s="19"/>
      <c r="C69" s="24"/>
      <c r="D69" s="23"/>
      <c r="E69" s="174"/>
      <c r="F69" s="174"/>
      <c r="G69" s="174"/>
      <c r="H69" s="174"/>
      <c r="J69" s="12"/>
      <c r="K69" s="19"/>
      <c r="L69" s="24"/>
      <c r="M69" s="23"/>
      <c r="N69" s="181"/>
      <c r="O69" s="181"/>
      <c r="P69" s="181"/>
      <c r="Q69" s="181"/>
      <c r="S69" s="12"/>
      <c r="T69" s="19"/>
      <c r="U69" s="24"/>
      <c r="V69" s="23"/>
      <c r="W69" s="200"/>
      <c r="X69" s="200"/>
      <c r="Y69" s="200"/>
      <c r="Z69" s="200"/>
    </row>
    <row r="70" spans="1:26" hidden="1">
      <c r="A70" s="12"/>
      <c r="B70" s="19"/>
      <c r="C70" s="24"/>
      <c r="D70" s="23"/>
      <c r="E70" s="174"/>
      <c r="F70" s="174"/>
      <c r="G70" s="174"/>
      <c r="H70" s="174"/>
      <c r="J70" s="12"/>
      <c r="K70" s="19"/>
      <c r="L70" s="24"/>
      <c r="M70" s="23"/>
      <c r="N70" s="181"/>
      <c r="O70" s="181"/>
      <c r="P70" s="181"/>
      <c r="Q70" s="181"/>
      <c r="S70" s="12"/>
      <c r="T70" s="19"/>
      <c r="U70" s="24"/>
      <c r="V70" s="23"/>
      <c r="W70" s="200"/>
      <c r="X70" s="200"/>
      <c r="Y70" s="200"/>
      <c r="Z70" s="200"/>
    </row>
    <row r="71" spans="1:26">
      <c r="A71" s="12"/>
      <c r="B71" s="13"/>
      <c r="C71" s="26" t="s">
        <v>55</v>
      </c>
      <c r="D71" s="27">
        <f>SUM(D56:D69)</f>
        <v>91066200</v>
      </c>
      <c r="E71" s="27">
        <v>0</v>
      </c>
      <c r="F71" s="27">
        <v>0</v>
      </c>
      <c r="G71" s="27"/>
      <c r="H71" s="27"/>
      <c r="J71" s="12"/>
      <c r="K71" s="13"/>
      <c r="L71" s="26" t="s">
        <v>55</v>
      </c>
      <c r="M71" s="27">
        <f>SUM(M56:M69)</f>
        <v>26188000</v>
      </c>
      <c r="N71" s="27">
        <v>0</v>
      </c>
      <c r="O71" s="27">
        <v>0</v>
      </c>
      <c r="P71" s="27"/>
      <c r="Q71" s="27"/>
      <c r="S71" s="12"/>
      <c r="T71" s="13"/>
      <c r="U71" s="26" t="s">
        <v>55</v>
      </c>
      <c r="V71" s="27">
        <f>SUM(V56:V69)</f>
        <v>27878200</v>
      </c>
      <c r="W71" s="27">
        <v>0</v>
      </c>
      <c r="X71" s="27">
        <v>0</v>
      </c>
      <c r="Y71" s="27"/>
      <c r="Z71" s="27"/>
    </row>
    <row r="72" spans="1:26">
      <c r="A72" s="20"/>
      <c r="B72" s="19"/>
      <c r="C72" s="174" t="s">
        <v>21</v>
      </c>
      <c r="D72" s="10"/>
      <c r="E72" s="530">
        <f>D71</f>
        <v>91066200</v>
      </c>
      <c r="F72" s="530"/>
      <c r="G72" s="530"/>
      <c r="H72" s="530"/>
      <c r="J72" s="20"/>
      <c r="K72" s="19"/>
      <c r="L72" s="181" t="s">
        <v>21</v>
      </c>
      <c r="M72" s="10"/>
      <c r="N72" s="530">
        <f>M71</f>
        <v>26188000</v>
      </c>
      <c r="O72" s="530"/>
      <c r="P72" s="530"/>
      <c r="Q72" s="530"/>
      <c r="S72" s="20"/>
      <c r="T72" s="19"/>
      <c r="U72" s="200" t="s">
        <v>21</v>
      </c>
      <c r="V72" s="10"/>
      <c r="W72" s="530">
        <f>V71</f>
        <v>27878200</v>
      </c>
      <c r="X72" s="530"/>
      <c r="Y72" s="530"/>
      <c r="Z72" s="530"/>
    </row>
    <row r="73" spans="1:26">
      <c r="A73" s="524" t="s">
        <v>453</v>
      </c>
      <c r="B73" s="524"/>
      <c r="C73" s="524"/>
      <c r="D73" s="524"/>
      <c r="E73" s="524"/>
      <c r="F73" s="524"/>
      <c r="G73" s="524"/>
      <c r="H73" s="524"/>
      <c r="J73" s="524" t="s">
        <v>453</v>
      </c>
      <c r="K73" s="524"/>
      <c r="L73" s="524"/>
      <c r="M73" s="524"/>
      <c r="N73" s="524"/>
      <c r="O73" s="524"/>
      <c r="P73" s="524"/>
      <c r="Q73" s="524"/>
      <c r="S73" s="524" t="s">
        <v>453</v>
      </c>
      <c r="T73" s="524"/>
      <c r="U73" s="524"/>
      <c r="V73" s="524"/>
      <c r="W73" s="524"/>
      <c r="X73" s="524"/>
      <c r="Y73" s="524"/>
      <c r="Z73" s="524"/>
    </row>
    <row r="74" spans="1:26">
      <c r="A74" s="28"/>
      <c r="B74" s="23" t="s">
        <v>455</v>
      </c>
      <c r="C74" s="23" t="s">
        <v>454</v>
      </c>
      <c r="D74" s="23">
        <v>250000</v>
      </c>
      <c r="E74" s="28"/>
      <c r="F74" s="28"/>
      <c r="G74" s="28"/>
      <c r="H74" s="28"/>
      <c r="J74" s="28"/>
      <c r="K74" s="23" t="s">
        <v>455</v>
      </c>
      <c r="L74" s="23" t="s">
        <v>454</v>
      </c>
      <c r="M74" s="23">
        <v>250000</v>
      </c>
      <c r="N74" s="28"/>
      <c r="O74" s="28"/>
      <c r="P74" s="28"/>
      <c r="Q74" s="28"/>
      <c r="S74" s="28"/>
      <c r="T74" s="23" t="s">
        <v>455</v>
      </c>
      <c r="U74" s="23" t="s">
        <v>454</v>
      </c>
      <c r="V74" s="23"/>
      <c r="W74" s="28"/>
      <c r="X74" s="28"/>
      <c r="Y74" s="28"/>
      <c r="Z74" s="28"/>
    </row>
    <row r="75" spans="1:26">
      <c r="A75" s="28"/>
      <c r="B75" s="23"/>
      <c r="C75" s="23"/>
      <c r="D75" s="23"/>
      <c r="E75" s="28"/>
      <c r="F75" s="28"/>
      <c r="G75" s="28"/>
      <c r="H75" s="28"/>
      <c r="J75" s="28"/>
      <c r="K75" s="23"/>
      <c r="L75" s="23"/>
      <c r="M75" s="23"/>
      <c r="N75" s="28"/>
      <c r="O75" s="28"/>
      <c r="P75" s="28"/>
      <c r="Q75" s="28"/>
      <c r="S75" s="28"/>
      <c r="T75" s="23"/>
      <c r="U75" s="23"/>
      <c r="V75" s="23"/>
      <c r="W75" s="28"/>
      <c r="X75" s="28"/>
      <c r="Y75" s="28"/>
      <c r="Z75" s="28"/>
    </row>
    <row r="76" spans="1:26">
      <c r="A76" s="12"/>
      <c r="B76" s="19"/>
      <c r="C76" s="24"/>
      <c r="D76" s="23"/>
      <c r="E76" s="174"/>
      <c r="F76" s="174"/>
      <c r="G76" s="174"/>
      <c r="H76" s="174"/>
      <c r="J76" s="12"/>
      <c r="K76" s="19"/>
      <c r="L76" s="24"/>
      <c r="M76" s="23"/>
      <c r="N76" s="181"/>
      <c r="O76" s="181"/>
      <c r="P76" s="181"/>
      <c r="Q76" s="181"/>
      <c r="S76" s="12"/>
      <c r="T76" s="19"/>
      <c r="U76" s="24"/>
      <c r="V76" s="23"/>
      <c r="W76" s="200"/>
      <c r="X76" s="200"/>
      <c r="Y76" s="200"/>
      <c r="Z76" s="200"/>
    </row>
    <row r="77" spans="1:26">
      <c r="A77" s="12"/>
      <c r="B77" s="13"/>
      <c r="C77" s="26" t="s">
        <v>196</v>
      </c>
      <c r="D77" s="27">
        <f>SUM(D74:D76)</f>
        <v>250000</v>
      </c>
      <c r="E77" s="27">
        <v>0</v>
      </c>
      <c r="F77" s="27">
        <v>0</v>
      </c>
      <c r="G77" s="27"/>
      <c r="H77" s="27"/>
      <c r="J77" s="12"/>
      <c r="K77" s="13"/>
      <c r="L77" s="26" t="s">
        <v>196</v>
      </c>
      <c r="M77" s="27">
        <f>SUM(M74:M76)</f>
        <v>250000</v>
      </c>
      <c r="N77" s="27">
        <v>0</v>
      </c>
      <c r="O77" s="27">
        <v>0</v>
      </c>
      <c r="P77" s="27"/>
      <c r="Q77" s="27"/>
      <c r="S77" s="12"/>
      <c r="T77" s="13"/>
      <c r="U77" s="26" t="s">
        <v>196</v>
      </c>
      <c r="V77" s="27">
        <f>SUM(V74:V76)</f>
        <v>0</v>
      </c>
      <c r="W77" s="27">
        <v>0</v>
      </c>
      <c r="X77" s="27">
        <v>0</v>
      </c>
      <c r="Y77" s="27"/>
      <c r="Z77" s="27"/>
    </row>
    <row r="78" spans="1:26">
      <c r="A78" s="20"/>
      <c r="B78" s="19"/>
      <c r="C78" s="174" t="s">
        <v>21</v>
      </c>
      <c r="D78" s="10"/>
      <c r="E78" s="530">
        <f>D77</f>
        <v>250000</v>
      </c>
      <c r="F78" s="530"/>
      <c r="G78" s="530"/>
      <c r="H78" s="530"/>
      <c r="J78" s="20"/>
      <c r="K78" s="19"/>
      <c r="L78" s="181" t="s">
        <v>21</v>
      </c>
      <c r="M78" s="10"/>
      <c r="N78" s="530">
        <f>M77</f>
        <v>250000</v>
      </c>
      <c r="O78" s="530"/>
      <c r="P78" s="530"/>
      <c r="Q78" s="530"/>
      <c r="S78" s="20"/>
      <c r="T78" s="19"/>
      <c r="U78" s="200" t="s">
        <v>21</v>
      </c>
      <c r="V78" s="10"/>
      <c r="W78" s="530">
        <f>V77</f>
        <v>0</v>
      </c>
      <c r="X78" s="530"/>
      <c r="Y78" s="530"/>
      <c r="Z78" s="530"/>
    </row>
    <row r="79" spans="1:26">
      <c r="A79" s="527" t="s">
        <v>26</v>
      </c>
      <c r="B79" s="528"/>
      <c r="C79" s="528"/>
      <c r="D79" s="528"/>
      <c r="E79" s="528"/>
      <c r="F79" s="528"/>
      <c r="G79" s="528"/>
      <c r="H79" s="529"/>
      <c r="J79" s="527" t="s">
        <v>26</v>
      </c>
      <c r="K79" s="528"/>
      <c r="L79" s="528"/>
      <c r="M79" s="528"/>
      <c r="N79" s="528"/>
      <c r="O79" s="528"/>
      <c r="P79" s="528"/>
      <c r="Q79" s="529"/>
      <c r="S79" s="527" t="s">
        <v>26</v>
      </c>
      <c r="T79" s="528"/>
      <c r="U79" s="528"/>
      <c r="V79" s="528"/>
      <c r="W79" s="528"/>
      <c r="X79" s="528"/>
      <c r="Y79" s="528"/>
      <c r="Z79" s="529"/>
    </row>
    <row r="80" spans="1:26">
      <c r="A80" s="12"/>
      <c r="B80" s="19" t="s">
        <v>459</v>
      </c>
      <c r="C80" s="24" t="s">
        <v>458</v>
      </c>
      <c r="D80" s="23">
        <v>1000000</v>
      </c>
      <c r="E80" s="22"/>
      <c r="F80" s="22"/>
      <c r="G80" s="16"/>
      <c r="H80" s="16"/>
      <c r="J80" s="12"/>
      <c r="K80" s="19" t="s">
        <v>459</v>
      </c>
      <c r="L80" s="24" t="s">
        <v>458</v>
      </c>
      <c r="M80" s="23"/>
      <c r="N80" s="22"/>
      <c r="O80" s="22"/>
      <c r="P80" s="16"/>
      <c r="Q80" s="16"/>
      <c r="S80" s="12"/>
      <c r="T80" s="19" t="s">
        <v>459</v>
      </c>
      <c r="U80" s="24" t="s">
        <v>458</v>
      </c>
      <c r="V80" s="23">
        <v>1000000</v>
      </c>
      <c r="W80" s="22"/>
      <c r="X80" s="22"/>
      <c r="Y80" s="16"/>
      <c r="Z80" s="16"/>
    </row>
    <row r="81" spans="1:26">
      <c r="A81" s="12"/>
      <c r="B81" s="19"/>
      <c r="C81" s="24"/>
      <c r="D81" s="23"/>
      <c r="E81" s="22"/>
      <c r="F81" s="22"/>
      <c r="G81" s="16"/>
      <c r="H81" s="16"/>
      <c r="J81" s="12"/>
      <c r="K81" s="19"/>
      <c r="L81" s="24"/>
      <c r="M81" s="23"/>
      <c r="N81" s="22"/>
      <c r="O81" s="22"/>
      <c r="P81" s="16"/>
      <c r="Q81" s="16"/>
      <c r="S81" s="12"/>
      <c r="T81" s="19" t="s">
        <v>481</v>
      </c>
      <c r="U81" s="24" t="s">
        <v>475</v>
      </c>
      <c r="V81" s="23">
        <v>40000</v>
      </c>
      <c r="W81" s="22"/>
      <c r="X81" s="22"/>
      <c r="Y81" s="16"/>
      <c r="Z81" s="16"/>
    </row>
    <row r="82" spans="1:26">
      <c r="A82" s="12"/>
      <c r="B82" s="19"/>
      <c r="C82" s="23"/>
      <c r="D82" s="23"/>
      <c r="E82" s="22"/>
      <c r="F82" s="22"/>
      <c r="G82" s="16"/>
      <c r="H82" s="16"/>
      <c r="J82" s="12"/>
      <c r="K82" s="19"/>
      <c r="L82" s="23"/>
      <c r="M82" s="23"/>
      <c r="N82" s="22"/>
      <c r="O82" s="22"/>
      <c r="P82" s="16"/>
      <c r="Q82" s="16"/>
      <c r="S82" s="12"/>
      <c r="T82" s="19" t="s">
        <v>482</v>
      </c>
      <c r="U82" s="23" t="s">
        <v>476</v>
      </c>
      <c r="V82" s="23">
        <v>2090000</v>
      </c>
      <c r="W82" s="22"/>
      <c r="X82" s="22"/>
      <c r="Y82" s="16"/>
      <c r="Z82" s="16"/>
    </row>
    <row r="83" spans="1:26">
      <c r="A83" s="12"/>
      <c r="B83" s="19"/>
      <c r="C83" s="24"/>
      <c r="D83" s="23"/>
      <c r="E83" s="22"/>
      <c r="F83" s="22"/>
      <c r="G83" s="16"/>
      <c r="H83" s="16"/>
      <c r="J83" s="12"/>
      <c r="K83" s="19"/>
      <c r="L83" s="24"/>
      <c r="M83" s="23"/>
      <c r="N83" s="22"/>
      <c r="O83" s="22"/>
      <c r="P83" s="16"/>
      <c r="Q83" s="16"/>
      <c r="S83" s="12"/>
      <c r="T83" s="19" t="s">
        <v>121</v>
      </c>
      <c r="U83" s="24" t="s">
        <v>478</v>
      </c>
      <c r="V83" s="23">
        <v>2163500</v>
      </c>
      <c r="W83" s="22"/>
      <c r="X83" s="22"/>
      <c r="Y83" s="16"/>
      <c r="Z83" s="16"/>
    </row>
    <row r="84" spans="1:26">
      <c r="A84" s="12"/>
      <c r="B84" s="19"/>
      <c r="C84" s="24"/>
      <c r="D84" s="23"/>
      <c r="E84" s="22"/>
      <c r="F84" s="22"/>
      <c r="G84" s="16"/>
      <c r="H84" s="16"/>
      <c r="J84" s="12"/>
      <c r="K84" s="19"/>
      <c r="L84" s="24"/>
      <c r="M84" s="23"/>
      <c r="N84" s="22"/>
      <c r="O84" s="22"/>
      <c r="P84" s="16"/>
      <c r="Q84" s="16"/>
      <c r="S84" s="12"/>
      <c r="T84" s="19" t="s">
        <v>483</v>
      </c>
      <c r="U84" s="24" t="s">
        <v>477</v>
      </c>
      <c r="V84" s="23">
        <v>2271500</v>
      </c>
      <c r="W84" s="22"/>
      <c r="X84" s="22"/>
      <c r="Y84" s="16"/>
      <c r="Z84" s="16"/>
    </row>
    <row r="85" spans="1:26">
      <c r="A85" s="12"/>
      <c r="B85" s="19"/>
      <c r="C85" s="24"/>
      <c r="D85" s="23"/>
      <c r="E85" s="22"/>
      <c r="F85" s="22"/>
      <c r="G85" s="16"/>
      <c r="H85" s="16"/>
      <c r="J85" s="12"/>
      <c r="K85" s="19"/>
      <c r="L85" s="24"/>
      <c r="M85" s="23"/>
      <c r="N85" s="22"/>
      <c r="O85" s="22"/>
      <c r="P85" s="16"/>
      <c r="Q85" s="16"/>
      <c r="S85" s="12"/>
      <c r="T85" s="19" t="s">
        <v>484</v>
      </c>
      <c r="U85" s="24" t="s">
        <v>479</v>
      </c>
      <c r="V85" s="23">
        <v>506500</v>
      </c>
      <c r="W85" s="22"/>
      <c r="X85" s="22"/>
      <c r="Y85" s="16"/>
      <c r="Z85" s="16"/>
    </row>
    <row r="86" spans="1:26">
      <c r="A86" s="12"/>
      <c r="B86" s="19"/>
      <c r="C86" s="23"/>
      <c r="D86" s="23"/>
      <c r="E86" s="22"/>
      <c r="F86" s="22"/>
      <c r="G86" s="16"/>
      <c r="H86" s="16"/>
      <c r="J86" s="12"/>
      <c r="K86" s="19"/>
      <c r="L86" s="23"/>
      <c r="M86" s="23"/>
      <c r="N86" s="22"/>
      <c r="O86" s="22"/>
      <c r="P86" s="16"/>
      <c r="Q86" s="16"/>
      <c r="S86" s="12"/>
      <c r="T86" s="19" t="s">
        <v>484</v>
      </c>
      <c r="U86" s="23" t="s">
        <v>480</v>
      </c>
      <c r="V86" s="23">
        <v>219750</v>
      </c>
      <c r="W86" s="22"/>
      <c r="X86" s="22"/>
      <c r="Y86" s="16"/>
      <c r="Z86" s="16"/>
    </row>
    <row r="87" spans="1:26">
      <c r="A87" s="12"/>
      <c r="B87" s="19"/>
      <c r="C87" s="23"/>
      <c r="D87" s="23"/>
      <c r="E87" s="22"/>
      <c r="F87" s="22"/>
      <c r="G87" s="16"/>
      <c r="H87" s="16"/>
      <c r="J87" s="12"/>
      <c r="K87" s="19"/>
      <c r="L87" s="23"/>
      <c r="M87" s="23"/>
      <c r="N87" s="22"/>
      <c r="O87" s="22"/>
      <c r="P87" s="16"/>
      <c r="Q87" s="16"/>
      <c r="S87" s="12"/>
      <c r="T87" s="19"/>
      <c r="U87" s="23"/>
      <c r="V87" s="23"/>
      <c r="W87" s="22"/>
      <c r="X87" s="22"/>
      <c r="Y87" s="16"/>
      <c r="Z87" s="16"/>
    </row>
    <row r="88" spans="1:26">
      <c r="A88" s="12"/>
      <c r="B88" s="19"/>
      <c r="C88" s="23"/>
      <c r="D88" s="23"/>
      <c r="E88" s="22"/>
      <c r="F88" s="22"/>
      <c r="G88" s="16"/>
      <c r="H88" s="16"/>
      <c r="J88" s="12"/>
      <c r="K88" s="19"/>
      <c r="L88" s="23"/>
      <c r="M88" s="23"/>
      <c r="N88" s="22"/>
      <c r="O88" s="22"/>
      <c r="P88" s="16"/>
      <c r="Q88" s="16"/>
      <c r="S88" s="12"/>
      <c r="T88" s="19"/>
      <c r="U88" s="23"/>
      <c r="V88" s="23"/>
      <c r="W88" s="22"/>
      <c r="X88" s="22"/>
      <c r="Y88" s="16"/>
      <c r="Z88" s="16"/>
    </row>
    <row r="89" spans="1:26">
      <c r="A89" s="12"/>
      <c r="B89" s="19"/>
      <c r="C89" s="24"/>
      <c r="D89" s="23"/>
      <c r="E89" s="22"/>
      <c r="F89" s="22"/>
      <c r="G89" s="16"/>
      <c r="H89" s="16"/>
      <c r="J89" s="12"/>
      <c r="K89" s="19"/>
      <c r="L89" s="24"/>
      <c r="M89" s="23"/>
      <c r="N89" s="22"/>
      <c r="O89" s="22"/>
      <c r="P89" s="16"/>
      <c r="Q89" s="16"/>
      <c r="S89" s="12"/>
      <c r="T89" s="19"/>
      <c r="U89" s="24"/>
      <c r="V89" s="23"/>
      <c r="W89" s="22"/>
      <c r="X89" s="22"/>
      <c r="Y89" s="16"/>
      <c r="Z89" s="16"/>
    </row>
    <row r="90" spans="1:26">
      <c r="A90" s="12"/>
      <c r="B90" s="19"/>
      <c r="C90" s="24"/>
      <c r="D90" s="23"/>
      <c r="E90" s="22"/>
      <c r="F90" s="22"/>
      <c r="G90" s="16"/>
      <c r="H90" s="16"/>
      <c r="J90" s="12"/>
      <c r="K90" s="19"/>
      <c r="L90" s="24"/>
      <c r="M90" s="23"/>
      <c r="N90" s="22"/>
      <c r="O90" s="22"/>
      <c r="P90" s="16"/>
      <c r="Q90" s="16"/>
      <c r="S90" s="12"/>
      <c r="T90" s="19"/>
      <c r="U90" s="24"/>
      <c r="V90" s="23"/>
      <c r="W90" s="22"/>
      <c r="X90" s="22"/>
      <c r="Y90" s="16"/>
      <c r="Z90" s="16"/>
    </row>
    <row r="91" spans="1:26">
      <c r="A91" s="25"/>
      <c r="B91" s="19"/>
      <c r="C91" s="26" t="s">
        <v>31</v>
      </c>
      <c r="D91" s="27">
        <f>SUM(D80:D90)</f>
        <v>1000000</v>
      </c>
      <c r="E91" s="27"/>
      <c r="F91" s="27"/>
      <c r="G91" s="27"/>
      <c r="H91" s="27"/>
      <c r="J91" s="25"/>
      <c r="K91" s="19"/>
      <c r="L91" s="26" t="s">
        <v>31</v>
      </c>
      <c r="M91" s="27">
        <f>SUM(M80:M90)</f>
        <v>0</v>
      </c>
      <c r="N91" s="27"/>
      <c r="O91" s="27"/>
      <c r="P91" s="27"/>
      <c r="Q91" s="27"/>
      <c r="S91" s="25"/>
      <c r="T91" s="19"/>
      <c r="U91" s="26" t="s">
        <v>31</v>
      </c>
      <c r="V91" s="27">
        <f>SUM(V80:V90)</f>
        <v>8291250</v>
      </c>
      <c r="W91" s="27"/>
      <c r="X91" s="27"/>
      <c r="Y91" s="27"/>
      <c r="Z91" s="27"/>
    </row>
    <row r="92" spans="1:26">
      <c r="A92" s="20"/>
      <c r="B92" s="19"/>
      <c r="C92" s="174" t="s">
        <v>21</v>
      </c>
      <c r="D92" s="10"/>
      <c r="E92" s="530">
        <f>D91</f>
        <v>1000000</v>
      </c>
      <c r="F92" s="530"/>
      <c r="G92" s="530"/>
      <c r="H92" s="530"/>
      <c r="J92" s="20"/>
      <c r="K92" s="19"/>
      <c r="L92" s="181" t="s">
        <v>21</v>
      </c>
      <c r="M92" s="10"/>
      <c r="N92" s="530">
        <f>M91</f>
        <v>0</v>
      </c>
      <c r="O92" s="530"/>
      <c r="P92" s="530"/>
      <c r="Q92" s="530"/>
      <c r="S92" s="20"/>
      <c r="T92" s="19"/>
      <c r="U92" s="200" t="s">
        <v>21</v>
      </c>
      <c r="V92" s="10"/>
      <c r="W92" s="530">
        <f>V91</f>
        <v>8291250</v>
      </c>
      <c r="X92" s="530"/>
      <c r="Y92" s="530"/>
      <c r="Z92" s="530"/>
    </row>
    <row r="93" spans="1:26">
      <c r="A93" s="527" t="s">
        <v>32</v>
      </c>
      <c r="B93" s="528"/>
      <c r="C93" s="528"/>
      <c r="D93" s="528"/>
      <c r="E93" s="528"/>
      <c r="F93" s="528"/>
      <c r="G93" s="528"/>
      <c r="H93" s="529"/>
      <c r="J93" s="527" t="s">
        <v>32</v>
      </c>
      <c r="K93" s="528"/>
      <c r="L93" s="528"/>
      <c r="M93" s="528"/>
      <c r="N93" s="528"/>
      <c r="O93" s="528"/>
      <c r="P93" s="528"/>
      <c r="Q93" s="529"/>
      <c r="S93" s="527" t="s">
        <v>32</v>
      </c>
      <c r="T93" s="528"/>
      <c r="U93" s="528"/>
      <c r="V93" s="528"/>
      <c r="W93" s="528"/>
      <c r="X93" s="528"/>
      <c r="Y93" s="528"/>
      <c r="Z93" s="529"/>
    </row>
    <row r="94" spans="1:26">
      <c r="A94" s="12"/>
      <c r="B94" s="13"/>
      <c r="C94" s="22"/>
      <c r="D94" s="22"/>
      <c r="E94" s="174"/>
      <c r="F94" s="174"/>
      <c r="G94" s="174"/>
      <c r="H94" s="174"/>
      <c r="J94" s="12"/>
      <c r="K94" s="13"/>
      <c r="L94" s="22"/>
      <c r="M94" s="22"/>
      <c r="N94" s="181"/>
      <c r="O94" s="181"/>
      <c r="P94" s="181"/>
      <c r="Q94" s="181"/>
      <c r="S94" s="12"/>
      <c r="T94" s="13"/>
      <c r="U94" s="22"/>
      <c r="V94" s="22"/>
      <c r="W94" s="200"/>
      <c r="X94" s="200"/>
      <c r="Y94" s="200"/>
      <c r="Z94" s="200"/>
    </row>
    <row r="95" spans="1:26">
      <c r="A95" s="12"/>
      <c r="B95" s="13"/>
      <c r="C95" s="22"/>
      <c r="D95" s="22"/>
      <c r="E95" s="174"/>
      <c r="F95" s="174"/>
      <c r="G95" s="174"/>
      <c r="H95" s="174"/>
      <c r="J95" s="12"/>
      <c r="K95" s="13"/>
      <c r="L95" s="22"/>
      <c r="M95" s="22"/>
      <c r="N95" s="181"/>
      <c r="O95" s="181"/>
      <c r="P95" s="181"/>
      <c r="Q95" s="181"/>
      <c r="S95" s="12"/>
      <c r="T95" s="13"/>
      <c r="U95" s="22"/>
      <c r="V95" s="22"/>
      <c r="W95" s="200"/>
      <c r="X95" s="200"/>
      <c r="Y95" s="200"/>
      <c r="Z95" s="200"/>
    </row>
    <row r="96" spans="1:26">
      <c r="A96" s="12"/>
      <c r="B96" s="13"/>
      <c r="C96" s="22"/>
      <c r="D96" s="22"/>
      <c r="E96" s="174"/>
      <c r="F96" s="174"/>
      <c r="G96" s="174"/>
      <c r="H96" s="174"/>
      <c r="J96" s="12"/>
      <c r="K96" s="13"/>
      <c r="L96" s="22"/>
      <c r="M96" s="22"/>
      <c r="N96" s="181"/>
      <c r="O96" s="181"/>
      <c r="P96" s="181"/>
      <c r="Q96" s="181"/>
      <c r="S96" s="12"/>
      <c r="T96" s="13"/>
      <c r="U96" s="22"/>
      <c r="V96" s="22"/>
      <c r="W96" s="200"/>
      <c r="X96" s="200"/>
      <c r="Y96" s="200"/>
      <c r="Z96" s="200"/>
    </row>
    <row r="97" spans="1:26">
      <c r="A97" s="12"/>
      <c r="B97" s="13"/>
      <c r="C97" s="22"/>
      <c r="D97" s="29"/>
      <c r="E97" s="174"/>
      <c r="F97" s="174"/>
      <c r="G97" s="174"/>
      <c r="H97" s="174"/>
      <c r="J97" s="12"/>
      <c r="K97" s="13"/>
      <c r="L97" s="22"/>
      <c r="M97" s="29"/>
      <c r="N97" s="181"/>
      <c r="O97" s="181"/>
      <c r="P97" s="181"/>
      <c r="Q97" s="181"/>
      <c r="S97" s="12"/>
      <c r="T97" s="13"/>
      <c r="U97" s="22"/>
      <c r="V97" s="29"/>
      <c r="W97" s="200"/>
      <c r="X97" s="200"/>
      <c r="Y97" s="200"/>
      <c r="Z97" s="200"/>
    </row>
    <row r="98" spans="1:26">
      <c r="A98" s="12"/>
      <c r="B98" s="13"/>
      <c r="C98" s="26" t="s">
        <v>34</v>
      </c>
      <c r="D98" s="27">
        <f>SUM(D94:D97)</f>
        <v>0</v>
      </c>
      <c r="E98" s="27">
        <v>0</v>
      </c>
      <c r="F98" s="27">
        <v>0</v>
      </c>
      <c r="G98" s="27"/>
      <c r="H98" s="27"/>
      <c r="J98" s="12"/>
      <c r="K98" s="13"/>
      <c r="L98" s="26" t="s">
        <v>34</v>
      </c>
      <c r="M98" s="27">
        <f>SUM(M94:M97)</f>
        <v>0</v>
      </c>
      <c r="N98" s="27">
        <v>0</v>
      </c>
      <c r="O98" s="27">
        <v>0</v>
      </c>
      <c r="P98" s="27"/>
      <c r="Q98" s="27"/>
      <c r="S98" s="12"/>
      <c r="T98" s="13"/>
      <c r="U98" s="26" t="s">
        <v>34</v>
      </c>
      <c r="V98" s="27">
        <f>SUM(V94:V97)</f>
        <v>0</v>
      </c>
      <c r="W98" s="27">
        <v>0</v>
      </c>
      <c r="X98" s="27">
        <v>0</v>
      </c>
      <c r="Y98" s="27"/>
      <c r="Z98" s="27"/>
    </row>
    <row r="99" spans="1:26">
      <c r="A99" s="20"/>
      <c r="B99" s="19"/>
      <c r="C99" s="174" t="s">
        <v>21</v>
      </c>
      <c r="D99" s="10"/>
      <c r="E99" s="531">
        <f>D98</f>
        <v>0</v>
      </c>
      <c r="F99" s="532"/>
      <c r="G99" s="532"/>
      <c r="H99" s="533"/>
      <c r="J99" s="20"/>
      <c r="K99" s="19"/>
      <c r="L99" s="181" t="s">
        <v>21</v>
      </c>
      <c r="M99" s="10"/>
      <c r="N99" s="531">
        <f>M98</f>
        <v>0</v>
      </c>
      <c r="O99" s="532"/>
      <c r="P99" s="532"/>
      <c r="Q99" s="533"/>
      <c r="S99" s="20"/>
      <c r="T99" s="19"/>
      <c r="U99" s="200" t="s">
        <v>21</v>
      </c>
      <c r="V99" s="10"/>
      <c r="W99" s="531">
        <f>V98</f>
        <v>0</v>
      </c>
      <c r="X99" s="532"/>
      <c r="Y99" s="532"/>
      <c r="Z99" s="533"/>
    </row>
    <row r="100" spans="1:26">
      <c r="A100" s="525" t="s">
        <v>35</v>
      </c>
      <c r="B100" s="525"/>
      <c r="C100" s="525"/>
      <c r="D100" s="170"/>
      <c r="E100" s="526">
        <f>E39+E48+E92+E99+E72+E78+E54</f>
        <v>108625200</v>
      </c>
      <c r="F100" s="526"/>
      <c r="G100" s="526"/>
      <c r="H100" s="526"/>
      <c r="J100" s="525" t="s">
        <v>35</v>
      </c>
      <c r="K100" s="525"/>
      <c r="L100" s="525"/>
      <c r="M100" s="179"/>
      <c r="N100" s="526">
        <f>N39+N48+N92+N99+N72+N78+N54</f>
        <v>42735000</v>
      </c>
      <c r="O100" s="526"/>
      <c r="P100" s="526"/>
      <c r="Q100" s="526"/>
      <c r="S100" s="525" t="s">
        <v>35</v>
      </c>
      <c r="T100" s="525"/>
      <c r="U100" s="525"/>
      <c r="V100" s="198"/>
      <c r="W100" s="526">
        <f>W39+W48+W92+W99+W72+W78+W54</f>
        <v>41058450</v>
      </c>
      <c r="X100" s="526"/>
      <c r="Y100" s="526"/>
      <c r="Z100" s="526"/>
    </row>
    <row r="101" spans="1:26">
      <c r="A101" s="522" t="s">
        <v>36</v>
      </c>
      <c r="B101" s="522"/>
      <c r="C101" s="522"/>
      <c r="D101" s="173"/>
      <c r="E101" s="523">
        <f>+E20+E100</f>
        <v>108625200</v>
      </c>
      <c r="F101" s="523"/>
      <c r="G101" s="523"/>
      <c r="H101" s="523"/>
      <c r="J101" s="522" t="s">
        <v>36</v>
      </c>
      <c r="K101" s="522"/>
      <c r="L101" s="522"/>
      <c r="M101" s="178"/>
      <c r="N101" s="523">
        <f>+N20+N100</f>
        <v>42735000</v>
      </c>
      <c r="O101" s="523"/>
      <c r="P101" s="523"/>
      <c r="Q101" s="523"/>
      <c r="S101" s="522" t="s">
        <v>36</v>
      </c>
      <c r="T101" s="522"/>
      <c r="U101" s="522"/>
      <c r="V101" s="197"/>
      <c r="W101" s="523">
        <f>+W20+W100</f>
        <v>42678450</v>
      </c>
      <c r="X101" s="523"/>
      <c r="Y101" s="523"/>
      <c r="Z101" s="523"/>
    </row>
    <row r="102" spans="1:26">
      <c r="A102" s="524" t="s">
        <v>32</v>
      </c>
      <c r="B102" s="524"/>
      <c r="C102" s="524"/>
      <c r="D102" s="524"/>
      <c r="E102" s="524"/>
      <c r="F102" s="524"/>
      <c r="G102" s="524"/>
      <c r="H102" s="524"/>
      <c r="J102" s="524" t="s">
        <v>32</v>
      </c>
      <c r="K102" s="524"/>
      <c r="L102" s="524"/>
      <c r="M102" s="524"/>
      <c r="N102" s="524"/>
      <c r="O102" s="524"/>
      <c r="P102" s="524"/>
      <c r="Q102" s="524"/>
      <c r="S102" s="524" t="s">
        <v>32</v>
      </c>
      <c r="T102" s="524"/>
      <c r="U102" s="524"/>
      <c r="V102" s="524"/>
      <c r="W102" s="524"/>
      <c r="X102" s="524"/>
      <c r="Y102" s="524"/>
      <c r="Z102" s="524"/>
    </row>
    <row r="103" spans="1:26">
      <c r="A103" s="33"/>
      <c r="B103" s="13"/>
      <c r="C103" s="22"/>
      <c r="D103" s="22"/>
      <c r="E103" s="22"/>
      <c r="F103" s="22"/>
      <c r="G103" s="16"/>
      <c r="H103" s="16"/>
      <c r="J103" s="33"/>
      <c r="K103" s="13"/>
      <c r="L103" s="22"/>
      <c r="M103" s="22"/>
      <c r="N103" s="22"/>
      <c r="O103" s="22"/>
      <c r="P103" s="16"/>
      <c r="Q103" s="16"/>
      <c r="S103" s="33"/>
      <c r="T103" s="13"/>
      <c r="U103" s="22"/>
      <c r="V103" s="22"/>
      <c r="W103" s="22"/>
      <c r="X103" s="22"/>
      <c r="Y103" s="16"/>
      <c r="Z103" s="16"/>
    </row>
    <row r="104" spans="1:26">
      <c r="A104" s="33"/>
      <c r="B104" s="13"/>
      <c r="C104" s="22"/>
      <c r="D104" s="22"/>
      <c r="E104" s="22"/>
      <c r="F104" s="22"/>
      <c r="G104" s="16"/>
      <c r="H104" s="16"/>
      <c r="J104" s="33"/>
      <c r="K104" s="13"/>
      <c r="L104" s="22"/>
      <c r="M104" s="22"/>
      <c r="N104" s="22"/>
      <c r="O104" s="22"/>
      <c r="P104" s="16"/>
      <c r="Q104" s="16"/>
      <c r="S104" s="33"/>
      <c r="T104" s="13"/>
      <c r="U104" s="22"/>
      <c r="V104" s="22"/>
      <c r="W104" s="22"/>
      <c r="X104" s="22"/>
      <c r="Y104" s="16"/>
      <c r="Z104" s="16"/>
    </row>
    <row r="105" spans="1:26">
      <c r="A105" s="33"/>
      <c r="B105" s="13"/>
      <c r="C105" s="22"/>
      <c r="D105" s="22"/>
      <c r="E105" s="22"/>
      <c r="F105" s="22"/>
      <c r="G105" s="16"/>
      <c r="H105" s="16"/>
      <c r="J105" s="33"/>
      <c r="K105" s="13"/>
      <c r="L105" s="22"/>
      <c r="M105" s="22"/>
      <c r="N105" s="22"/>
      <c r="O105" s="22"/>
      <c r="P105" s="16"/>
      <c r="Q105" s="16"/>
      <c r="S105" s="33"/>
      <c r="T105" s="13"/>
      <c r="U105" s="22"/>
      <c r="V105" s="22"/>
      <c r="W105" s="22"/>
      <c r="X105" s="22"/>
      <c r="Y105" s="16"/>
      <c r="Z105" s="16"/>
    </row>
    <row r="106" spans="1:26">
      <c r="A106" s="20"/>
      <c r="B106" s="13"/>
      <c r="C106" s="22"/>
      <c r="D106" s="22"/>
      <c r="E106" s="22"/>
      <c r="F106" s="16"/>
      <c r="G106" s="16"/>
      <c r="H106" s="16"/>
      <c r="J106" s="20"/>
      <c r="K106" s="13"/>
      <c r="L106" s="22"/>
      <c r="M106" s="22"/>
      <c r="N106" s="22"/>
      <c r="O106" s="16"/>
      <c r="P106" s="16"/>
      <c r="Q106" s="16"/>
      <c r="S106" s="20"/>
      <c r="T106" s="13"/>
      <c r="U106" s="22"/>
      <c r="V106" s="22"/>
      <c r="W106" s="22"/>
      <c r="X106" s="16"/>
      <c r="Y106" s="16"/>
      <c r="Z106" s="16"/>
    </row>
    <row r="107" spans="1:26">
      <c r="A107" s="20"/>
      <c r="B107" s="13"/>
      <c r="C107" s="22"/>
      <c r="D107" s="22"/>
      <c r="E107" s="22"/>
      <c r="F107" s="16"/>
      <c r="G107" s="16"/>
      <c r="H107" s="16"/>
      <c r="J107" s="20"/>
      <c r="K107" s="13"/>
      <c r="L107" s="22"/>
      <c r="M107" s="22"/>
      <c r="N107" s="22"/>
      <c r="O107" s="16"/>
      <c r="P107" s="16"/>
      <c r="Q107" s="16"/>
      <c r="S107" s="20"/>
      <c r="T107" s="13"/>
      <c r="U107" s="22"/>
      <c r="V107" s="22"/>
      <c r="W107" s="22"/>
      <c r="X107" s="16"/>
      <c r="Y107" s="16"/>
      <c r="Z107" s="16"/>
    </row>
    <row r="108" spans="1:26">
      <c r="A108" s="525" t="s">
        <v>37</v>
      </c>
      <c r="B108" s="525"/>
      <c r="C108" s="525"/>
      <c r="D108" s="170">
        <f>SUM(D103:D107)</f>
        <v>0</v>
      </c>
      <c r="E108" s="526"/>
      <c r="F108" s="526"/>
      <c r="G108" s="526"/>
      <c r="H108" s="526"/>
      <c r="J108" s="525" t="s">
        <v>37</v>
      </c>
      <c r="K108" s="525"/>
      <c r="L108" s="525"/>
      <c r="M108" s="179">
        <f>SUM(M103:M107)</f>
        <v>0</v>
      </c>
      <c r="N108" s="526"/>
      <c r="O108" s="526"/>
      <c r="P108" s="526"/>
      <c r="Q108" s="526"/>
      <c r="S108" s="525" t="s">
        <v>37</v>
      </c>
      <c r="T108" s="525"/>
      <c r="U108" s="525"/>
      <c r="V108" s="198">
        <f>SUM(V103:V107)</f>
        <v>0</v>
      </c>
      <c r="W108" s="526"/>
      <c r="X108" s="526"/>
      <c r="Y108" s="526"/>
      <c r="Z108" s="526"/>
    </row>
    <row r="109" spans="1:26">
      <c r="A109" s="34" t="s">
        <v>38</v>
      </c>
      <c r="B109" s="35"/>
      <c r="C109" s="170"/>
      <c r="D109" s="170"/>
      <c r="E109" s="171"/>
      <c r="F109" s="171"/>
      <c r="G109" s="526"/>
      <c r="H109" s="526"/>
      <c r="J109" s="34" t="s">
        <v>38</v>
      </c>
      <c r="K109" s="35"/>
      <c r="L109" s="179"/>
      <c r="M109" s="179"/>
      <c r="N109" s="180"/>
      <c r="O109" s="180"/>
      <c r="P109" s="526"/>
      <c r="Q109" s="526"/>
      <c r="S109" s="34" t="s">
        <v>38</v>
      </c>
      <c r="T109" s="35"/>
      <c r="U109" s="198"/>
      <c r="V109" s="198"/>
      <c r="W109" s="199"/>
      <c r="X109" s="199"/>
      <c r="Y109" s="526"/>
      <c r="Z109" s="526"/>
    </row>
    <row r="110" spans="1:26">
      <c r="A110" s="37"/>
      <c r="B110" s="38"/>
      <c r="C110" s="39"/>
      <c r="D110" s="39"/>
      <c r="E110" s="39"/>
      <c r="F110" s="39"/>
      <c r="G110" s="39"/>
      <c r="H110" s="39"/>
      <c r="J110" s="37"/>
      <c r="K110" s="38"/>
      <c r="L110" s="39"/>
      <c r="M110" s="39"/>
      <c r="N110" s="39"/>
      <c r="O110" s="39"/>
      <c r="P110" s="39"/>
      <c r="Q110" s="39"/>
      <c r="S110" s="37"/>
      <c r="T110" s="38"/>
      <c r="U110" s="39"/>
      <c r="V110" s="39"/>
      <c r="W110" s="39"/>
      <c r="X110" s="39"/>
      <c r="Y110" s="39"/>
      <c r="Z110" s="39"/>
    </row>
    <row r="111" spans="1:26">
      <c r="A111" s="519" t="s">
        <v>13</v>
      </c>
      <c r="B111" s="520"/>
      <c r="C111" s="520"/>
      <c r="D111" s="520"/>
      <c r="E111" s="521"/>
      <c r="F111" s="39"/>
      <c r="G111" s="39"/>
      <c r="H111" s="40"/>
      <c r="J111" s="519" t="s">
        <v>13</v>
      </c>
      <c r="K111" s="520"/>
      <c r="L111" s="520"/>
      <c r="M111" s="520"/>
      <c r="N111" s="521"/>
      <c r="O111" s="39"/>
      <c r="P111" s="39"/>
      <c r="Q111" s="40"/>
      <c r="S111" s="519" t="s">
        <v>13</v>
      </c>
      <c r="T111" s="520"/>
      <c r="U111" s="520"/>
      <c r="V111" s="520"/>
      <c r="W111" s="521"/>
      <c r="X111" s="39"/>
      <c r="Y111" s="39"/>
      <c r="Z111" s="40"/>
    </row>
    <row r="112" spans="1:26">
      <c r="A112" s="41" t="s">
        <v>39</v>
      </c>
      <c r="B112" s="42" t="s">
        <v>40</v>
      </c>
      <c r="C112" s="43" t="s">
        <v>41</v>
      </c>
      <c r="D112" s="43" t="s">
        <v>42</v>
      </c>
      <c r="E112" s="43" t="s">
        <v>43</v>
      </c>
      <c r="F112" s="39"/>
      <c r="G112" s="39"/>
      <c r="H112" s="39"/>
      <c r="J112" s="41" t="s">
        <v>39</v>
      </c>
      <c r="K112" s="42" t="s">
        <v>40</v>
      </c>
      <c r="L112" s="43" t="s">
        <v>41</v>
      </c>
      <c r="M112" s="43" t="s">
        <v>42</v>
      </c>
      <c r="N112" s="43" t="s">
        <v>43</v>
      </c>
      <c r="O112" s="39"/>
      <c r="P112" s="39"/>
      <c r="Q112" s="39"/>
      <c r="S112" s="41" t="s">
        <v>39</v>
      </c>
      <c r="T112" s="42" t="s">
        <v>40</v>
      </c>
      <c r="U112" s="43" t="s">
        <v>41</v>
      </c>
      <c r="V112" s="43" t="s">
        <v>42</v>
      </c>
      <c r="W112" s="43" t="s">
        <v>43</v>
      </c>
      <c r="X112" s="39"/>
      <c r="Y112" s="39"/>
      <c r="Z112" s="39"/>
    </row>
    <row r="113" spans="1:26">
      <c r="A113" s="41"/>
      <c r="B113" s="44"/>
      <c r="C113" s="45"/>
      <c r="D113" s="46"/>
      <c r="E113" s="46"/>
      <c r="F113" s="39"/>
      <c r="G113" s="39"/>
      <c r="H113" s="39"/>
      <c r="J113" s="41"/>
      <c r="K113" s="44"/>
      <c r="L113" s="45" t="s">
        <v>467</v>
      </c>
      <c r="M113" s="46">
        <v>27500000</v>
      </c>
      <c r="N113" s="46"/>
      <c r="O113" s="39"/>
      <c r="P113" s="39"/>
      <c r="Q113" s="39"/>
      <c r="S113" s="41"/>
      <c r="T113" s="44"/>
      <c r="U113" s="45" t="s">
        <v>467</v>
      </c>
      <c r="V113" s="46">
        <v>27500000</v>
      </c>
      <c r="W113" s="46"/>
      <c r="X113" s="39"/>
      <c r="Y113" s="39"/>
      <c r="Z113" s="39"/>
    </row>
    <row r="114" spans="1:26">
      <c r="A114" s="41"/>
      <c r="B114" s="44"/>
      <c r="C114" s="45"/>
      <c r="D114" s="46"/>
      <c r="E114" s="46"/>
      <c r="F114" s="39"/>
      <c r="G114" s="39"/>
      <c r="H114" s="39"/>
      <c r="J114" s="41"/>
      <c r="K114" s="44"/>
      <c r="L114" s="45" t="s">
        <v>466</v>
      </c>
      <c r="M114" s="46">
        <v>2500000</v>
      </c>
      <c r="N114" s="46"/>
      <c r="O114" s="39"/>
      <c r="P114" s="39"/>
      <c r="Q114" s="39"/>
      <c r="S114" s="41"/>
      <c r="T114" s="44"/>
      <c r="U114" s="45" t="s">
        <v>466</v>
      </c>
      <c r="V114" s="46">
        <v>2500000</v>
      </c>
      <c r="W114" s="46"/>
      <c r="X114" s="39"/>
      <c r="Y114" s="39"/>
      <c r="Z114" s="39"/>
    </row>
    <row r="115" spans="1:26">
      <c r="A115" s="41"/>
      <c r="B115" s="44"/>
      <c r="C115" s="45"/>
      <c r="D115" s="46"/>
      <c r="E115" s="46"/>
      <c r="F115" s="39"/>
      <c r="G115" s="39"/>
      <c r="H115" s="39"/>
      <c r="J115" s="41"/>
      <c r="K115" s="44"/>
      <c r="L115" s="45" t="s">
        <v>313</v>
      </c>
      <c r="M115" s="46">
        <v>10500000</v>
      </c>
      <c r="N115" s="46"/>
      <c r="O115" s="39"/>
      <c r="P115" s="39"/>
      <c r="Q115" s="39"/>
      <c r="S115" s="41"/>
      <c r="T115" s="44"/>
      <c r="U115" s="45" t="s">
        <v>313</v>
      </c>
      <c r="V115" s="46">
        <v>10500000</v>
      </c>
      <c r="W115" s="46"/>
      <c r="X115" s="39"/>
      <c r="Y115" s="39"/>
      <c r="Z115" s="39"/>
    </row>
    <row r="116" spans="1:26">
      <c r="A116" s="41"/>
      <c r="B116" s="44"/>
      <c r="C116" s="47"/>
      <c r="D116" s="46"/>
      <c r="E116" s="46"/>
      <c r="F116" s="39"/>
      <c r="G116" s="39"/>
      <c r="H116" s="39"/>
      <c r="J116" s="41"/>
      <c r="K116" s="44"/>
      <c r="L116" s="47" t="s">
        <v>468</v>
      </c>
      <c r="M116" s="46">
        <v>2235000</v>
      </c>
      <c r="N116" s="46"/>
      <c r="O116" s="39"/>
      <c r="P116" s="39"/>
      <c r="Q116" s="39"/>
      <c r="S116" s="41"/>
      <c r="T116" s="44"/>
      <c r="U116" s="47" t="s">
        <v>468</v>
      </c>
      <c r="V116" s="46">
        <v>2235000</v>
      </c>
      <c r="W116" s="46"/>
      <c r="X116" s="39"/>
      <c r="Y116" s="39"/>
      <c r="Z116" s="39"/>
    </row>
    <row r="117" spans="1:26">
      <c r="A117" s="41"/>
      <c r="B117" s="44"/>
      <c r="C117" s="46"/>
      <c r="D117" s="48"/>
      <c r="E117" s="46"/>
      <c r="F117" s="39"/>
      <c r="G117" s="39"/>
      <c r="H117" s="39"/>
      <c r="J117" s="41"/>
      <c r="K117" s="44"/>
      <c r="L117" s="46"/>
      <c r="M117" s="48"/>
      <c r="N117" s="46"/>
      <c r="O117" s="39"/>
      <c r="P117" s="39"/>
      <c r="Q117" s="39"/>
      <c r="S117" s="41"/>
      <c r="T117" s="44"/>
      <c r="U117" s="46"/>
      <c r="V117" s="48"/>
      <c r="W117" s="46"/>
      <c r="X117" s="39"/>
      <c r="Y117" s="39"/>
      <c r="Z117" s="39"/>
    </row>
    <row r="118" spans="1:26">
      <c r="A118" s="49"/>
      <c r="B118" s="50"/>
      <c r="C118" s="51" t="s">
        <v>44</v>
      </c>
      <c r="D118" s="51">
        <f>SUM(D113:D117)</f>
        <v>0</v>
      </c>
      <c r="E118" s="52"/>
      <c r="F118" s="39"/>
      <c r="G118" s="39"/>
      <c r="H118" s="39"/>
      <c r="J118" s="49"/>
      <c r="K118" s="50"/>
      <c r="L118" s="51" t="s">
        <v>44</v>
      </c>
      <c r="M118" s="51">
        <f>SUM(M113:M117)</f>
        <v>42735000</v>
      </c>
      <c r="N118" s="52"/>
      <c r="O118" s="39"/>
      <c r="P118" s="39"/>
      <c r="Q118" s="39"/>
      <c r="S118" s="49"/>
      <c r="T118" s="50"/>
      <c r="U118" s="51" t="s">
        <v>44</v>
      </c>
      <c r="V118" s="51">
        <f>SUM(V113:V117)</f>
        <v>42735000</v>
      </c>
      <c r="W118" s="52"/>
      <c r="X118" s="39"/>
      <c r="Y118" s="39"/>
      <c r="Z118" s="39"/>
    </row>
    <row r="119" spans="1:26">
      <c r="A119" s="53"/>
      <c r="B119" s="54"/>
      <c r="C119" s="55"/>
      <c r="D119" s="56"/>
      <c r="E119" s="3"/>
      <c r="F119" s="39"/>
      <c r="G119" s="39"/>
      <c r="H119" s="39"/>
      <c r="J119" s="53"/>
      <c r="K119" s="54"/>
      <c r="L119" s="55"/>
      <c r="M119" s="116">
        <f>M118-N101</f>
        <v>0</v>
      </c>
      <c r="N119" s="3"/>
      <c r="O119" s="39"/>
      <c r="P119" s="39"/>
      <c r="Q119" s="39"/>
      <c r="S119" s="53"/>
      <c r="T119" s="54"/>
      <c r="U119" s="55"/>
      <c r="V119" s="116">
        <f>V118-W101</f>
        <v>56550</v>
      </c>
      <c r="W119" s="3"/>
      <c r="X119" s="39"/>
      <c r="Y119" s="39"/>
      <c r="Z119" s="39"/>
    </row>
  </sheetData>
  <mergeCells count="99">
    <mergeCell ref="A111:E111"/>
    <mergeCell ref="A101:C101"/>
    <mergeCell ref="E101:H101"/>
    <mergeCell ref="A102:H102"/>
    <mergeCell ref="A108:C108"/>
    <mergeCell ref="E108:H108"/>
    <mergeCell ref="G109:H109"/>
    <mergeCell ref="A79:H79"/>
    <mergeCell ref="E92:H92"/>
    <mergeCell ref="A93:H93"/>
    <mergeCell ref="E99:H99"/>
    <mergeCell ref="A100:C100"/>
    <mergeCell ref="E100:H100"/>
    <mergeCell ref="E78:H78"/>
    <mergeCell ref="A20:D20"/>
    <mergeCell ref="E20:H20"/>
    <mergeCell ref="A21:H21"/>
    <mergeCell ref="E39:H39"/>
    <mergeCell ref="A40:H40"/>
    <mergeCell ref="E48:H48"/>
    <mergeCell ref="A49:H49"/>
    <mergeCell ref="E54:H54"/>
    <mergeCell ref="A55:H55"/>
    <mergeCell ref="E72:H72"/>
    <mergeCell ref="A73:H73"/>
    <mergeCell ref="A3:H3"/>
    <mergeCell ref="A11:G11"/>
    <mergeCell ref="A12:H12"/>
    <mergeCell ref="A13:A14"/>
    <mergeCell ref="B13:B14"/>
    <mergeCell ref="C13:C14"/>
    <mergeCell ref="D13:D14"/>
    <mergeCell ref="E13:H13"/>
    <mergeCell ref="J3:Q3"/>
    <mergeCell ref="J11:P11"/>
    <mergeCell ref="J12:Q12"/>
    <mergeCell ref="J13:J14"/>
    <mergeCell ref="K13:K14"/>
    <mergeCell ref="L13:L14"/>
    <mergeCell ref="M13:M14"/>
    <mergeCell ref="N13:Q13"/>
    <mergeCell ref="J20:M20"/>
    <mergeCell ref="N20:Q20"/>
    <mergeCell ref="J21:Q21"/>
    <mergeCell ref="N39:Q39"/>
    <mergeCell ref="J40:Q40"/>
    <mergeCell ref="N48:Q48"/>
    <mergeCell ref="J49:Q49"/>
    <mergeCell ref="N54:Q54"/>
    <mergeCell ref="J55:Q55"/>
    <mergeCell ref="N72:Q72"/>
    <mergeCell ref="J73:Q73"/>
    <mergeCell ref="N78:Q78"/>
    <mergeCell ref="J79:Q79"/>
    <mergeCell ref="N92:Q92"/>
    <mergeCell ref="J93:Q93"/>
    <mergeCell ref="N99:Q99"/>
    <mergeCell ref="J100:L100"/>
    <mergeCell ref="N100:Q100"/>
    <mergeCell ref="J101:L101"/>
    <mergeCell ref="N101:Q101"/>
    <mergeCell ref="J102:Q102"/>
    <mergeCell ref="J108:L108"/>
    <mergeCell ref="N108:Q108"/>
    <mergeCell ref="P109:Q109"/>
    <mergeCell ref="J111:N111"/>
    <mergeCell ref="S3:Z3"/>
    <mergeCell ref="S11:Y11"/>
    <mergeCell ref="S12:Z12"/>
    <mergeCell ref="S13:S14"/>
    <mergeCell ref="T13:T14"/>
    <mergeCell ref="U13:U14"/>
    <mergeCell ref="V13:V14"/>
    <mergeCell ref="W13:Z13"/>
    <mergeCell ref="S20:V20"/>
    <mergeCell ref="W20:Z20"/>
    <mergeCell ref="S21:Z21"/>
    <mergeCell ref="W39:Z39"/>
    <mergeCell ref="S40:Z40"/>
    <mergeCell ref="W48:Z48"/>
    <mergeCell ref="S49:Z49"/>
    <mergeCell ref="W54:Z54"/>
    <mergeCell ref="S55:Z55"/>
    <mergeCell ref="W72:Z72"/>
    <mergeCell ref="S73:Z73"/>
    <mergeCell ref="W78:Z78"/>
    <mergeCell ref="S79:Z79"/>
    <mergeCell ref="W92:Z92"/>
    <mergeCell ref="S93:Z93"/>
    <mergeCell ref="W99:Z99"/>
    <mergeCell ref="S100:U100"/>
    <mergeCell ref="W100:Z100"/>
    <mergeCell ref="S101:U101"/>
    <mergeCell ref="W101:Z101"/>
    <mergeCell ref="S102:Z102"/>
    <mergeCell ref="S108:U108"/>
    <mergeCell ref="W108:Z108"/>
    <mergeCell ref="Y109:Z109"/>
    <mergeCell ref="S111:W111"/>
  </mergeCells>
  <pageMargins left="0.10625" right="0.11811023622047245" top="0.19685039370078741" bottom="0.56999999999999995" header="0.11811023622047245" footer="0.31496062992125984"/>
  <pageSetup paperSize="9" scale="85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33"/>
  <sheetViews>
    <sheetView workbookViewId="0"/>
  </sheetViews>
  <sheetFormatPr defaultRowHeight="15"/>
  <cols>
    <col min="1" max="1" width="51.85546875" bestFit="1" customWidth="1"/>
    <col min="2" max="2" width="11.5703125" bestFit="1" customWidth="1"/>
    <col min="3" max="3" width="25" bestFit="1" customWidth="1"/>
    <col min="4" max="4" width="10.5703125" bestFit="1" customWidth="1"/>
    <col min="5" max="5" width="58.28515625" bestFit="1" customWidth="1"/>
    <col min="6" max="6" width="10.5703125" bestFit="1" customWidth="1"/>
    <col min="7" max="7" width="52.7109375" bestFit="1" customWidth="1"/>
    <col min="8" max="8" width="11.5703125" bestFit="1" customWidth="1"/>
    <col min="12" max="12" width="11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84" customFormat="1">
      <c r="A2" s="23" t="s">
        <v>365</v>
      </c>
      <c r="B2" s="23">
        <v>4445000</v>
      </c>
      <c r="C2" s="23" t="s">
        <v>150</v>
      </c>
      <c r="D2" s="23">
        <v>150000</v>
      </c>
      <c r="E2" s="15" t="s">
        <v>471</v>
      </c>
      <c r="F2" s="22">
        <v>750000</v>
      </c>
      <c r="G2" s="15" t="s">
        <v>431</v>
      </c>
      <c r="H2" s="22">
        <v>1395000</v>
      </c>
      <c r="I2" s="183"/>
      <c r="J2" s="30"/>
    </row>
    <row r="3" spans="1:10" s="184" customFormat="1">
      <c r="A3" s="23" t="s">
        <v>473</v>
      </c>
      <c r="B3" s="23">
        <v>5000000</v>
      </c>
      <c r="C3" s="24" t="s">
        <v>410</v>
      </c>
      <c r="D3" s="23">
        <v>900000</v>
      </c>
      <c r="E3" s="15" t="s">
        <v>470</v>
      </c>
      <c r="F3" s="23">
        <v>900000</v>
      </c>
      <c r="G3" s="15" t="s">
        <v>434</v>
      </c>
      <c r="H3" s="23">
        <v>1377000</v>
      </c>
      <c r="I3" s="183"/>
      <c r="J3" s="30"/>
    </row>
    <row r="4" spans="1:10" s="184" customFormat="1">
      <c r="A4" s="24" t="s">
        <v>263</v>
      </c>
      <c r="B4" s="23">
        <v>1540000</v>
      </c>
      <c r="C4" s="183"/>
      <c r="D4" s="30"/>
      <c r="E4" s="15" t="s">
        <v>442</v>
      </c>
      <c r="F4" s="23">
        <v>260000</v>
      </c>
      <c r="G4" s="15" t="s">
        <v>444</v>
      </c>
      <c r="H4" s="23">
        <v>1055000</v>
      </c>
      <c r="I4" s="183"/>
      <c r="J4" s="30"/>
    </row>
    <row r="5" spans="1:10" s="184" customFormat="1">
      <c r="A5" s="24" t="s">
        <v>429</v>
      </c>
      <c r="B5" s="23">
        <v>300000</v>
      </c>
      <c r="C5" s="30"/>
      <c r="D5" s="185"/>
      <c r="E5" s="15" t="s">
        <v>436</v>
      </c>
      <c r="F5" s="23">
        <v>1210000</v>
      </c>
      <c r="G5" s="183" t="s">
        <v>472</v>
      </c>
      <c r="H5" s="23">
        <v>150000</v>
      </c>
      <c r="I5" s="183"/>
      <c r="J5" s="183"/>
    </row>
    <row r="6" spans="1:10" s="187" customFormat="1">
      <c r="A6" s="183" t="s">
        <v>449</v>
      </c>
      <c r="B6" s="23">
        <v>1500000</v>
      </c>
      <c r="C6" s="186"/>
      <c r="D6" s="185"/>
      <c r="E6" s="183"/>
      <c r="F6" s="30"/>
      <c r="G6" s="15" t="s">
        <v>437</v>
      </c>
      <c r="H6" s="23">
        <v>200000</v>
      </c>
      <c r="I6" s="183"/>
      <c r="J6" s="183"/>
    </row>
    <row r="7" spans="1:10" s="187" customFormat="1">
      <c r="A7" s="23" t="s">
        <v>450</v>
      </c>
      <c r="B7" s="23">
        <v>600000</v>
      </c>
      <c r="C7" s="30"/>
      <c r="D7" s="188"/>
      <c r="E7" s="183"/>
      <c r="F7" s="30"/>
      <c r="G7" s="23" t="s">
        <v>438</v>
      </c>
      <c r="H7" s="23">
        <v>300000</v>
      </c>
      <c r="I7" s="183"/>
      <c r="J7" s="183"/>
    </row>
    <row r="8" spans="1:10" s="187" customFormat="1">
      <c r="A8" s="183" t="s">
        <v>451</v>
      </c>
      <c r="B8" s="30">
        <v>500000</v>
      </c>
      <c r="C8" s="30"/>
      <c r="D8" s="188"/>
      <c r="E8" s="30"/>
      <c r="F8" s="188"/>
      <c r="G8" s="15" t="s">
        <v>439</v>
      </c>
      <c r="H8" s="23">
        <v>400000</v>
      </c>
      <c r="I8" s="30"/>
      <c r="J8" s="188"/>
    </row>
    <row r="9" spans="1:10" s="187" customFormat="1">
      <c r="A9" s="186" t="s">
        <v>414</v>
      </c>
      <c r="B9" s="185">
        <v>126000</v>
      </c>
      <c r="C9" s="30"/>
      <c r="D9" s="188"/>
      <c r="E9" s="185"/>
      <c r="F9" s="189"/>
      <c r="G9" s="183" t="s">
        <v>440</v>
      </c>
      <c r="H9" s="183">
        <v>5000000</v>
      </c>
      <c r="I9" s="30"/>
      <c r="J9" s="188"/>
    </row>
    <row r="10" spans="1:10" s="187" customFormat="1">
      <c r="A10" s="186" t="s">
        <v>457</v>
      </c>
      <c r="B10" s="188">
        <f>11277000-5092000</f>
        <v>6185000</v>
      </c>
      <c r="C10" s="190"/>
      <c r="D10" s="190"/>
      <c r="E10" s="185"/>
      <c r="F10" s="189"/>
      <c r="G10" s="183" t="s">
        <v>445</v>
      </c>
      <c r="H10" s="183">
        <v>3150000</v>
      </c>
      <c r="I10" s="30"/>
      <c r="J10" s="188"/>
    </row>
    <row r="11" spans="1:10" s="187" customFormat="1">
      <c r="A11" s="186"/>
      <c r="B11" s="185"/>
      <c r="C11" s="190"/>
      <c r="D11" s="190"/>
      <c r="E11" s="185"/>
      <c r="F11" s="189"/>
      <c r="G11" s="183" t="s">
        <v>454</v>
      </c>
      <c r="H11" s="183">
        <v>250000</v>
      </c>
      <c r="I11" s="30"/>
      <c r="J11" s="188"/>
    </row>
    <row r="12" spans="1:10" s="187" customFormat="1">
      <c r="A12" s="186"/>
      <c r="B12" s="185"/>
      <c r="C12" s="190"/>
      <c r="D12" s="190"/>
      <c r="E12" s="185"/>
      <c r="F12" s="189"/>
      <c r="G12" s="183" t="s">
        <v>474</v>
      </c>
      <c r="H12" s="30">
        <v>5092000</v>
      </c>
      <c r="I12" s="30"/>
      <c r="J12" s="188"/>
    </row>
    <row r="13" spans="1:10" s="187" customFormat="1" hidden="1">
      <c r="A13" s="186"/>
      <c r="B13" s="185"/>
      <c r="C13" s="190"/>
      <c r="D13" s="190"/>
      <c r="E13" s="185"/>
      <c r="F13" s="189"/>
      <c r="G13" s="183"/>
      <c r="H13" s="30"/>
      <c r="I13" s="191"/>
      <c r="J13" s="192"/>
    </row>
    <row r="14" spans="1:10" s="187" customFormat="1" hidden="1">
      <c r="A14" s="193"/>
      <c r="B14" s="194"/>
      <c r="C14" s="194"/>
      <c r="D14" s="194"/>
      <c r="E14" s="194"/>
      <c r="F14" s="194"/>
      <c r="G14" s="183"/>
      <c r="H14" s="30"/>
      <c r="I14" s="193"/>
      <c r="J14" s="194"/>
    </row>
    <row r="15" spans="1:10" s="187" customFormat="1" hidden="1">
      <c r="A15" s="193"/>
      <c r="B15" s="194"/>
      <c r="C15" s="194"/>
      <c r="D15" s="194"/>
      <c r="E15" s="194"/>
      <c r="F15" s="194"/>
      <c r="G15" s="195"/>
      <c r="H15" s="195"/>
      <c r="I15" s="193"/>
      <c r="J15" s="194"/>
    </row>
    <row r="16" spans="1:10" s="187" customFormat="1" hidden="1">
      <c r="A16" s="193"/>
      <c r="B16" s="194"/>
      <c r="C16" s="194"/>
      <c r="D16" s="194"/>
      <c r="E16" s="194"/>
      <c r="F16" s="194"/>
      <c r="G16" s="196"/>
      <c r="H16" s="196"/>
      <c r="I16" s="193"/>
      <c r="J16" s="194"/>
    </row>
    <row r="17" spans="1:12" s="187" customFormat="1" hidden="1">
      <c r="A17" s="193"/>
      <c r="B17" s="194"/>
      <c r="C17" s="194"/>
      <c r="D17" s="194"/>
      <c r="E17" s="194"/>
      <c r="F17" s="194"/>
      <c r="G17" s="196"/>
      <c r="H17" s="196"/>
      <c r="I17" s="193"/>
      <c r="J17" s="194"/>
    </row>
    <row r="18" spans="1:12" s="187" customFormat="1" hidden="1">
      <c r="A18" s="193"/>
      <c r="B18" s="194"/>
      <c r="C18" s="194"/>
      <c r="D18" s="194"/>
      <c r="E18" s="194"/>
      <c r="F18" s="194"/>
      <c r="G18" s="196"/>
      <c r="H18" s="196"/>
      <c r="I18" s="193"/>
      <c r="J18" s="194"/>
    </row>
    <row r="19" spans="1:12" s="187" customFormat="1" hidden="1">
      <c r="A19" s="193"/>
      <c r="B19" s="194"/>
      <c r="C19" s="194"/>
      <c r="D19" s="194"/>
      <c r="E19" s="194"/>
      <c r="F19" s="194"/>
      <c r="G19" s="196"/>
      <c r="H19" s="196"/>
      <c r="I19" s="193"/>
      <c r="J19" s="194"/>
    </row>
    <row r="20" spans="1:12" s="187" customFormat="1" hidden="1">
      <c r="A20" s="193"/>
      <c r="B20" s="194"/>
      <c r="C20" s="194"/>
      <c r="D20" s="194"/>
      <c r="E20" s="194"/>
      <c r="F20" s="194"/>
      <c r="G20" s="196"/>
      <c r="H20" s="196"/>
      <c r="I20" s="193"/>
      <c r="J20" s="194"/>
    </row>
    <row r="21" spans="1:12" s="187" customFormat="1" hidden="1">
      <c r="A21" s="193"/>
      <c r="B21" s="194"/>
      <c r="C21" s="194"/>
      <c r="D21" s="194"/>
      <c r="E21" s="194"/>
      <c r="F21" s="194"/>
      <c r="G21" s="196"/>
      <c r="H21" s="196"/>
      <c r="I21" s="193"/>
      <c r="J21" s="194"/>
    </row>
    <row r="22" spans="1:12" s="187" customFormat="1" hidden="1">
      <c r="A22" s="193"/>
      <c r="B22" s="194"/>
      <c r="C22" s="194"/>
      <c r="D22" s="194"/>
      <c r="E22" s="194"/>
      <c r="F22" s="194"/>
      <c r="G22" s="196"/>
      <c r="H22" s="196"/>
      <c r="I22" s="193"/>
      <c r="J22" s="194"/>
    </row>
    <row r="23" spans="1:12" s="187" customFormat="1" hidden="1">
      <c r="A23" s="193"/>
      <c r="B23" s="194"/>
      <c r="C23" s="194"/>
      <c r="D23" s="194"/>
      <c r="E23" s="194"/>
      <c r="F23" s="194"/>
      <c r="G23" s="196"/>
      <c r="H23" s="196"/>
      <c r="I23" s="193"/>
      <c r="J23" s="194"/>
    </row>
    <row r="24" spans="1:12" s="187" customFormat="1" hidden="1">
      <c r="A24" s="193"/>
      <c r="B24" s="194"/>
      <c r="C24" s="194"/>
      <c r="D24" s="194"/>
      <c r="E24" s="194"/>
      <c r="F24" s="194"/>
      <c r="G24" s="196"/>
      <c r="H24" s="196"/>
      <c r="I24" s="193"/>
      <c r="J24" s="194"/>
    </row>
    <row r="25" spans="1:12" s="187" customFormat="1" hidden="1">
      <c r="A25" s="193"/>
      <c r="B25" s="194"/>
      <c r="C25" s="194"/>
      <c r="D25" s="194"/>
      <c r="E25" s="194"/>
      <c r="F25" s="194"/>
      <c r="G25" s="196"/>
      <c r="H25" s="196"/>
      <c r="I25" s="193"/>
      <c r="J25" s="194"/>
    </row>
    <row r="26" spans="1:12" s="187" customFormat="1" hidden="1">
      <c r="A26" s="193"/>
      <c r="B26" s="194"/>
      <c r="C26" s="194"/>
      <c r="D26" s="194"/>
      <c r="E26" s="194"/>
      <c r="F26" s="194"/>
      <c r="G26" s="196"/>
      <c r="H26" s="196"/>
      <c r="I26" s="193"/>
      <c r="J26" s="194"/>
    </row>
    <row r="27" spans="1:12" s="187" customFormat="1" hidden="1">
      <c r="A27" s="193"/>
      <c r="B27" s="194"/>
      <c r="C27" s="194"/>
      <c r="D27" s="194"/>
      <c r="E27" s="194"/>
      <c r="F27" s="194"/>
      <c r="G27" s="196"/>
      <c r="H27" s="196"/>
      <c r="I27" s="193"/>
      <c r="J27" s="194"/>
    </row>
    <row r="28" spans="1:12" hidden="1">
      <c r="A28" s="68"/>
      <c r="B28" s="69"/>
      <c r="C28" s="69"/>
      <c r="D28" s="69"/>
      <c r="E28" s="69"/>
      <c r="F28" s="69"/>
      <c r="G28" s="119"/>
      <c r="H28" s="120"/>
      <c r="I28" s="68"/>
      <c r="J28" s="69"/>
    </row>
    <row r="29" spans="1:12">
      <c r="A29" s="70"/>
      <c r="B29" s="71">
        <f>SUM(B2:B27)</f>
        <v>20196000</v>
      </c>
      <c r="C29" s="71">
        <f t="shared" ref="C29:J29" si="0">SUM(C2:C27)</f>
        <v>0</v>
      </c>
      <c r="D29" s="71">
        <f t="shared" si="0"/>
        <v>1050000</v>
      </c>
      <c r="E29" s="71">
        <f t="shared" si="0"/>
        <v>0</v>
      </c>
      <c r="F29" s="71">
        <f t="shared" si="0"/>
        <v>3120000</v>
      </c>
      <c r="G29" s="71">
        <f t="shared" si="0"/>
        <v>0</v>
      </c>
      <c r="H29" s="71">
        <f>SUM(H2:H27)</f>
        <v>18369000</v>
      </c>
      <c r="I29" s="71">
        <f t="shared" si="0"/>
        <v>0</v>
      </c>
      <c r="J29" s="71">
        <f t="shared" si="0"/>
        <v>0</v>
      </c>
      <c r="K29" s="72"/>
      <c r="L29" s="72">
        <f>SUM(B29:K29)</f>
        <v>42735000</v>
      </c>
    </row>
    <row r="30" spans="1:12">
      <c r="B30" s="77"/>
      <c r="C30" t="s">
        <v>317</v>
      </c>
      <c r="D30" s="77">
        <v>100000</v>
      </c>
      <c r="E30" s="77"/>
      <c r="F30" s="77"/>
      <c r="L30" s="72">
        <f>L29-Sheet10!M118</f>
        <v>0</v>
      </c>
    </row>
    <row r="31" spans="1:12">
      <c r="D31" s="77"/>
      <c r="E31" s="77"/>
      <c r="F31" s="77"/>
    </row>
    <row r="32" spans="1:12">
      <c r="B32" s="72"/>
      <c r="D32" s="72">
        <f>D29-D30-D31</f>
        <v>950000</v>
      </c>
      <c r="E32" s="77"/>
      <c r="F32" s="77"/>
    </row>
    <row r="33" spans="2:8">
      <c r="B33" s="72">
        <f>B29-10000000</f>
        <v>10196000</v>
      </c>
      <c r="E33" s="77"/>
      <c r="F33" s="77"/>
      <c r="H33" s="72"/>
    </row>
  </sheetData>
  <pageMargins left="1.06" right="0.70866141732283472" top="0.74803149606299213" bottom="0.74803149606299213" header="0.31496062992125984" footer="0.31496062992125984"/>
  <pageSetup paperSize="9" scale="12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21"/>
  <sheetViews>
    <sheetView workbookViewId="0"/>
  </sheetViews>
  <sheetFormatPr defaultRowHeight="15"/>
  <cols>
    <col min="1" max="1" width="7.7109375" customWidth="1"/>
    <col min="2" max="2" width="8.85546875" customWidth="1"/>
    <col min="3" max="3" width="58.140625" customWidth="1"/>
    <col min="4" max="4" width="12.42578125" customWidth="1"/>
    <col min="5" max="5" width="11" bestFit="1" customWidth="1"/>
    <col min="6" max="6" width="5.5703125" customWidth="1"/>
    <col min="7" max="7" width="7.42578125" customWidth="1"/>
    <col min="8" max="8" width="15.28515625" customWidth="1"/>
    <col min="9" max="9" width="11.5703125" bestFit="1" customWidth="1"/>
    <col min="12" max="12" width="60.85546875" bestFit="1" customWidth="1"/>
    <col min="13" max="13" width="12" bestFit="1" customWidth="1"/>
    <col min="14" max="14" width="11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522</v>
      </c>
      <c r="B2" s="2"/>
      <c r="C2" s="3"/>
      <c r="D2" s="3"/>
      <c r="E2" s="3"/>
      <c r="F2" s="3"/>
      <c r="G2" s="3"/>
      <c r="H2" s="3"/>
      <c r="J2" s="1" t="s">
        <v>522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140534217</v>
      </c>
      <c r="E4" s="6"/>
      <c r="F4" s="6"/>
      <c r="G4" s="6"/>
      <c r="H4" s="6"/>
      <c r="J4" s="4"/>
      <c r="K4" s="5"/>
      <c r="L4" s="6" t="s">
        <v>2</v>
      </c>
      <c r="M4" s="7">
        <v>140534217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334765</v>
      </c>
      <c r="E5" s="6"/>
      <c r="F5" s="6"/>
      <c r="G5" s="6"/>
      <c r="H5" s="6"/>
      <c r="J5" s="4"/>
      <c r="K5" s="5"/>
      <c r="L5" s="6" t="s">
        <v>3</v>
      </c>
      <c r="M5" s="8">
        <v>334765</v>
      </c>
      <c r="N5" s="6"/>
      <c r="O5" s="6"/>
      <c r="P5" s="6"/>
      <c r="Q5" s="6"/>
    </row>
    <row r="6" spans="1:17">
      <c r="A6" s="4"/>
      <c r="B6" s="5"/>
      <c r="C6" s="6" t="s">
        <v>460</v>
      </c>
      <c r="D6" s="115">
        <v>1213200</v>
      </c>
      <c r="E6" s="6"/>
      <c r="F6" s="6"/>
      <c r="G6" s="6"/>
      <c r="H6" s="6"/>
      <c r="J6" s="4"/>
      <c r="K6" s="5"/>
      <c r="L6" s="6" t="s">
        <v>460</v>
      </c>
      <c r="M6" s="115">
        <v>1213200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3297736</v>
      </c>
      <c r="E8" s="6"/>
      <c r="F8" s="6"/>
      <c r="G8" s="6"/>
      <c r="H8" s="6"/>
      <c r="J8" s="4"/>
      <c r="K8" s="5"/>
      <c r="L8" s="6" t="s">
        <v>6</v>
      </c>
      <c r="M8" s="6">
        <v>3297736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2626657</v>
      </c>
      <c r="E9" s="6"/>
      <c r="F9" s="6"/>
      <c r="G9" s="6"/>
      <c r="H9" s="6"/>
      <c r="J9" s="4"/>
      <c r="K9" s="5"/>
      <c r="L9" s="6" t="s">
        <v>7</v>
      </c>
      <c r="M9" s="6">
        <v>2626657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523</v>
      </c>
      <c r="B11" s="532"/>
      <c r="C11" s="532"/>
      <c r="D11" s="532"/>
      <c r="E11" s="532"/>
      <c r="F11" s="532"/>
      <c r="G11" s="533"/>
      <c r="H11" s="10">
        <f>SUM(D4:D9)</f>
        <v>149152728</v>
      </c>
      <c r="J11" s="531" t="s">
        <v>523</v>
      </c>
      <c r="K11" s="532"/>
      <c r="L11" s="532"/>
      <c r="M11" s="532"/>
      <c r="N11" s="532"/>
      <c r="O11" s="532"/>
      <c r="P11" s="533"/>
      <c r="Q11" s="10">
        <f>SUM(M4:M9)</f>
        <v>149152728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200" t="s">
        <v>14</v>
      </c>
      <c r="F14" s="200" t="s">
        <v>15</v>
      </c>
      <c r="G14" s="200" t="s">
        <v>16</v>
      </c>
      <c r="H14" s="200" t="s">
        <v>17</v>
      </c>
      <c r="J14" s="536"/>
      <c r="K14" s="537"/>
      <c r="L14" s="538"/>
      <c r="M14" s="538"/>
      <c r="N14" s="206" t="s">
        <v>14</v>
      </c>
      <c r="O14" s="206" t="s">
        <v>15</v>
      </c>
      <c r="P14" s="206" t="s">
        <v>16</v>
      </c>
      <c r="Q14" s="206" t="s">
        <v>17</v>
      </c>
    </row>
    <row r="15" spans="1:17">
      <c r="A15" s="12"/>
      <c r="B15" s="19" t="s">
        <v>493</v>
      </c>
      <c r="C15" s="14" t="s">
        <v>494</v>
      </c>
      <c r="D15" s="77">
        <v>16000</v>
      </c>
      <c r="E15" s="168"/>
      <c r="F15" s="168"/>
      <c r="G15" s="168"/>
      <c r="H15" s="168"/>
      <c r="J15" s="12">
        <v>46098</v>
      </c>
      <c r="K15" s="19" t="s">
        <v>493</v>
      </c>
      <c r="L15" s="14" t="s">
        <v>494</v>
      </c>
      <c r="M15" s="77">
        <v>16000</v>
      </c>
      <c r="N15" s="168"/>
      <c r="O15" s="168"/>
      <c r="P15" s="168"/>
      <c r="Q15" s="168"/>
    </row>
    <row r="16" spans="1:17">
      <c r="A16" s="12"/>
      <c r="B16" s="19" t="s">
        <v>493</v>
      </c>
      <c r="C16" s="14" t="s">
        <v>496</v>
      </c>
      <c r="D16" s="167">
        <v>150000</v>
      </c>
      <c r="E16" s="16"/>
      <c r="F16" s="16"/>
      <c r="G16" s="16"/>
      <c r="H16" s="16"/>
      <c r="J16" s="12">
        <v>46098</v>
      </c>
      <c r="K16" s="19" t="s">
        <v>493</v>
      </c>
      <c r="L16" s="14" t="s">
        <v>496</v>
      </c>
      <c r="M16" s="167">
        <v>150000</v>
      </c>
      <c r="N16" s="16"/>
      <c r="O16" s="16"/>
      <c r="P16" s="16"/>
      <c r="Q16" s="16"/>
    </row>
    <row r="17" spans="1:17">
      <c r="A17" s="12"/>
      <c r="B17" s="19" t="s">
        <v>493</v>
      </c>
      <c r="C17" s="14" t="s">
        <v>495</v>
      </c>
      <c r="D17" s="15">
        <v>240000</v>
      </c>
      <c r="E17" s="16"/>
      <c r="F17" s="16"/>
      <c r="G17" s="16"/>
      <c r="H17" s="16"/>
      <c r="J17" s="12">
        <v>46098</v>
      </c>
      <c r="K17" s="19" t="s">
        <v>493</v>
      </c>
      <c r="L17" s="14" t="s">
        <v>495</v>
      </c>
      <c r="M17" s="15">
        <v>240000</v>
      </c>
      <c r="N17" s="16"/>
      <c r="O17" s="16"/>
      <c r="P17" s="16"/>
      <c r="Q17" s="16"/>
    </row>
    <row r="18" spans="1:17">
      <c r="A18" s="12"/>
      <c r="B18" s="19" t="s">
        <v>493</v>
      </c>
      <c r="C18" s="14" t="s">
        <v>508</v>
      </c>
      <c r="D18" s="15">
        <f>49000+38000+22000+10000</f>
        <v>119000</v>
      </c>
      <c r="E18" s="16"/>
      <c r="F18" s="16"/>
      <c r="G18" s="16"/>
      <c r="H18" s="16"/>
      <c r="J18" s="12">
        <v>46098</v>
      </c>
      <c r="K18" s="19" t="s">
        <v>493</v>
      </c>
      <c r="L18" s="14" t="s">
        <v>508</v>
      </c>
      <c r="M18" s="15">
        <f>49000+38000+22000+10000</f>
        <v>119000</v>
      </c>
      <c r="N18" s="16"/>
      <c r="O18" s="16"/>
      <c r="P18" s="16"/>
      <c r="Q18" s="16"/>
    </row>
    <row r="19" spans="1:17">
      <c r="A19" s="12"/>
      <c r="B19" s="19"/>
      <c r="C19" s="14"/>
      <c r="D19" s="15"/>
      <c r="E19" s="16"/>
      <c r="F19" s="16"/>
      <c r="G19" s="16"/>
      <c r="H19" s="16"/>
      <c r="J19" s="12"/>
      <c r="K19" s="19"/>
      <c r="L19" s="14"/>
      <c r="M19" s="15"/>
      <c r="N19" s="16"/>
      <c r="O19" s="16"/>
      <c r="P19" s="16"/>
      <c r="Q19" s="16"/>
    </row>
    <row r="20" spans="1:17" hidden="1">
      <c r="A20" s="12"/>
      <c r="B20" s="19"/>
      <c r="C20" s="14"/>
      <c r="D20" s="15"/>
      <c r="E20" s="16"/>
      <c r="F20" s="16"/>
      <c r="G20" s="16"/>
      <c r="H20" s="16"/>
      <c r="J20" s="12"/>
      <c r="K20" s="19"/>
      <c r="L20" s="14"/>
      <c r="M20" s="15"/>
      <c r="N20" s="16"/>
      <c r="O20" s="16"/>
      <c r="P20" s="16"/>
      <c r="Q20" s="16"/>
    </row>
    <row r="21" spans="1:17">
      <c r="A21" s="18"/>
      <c r="B21" s="19"/>
      <c r="C21" s="200" t="s">
        <v>20</v>
      </c>
      <c r="D21" s="10">
        <f>SUM(D15:D18)</f>
        <v>525000</v>
      </c>
      <c r="E21" s="10"/>
      <c r="F21" s="10"/>
      <c r="G21" s="10"/>
      <c r="H21" s="10"/>
      <c r="J21" s="18"/>
      <c r="K21" s="19"/>
      <c r="L21" s="206" t="s">
        <v>20</v>
      </c>
      <c r="M21" s="10">
        <f>SUM(M15:M18)</f>
        <v>525000</v>
      </c>
      <c r="N21" s="10"/>
      <c r="O21" s="10"/>
      <c r="P21" s="10"/>
      <c r="Q21" s="10"/>
    </row>
    <row r="22" spans="1:17">
      <c r="A22" s="20"/>
      <c r="B22" s="201"/>
      <c r="C22" s="152" t="s">
        <v>21</v>
      </c>
      <c r="D22" s="150"/>
      <c r="E22" s="150"/>
      <c r="F22" s="150"/>
      <c r="G22" s="151"/>
      <c r="H22" s="21">
        <f>+D21</f>
        <v>525000</v>
      </c>
      <c r="J22" s="20"/>
      <c r="K22" s="204"/>
      <c r="L22" s="152" t="s">
        <v>21</v>
      </c>
      <c r="M22" s="150"/>
      <c r="N22" s="150"/>
      <c r="O22" s="150"/>
      <c r="P22" s="151"/>
      <c r="Q22" s="21">
        <f>+M21</f>
        <v>525000</v>
      </c>
    </row>
    <row r="23" spans="1:17">
      <c r="A23" s="526" t="s">
        <v>22</v>
      </c>
      <c r="B23" s="526"/>
      <c r="C23" s="526"/>
      <c r="D23" s="526"/>
      <c r="E23" s="526">
        <f>+H22</f>
        <v>525000</v>
      </c>
      <c r="F23" s="526"/>
      <c r="G23" s="526"/>
      <c r="H23" s="526"/>
      <c r="J23" s="526" t="s">
        <v>22</v>
      </c>
      <c r="K23" s="526"/>
      <c r="L23" s="526"/>
      <c r="M23" s="526"/>
      <c r="N23" s="526">
        <f>+Q22</f>
        <v>525000</v>
      </c>
      <c r="O23" s="526"/>
      <c r="P23" s="526"/>
      <c r="Q23" s="526"/>
    </row>
    <row r="24" spans="1:17">
      <c r="A24" s="524" t="s">
        <v>23</v>
      </c>
      <c r="B24" s="524"/>
      <c r="C24" s="524"/>
      <c r="D24" s="524"/>
      <c r="E24" s="524"/>
      <c r="F24" s="524"/>
      <c r="G24" s="524"/>
      <c r="H24" s="524"/>
      <c r="J24" s="524" t="s">
        <v>23</v>
      </c>
      <c r="K24" s="524"/>
      <c r="L24" s="524"/>
      <c r="M24" s="524"/>
      <c r="N24" s="524"/>
      <c r="O24" s="524"/>
      <c r="P24" s="524"/>
      <c r="Q24" s="524"/>
    </row>
    <row r="25" spans="1:17">
      <c r="A25" s="12"/>
      <c r="B25" s="13" t="s">
        <v>485</v>
      </c>
      <c r="C25" s="15" t="s">
        <v>504</v>
      </c>
      <c r="D25" s="22">
        <f>5637000-2818500</f>
        <v>2818500</v>
      </c>
      <c r="E25" s="22"/>
      <c r="F25" s="22"/>
      <c r="G25" s="16"/>
      <c r="H25" s="16"/>
      <c r="J25" s="12">
        <v>46098</v>
      </c>
      <c r="K25" s="13" t="s">
        <v>485</v>
      </c>
      <c r="L25" s="15" t="s">
        <v>504</v>
      </c>
      <c r="M25" s="22">
        <f>5637000-2818500</f>
        <v>2818500</v>
      </c>
      <c r="N25" s="22"/>
      <c r="O25" s="22"/>
      <c r="P25" s="16"/>
      <c r="Q25" s="16"/>
    </row>
    <row r="26" spans="1:17">
      <c r="A26" s="12"/>
      <c r="B26" s="13" t="s">
        <v>485</v>
      </c>
      <c r="C26" s="15" t="s">
        <v>486</v>
      </c>
      <c r="D26" s="22">
        <v>4877000</v>
      </c>
      <c r="E26" s="22"/>
      <c r="F26" s="22"/>
      <c r="G26" s="16"/>
      <c r="H26" s="16"/>
      <c r="J26" s="12">
        <v>46098</v>
      </c>
      <c r="K26" s="13" t="s">
        <v>485</v>
      </c>
      <c r="L26" s="15" t="s">
        <v>486</v>
      </c>
      <c r="M26" s="22">
        <v>4877000</v>
      </c>
      <c r="N26" s="22"/>
      <c r="O26" s="22"/>
      <c r="P26" s="16"/>
      <c r="Q26" s="16"/>
    </row>
    <row r="27" spans="1:17">
      <c r="A27" s="12"/>
      <c r="B27" s="13" t="s">
        <v>509</v>
      </c>
      <c r="C27" s="15" t="s">
        <v>497</v>
      </c>
      <c r="D27" s="23">
        <v>1066000</v>
      </c>
      <c r="E27" s="22"/>
      <c r="F27" s="22"/>
      <c r="G27" s="16"/>
      <c r="H27" s="16"/>
      <c r="J27" s="12">
        <v>46098</v>
      </c>
      <c r="K27" s="13" t="s">
        <v>509</v>
      </c>
      <c r="L27" s="15" t="s">
        <v>497</v>
      </c>
      <c r="M27" s="23">
        <v>1066000</v>
      </c>
      <c r="N27" s="22"/>
      <c r="O27" s="22"/>
      <c r="P27" s="16"/>
      <c r="Q27" s="16"/>
    </row>
    <row r="28" spans="1:17">
      <c r="A28" s="12"/>
      <c r="B28" s="13" t="s">
        <v>509</v>
      </c>
      <c r="C28" s="15" t="s">
        <v>510</v>
      </c>
      <c r="D28" s="23">
        <v>1480000</v>
      </c>
      <c r="E28" s="22"/>
      <c r="F28" s="22"/>
      <c r="G28" s="16"/>
      <c r="H28" s="16"/>
      <c r="J28" s="12">
        <v>46098</v>
      </c>
      <c r="K28" s="13" t="s">
        <v>509</v>
      </c>
      <c r="L28" s="15" t="s">
        <v>510</v>
      </c>
      <c r="M28" s="23">
        <v>1480000</v>
      </c>
      <c r="N28" s="22"/>
      <c r="O28" s="22"/>
      <c r="P28" s="16"/>
      <c r="Q28" s="16"/>
    </row>
    <row r="29" spans="1:17">
      <c r="A29" s="12"/>
      <c r="B29" s="13" t="s">
        <v>509</v>
      </c>
      <c r="C29" s="15" t="s">
        <v>513</v>
      </c>
      <c r="D29" s="23">
        <v>65000</v>
      </c>
      <c r="E29" s="22"/>
      <c r="F29" s="22"/>
      <c r="G29" s="16"/>
      <c r="H29" s="16"/>
      <c r="J29" s="12">
        <v>46098</v>
      </c>
      <c r="K29" s="13" t="s">
        <v>509</v>
      </c>
      <c r="L29" s="15" t="s">
        <v>513</v>
      </c>
      <c r="M29" s="23">
        <v>65000</v>
      </c>
      <c r="N29" s="22"/>
      <c r="O29" s="22"/>
      <c r="P29" s="16"/>
      <c r="Q29" s="16"/>
    </row>
    <row r="30" spans="1:17">
      <c r="A30" s="12"/>
      <c r="B30" s="13" t="s">
        <v>511</v>
      </c>
      <c r="C30" s="15" t="s">
        <v>512</v>
      </c>
      <c r="D30" s="23">
        <v>1400000</v>
      </c>
      <c r="E30" s="22"/>
      <c r="F30" s="22"/>
      <c r="G30" s="16"/>
      <c r="H30" s="16"/>
      <c r="J30" s="12">
        <v>46098</v>
      </c>
      <c r="K30" s="13" t="s">
        <v>511</v>
      </c>
      <c r="L30" s="15" t="s">
        <v>524</v>
      </c>
      <c r="M30" s="23">
        <v>1400000</v>
      </c>
      <c r="N30" s="22"/>
      <c r="O30" s="22"/>
      <c r="P30" s="16"/>
      <c r="Q30" s="16"/>
    </row>
    <row r="31" spans="1:17">
      <c r="A31" s="12"/>
      <c r="B31" s="13" t="s">
        <v>511</v>
      </c>
      <c r="C31" s="15" t="s">
        <v>514</v>
      </c>
      <c r="D31" s="23">
        <v>186000</v>
      </c>
      <c r="E31" s="22"/>
      <c r="F31" s="22"/>
      <c r="G31" s="16"/>
      <c r="H31" s="16"/>
      <c r="J31" s="12">
        <v>46098</v>
      </c>
      <c r="K31" s="13" t="s">
        <v>511</v>
      </c>
      <c r="L31" s="15" t="s">
        <v>514</v>
      </c>
      <c r="M31" s="23">
        <v>186000</v>
      </c>
      <c r="N31" s="22"/>
      <c r="O31" s="22"/>
      <c r="P31" s="16"/>
      <c r="Q31" s="16"/>
    </row>
    <row r="32" spans="1:17">
      <c r="A32" s="12"/>
      <c r="B32" s="13" t="s">
        <v>487</v>
      </c>
      <c r="C32" s="15" t="s">
        <v>488</v>
      </c>
      <c r="D32" s="23">
        <v>230000</v>
      </c>
      <c r="E32" s="22"/>
      <c r="F32" s="22"/>
      <c r="G32" s="16"/>
      <c r="H32" s="16"/>
      <c r="J32" s="12">
        <v>46098</v>
      </c>
      <c r="K32" s="13" t="s">
        <v>487</v>
      </c>
      <c r="L32" s="15" t="s">
        <v>488</v>
      </c>
      <c r="M32" s="23">
        <v>230000</v>
      </c>
      <c r="N32" s="22"/>
      <c r="O32" s="22"/>
      <c r="P32" s="16"/>
      <c r="Q32" s="16"/>
    </row>
    <row r="33" spans="1:17">
      <c r="A33" s="12"/>
      <c r="B33" s="13" t="s">
        <v>487</v>
      </c>
      <c r="C33" s="15" t="s">
        <v>515</v>
      </c>
      <c r="D33" s="23">
        <v>230000</v>
      </c>
      <c r="E33" s="22"/>
      <c r="F33" s="22"/>
      <c r="G33" s="16"/>
      <c r="H33" s="16"/>
      <c r="J33" s="12">
        <v>46098</v>
      </c>
      <c r="K33" s="13" t="s">
        <v>487</v>
      </c>
      <c r="L33" s="15" t="s">
        <v>515</v>
      </c>
      <c r="M33" s="23">
        <v>230000</v>
      </c>
      <c r="N33" s="22"/>
      <c r="O33" s="22"/>
      <c r="P33" s="16"/>
      <c r="Q33" s="16"/>
    </row>
    <row r="34" spans="1:17">
      <c r="A34" s="12"/>
      <c r="B34" s="13" t="s">
        <v>487</v>
      </c>
      <c r="C34" s="15" t="s">
        <v>516</v>
      </c>
      <c r="D34" s="23">
        <v>51000</v>
      </c>
      <c r="E34" s="22"/>
      <c r="F34" s="22"/>
      <c r="G34" s="16"/>
      <c r="H34" s="16"/>
      <c r="J34" s="12">
        <v>46098</v>
      </c>
      <c r="K34" s="13" t="s">
        <v>487</v>
      </c>
      <c r="L34" s="15" t="s">
        <v>516</v>
      </c>
      <c r="M34" s="23">
        <v>51000</v>
      </c>
      <c r="N34" s="22"/>
      <c r="O34" s="22"/>
      <c r="P34" s="16"/>
      <c r="Q34" s="16"/>
    </row>
    <row r="35" spans="1:17">
      <c r="A35" s="12"/>
      <c r="B35" s="13" t="s">
        <v>517</v>
      </c>
      <c r="C35" s="15" t="s">
        <v>518</v>
      </c>
      <c r="D35" s="23">
        <v>327000</v>
      </c>
      <c r="E35" s="22"/>
      <c r="F35" s="22"/>
      <c r="G35" s="16"/>
      <c r="H35" s="16"/>
      <c r="J35" s="12">
        <v>46098</v>
      </c>
      <c r="K35" s="13" t="s">
        <v>517</v>
      </c>
      <c r="L35" s="15" t="s">
        <v>518</v>
      </c>
      <c r="M35" s="23">
        <v>327000</v>
      </c>
      <c r="N35" s="22"/>
      <c r="O35" s="22"/>
      <c r="P35" s="16"/>
      <c r="Q35" s="16"/>
    </row>
    <row r="36" spans="1:17">
      <c r="A36" s="12"/>
      <c r="B36" s="13" t="s">
        <v>517</v>
      </c>
      <c r="C36" s="15" t="s">
        <v>519</v>
      </c>
      <c r="D36" s="23">
        <v>2500</v>
      </c>
      <c r="E36" s="22"/>
      <c r="F36" s="22"/>
      <c r="G36" s="16"/>
      <c r="H36" s="16"/>
      <c r="J36" s="12">
        <v>46098</v>
      </c>
      <c r="K36" s="13" t="s">
        <v>517</v>
      </c>
      <c r="L36" s="15" t="s">
        <v>519</v>
      </c>
      <c r="M36" s="23">
        <v>2500</v>
      </c>
      <c r="N36" s="22"/>
      <c r="O36" s="22"/>
      <c r="P36" s="16"/>
      <c r="Q36" s="16"/>
    </row>
    <row r="37" spans="1:17">
      <c r="A37" s="12"/>
      <c r="B37" s="13" t="s">
        <v>517</v>
      </c>
      <c r="C37" s="15" t="s">
        <v>520</v>
      </c>
      <c r="D37" s="23">
        <v>540000</v>
      </c>
      <c r="E37" s="22"/>
      <c r="F37" s="22"/>
      <c r="G37" s="16"/>
      <c r="H37" s="16"/>
      <c r="J37" s="12">
        <v>46098</v>
      </c>
      <c r="K37" s="13" t="s">
        <v>517</v>
      </c>
      <c r="L37" s="15" t="s">
        <v>520</v>
      </c>
      <c r="M37" s="23">
        <v>540000</v>
      </c>
      <c r="N37" s="22"/>
      <c r="O37" s="22"/>
      <c r="P37" s="16"/>
      <c r="Q37" s="16"/>
    </row>
    <row r="38" spans="1:17">
      <c r="A38" s="12"/>
      <c r="B38" s="13" t="s">
        <v>517</v>
      </c>
      <c r="C38" s="15" t="s">
        <v>521</v>
      </c>
      <c r="D38" s="23">
        <v>96000</v>
      </c>
      <c r="E38" s="22"/>
      <c r="F38" s="22"/>
      <c r="G38" s="16"/>
      <c r="H38" s="16"/>
      <c r="I38">
        <f>120*6</f>
        <v>720</v>
      </c>
      <c r="J38" s="12">
        <v>46098</v>
      </c>
      <c r="K38" s="13" t="s">
        <v>517</v>
      </c>
      <c r="L38" s="15" t="s">
        <v>521</v>
      </c>
      <c r="M38" s="23">
        <v>96000</v>
      </c>
      <c r="N38" s="22"/>
      <c r="O38" s="22"/>
      <c r="P38" s="16"/>
      <c r="Q38" s="16"/>
    </row>
    <row r="39" spans="1:17">
      <c r="A39" s="12"/>
      <c r="B39" s="13"/>
      <c r="C39" s="15"/>
      <c r="D39" s="23"/>
      <c r="E39" s="22"/>
      <c r="F39" s="22"/>
      <c r="G39" s="16"/>
      <c r="H39" s="16"/>
      <c r="J39" s="12"/>
      <c r="K39" s="13"/>
      <c r="L39" s="15"/>
      <c r="M39" s="23"/>
      <c r="N39" s="22"/>
      <c r="O39" s="22"/>
      <c r="P39" s="16"/>
      <c r="Q39" s="16"/>
    </row>
    <row r="40" spans="1:17">
      <c r="A40" s="25"/>
      <c r="B40" s="19"/>
      <c r="C40" s="26" t="s">
        <v>24</v>
      </c>
      <c r="D40" s="27">
        <f>SUM(D25:D39)</f>
        <v>13369000</v>
      </c>
      <c r="E40" s="27"/>
      <c r="F40" s="27"/>
      <c r="G40" s="27"/>
      <c r="H40" s="27"/>
      <c r="J40" s="25"/>
      <c r="K40" s="19"/>
      <c r="L40" s="26" t="s">
        <v>24</v>
      </c>
      <c r="M40" s="27">
        <f>SUM(M25:M39)</f>
        <v>13369000</v>
      </c>
      <c r="N40" s="27"/>
      <c r="O40" s="27"/>
      <c r="P40" s="27"/>
      <c r="Q40" s="27"/>
    </row>
    <row r="41" spans="1:17">
      <c r="A41" s="20"/>
      <c r="B41" s="19"/>
      <c r="C41" s="200" t="s">
        <v>21</v>
      </c>
      <c r="D41" s="10"/>
      <c r="E41" s="530">
        <f>D40</f>
        <v>13369000</v>
      </c>
      <c r="F41" s="530"/>
      <c r="G41" s="530"/>
      <c r="H41" s="530"/>
      <c r="J41" s="20"/>
      <c r="K41" s="19"/>
      <c r="L41" s="206" t="s">
        <v>21</v>
      </c>
      <c r="M41" s="10"/>
      <c r="N41" s="530">
        <f>M40</f>
        <v>13369000</v>
      </c>
      <c r="O41" s="530"/>
      <c r="P41" s="530"/>
      <c r="Q41" s="530"/>
    </row>
    <row r="42" spans="1:17">
      <c r="A42" s="524" t="s">
        <v>349</v>
      </c>
      <c r="B42" s="524"/>
      <c r="C42" s="524"/>
      <c r="D42" s="524"/>
      <c r="E42" s="524"/>
      <c r="F42" s="524"/>
      <c r="G42" s="524"/>
      <c r="H42" s="524"/>
      <c r="J42" s="524" t="s">
        <v>349</v>
      </c>
      <c r="K42" s="524"/>
      <c r="L42" s="524"/>
      <c r="M42" s="524"/>
      <c r="N42" s="524"/>
      <c r="O42" s="524"/>
      <c r="P42" s="524"/>
      <c r="Q42" s="524"/>
    </row>
    <row r="43" spans="1:17" hidden="1">
      <c r="A43" s="28"/>
      <c r="B43" s="23" t="s">
        <v>447</v>
      </c>
      <c r="C43" s="23" t="s">
        <v>445</v>
      </c>
      <c r="D43" s="23"/>
      <c r="E43" s="28"/>
      <c r="F43" s="28"/>
      <c r="G43" s="28"/>
      <c r="H43" s="28"/>
      <c r="J43" s="28"/>
      <c r="K43" s="23" t="s">
        <v>447</v>
      </c>
      <c r="L43" s="23" t="s">
        <v>445</v>
      </c>
      <c r="M43" s="23"/>
      <c r="N43" s="28"/>
      <c r="O43" s="28"/>
      <c r="P43" s="28"/>
      <c r="Q43" s="28"/>
    </row>
    <row r="44" spans="1:17">
      <c r="A44" s="28"/>
      <c r="B44" s="23" t="s">
        <v>447</v>
      </c>
      <c r="C44" s="23" t="s">
        <v>446</v>
      </c>
      <c r="D44" s="23">
        <v>12000</v>
      </c>
      <c r="E44" s="28"/>
      <c r="F44" s="28"/>
      <c r="G44" s="28"/>
      <c r="H44" s="28"/>
      <c r="J44" s="12">
        <v>46098</v>
      </c>
      <c r="K44" s="23" t="s">
        <v>447</v>
      </c>
      <c r="L44" s="23" t="s">
        <v>446</v>
      </c>
      <c r="M44" s="23">
        <v>12000</v>
      </c>
      <c r="N44" s="28"/>
      <c r="O44" s="28"/>
      <c r="P44" s="28"/>
      <c r="Q44" s="28"/>
    </row>
    <row r="45" spans="1:17" hidden="1">
      <c r="A45" s="28"/>
      <c r="B45" s="23"/>
      <c r="C45" s="23"/>
      <c r="D45" s="23"/>
      <c r="E45" s="28"/>
      <c r="F45" s="28"/>
      <c r="G45" s="28"/>
      <c r="H45" s="28"/>
      <c r="J45" s="28"/>
      <c r="K45" s="23"/>
      <c r="L45" s="23"/>
      <c r="M45" s="23"/>
      <c r="N45" s="28"/>
      <c r="O45" s="28"/>
      <c r="P45" s="28"/>
      <c r="Q45" s="28"/>
    </row>
    <row r="46" spans="1:17" hidden="1">
      <c r="A46" s="28"/>
      <c r="B46" s="23"/>
      <c r="C46" s="23"/>
      <c r="D46" s="23"/>
      <c r="E46" s="28"/>
      <c r="F46" s="28"/>
      <c r="G46" s="28"/>
      <c r="H46" s="28"/>
      <c r="J46" s="28"/>
      <c r="K46" s="23"/>
      <c r="L46" s="23"/>
      <c r="M46" s="23"/>
      <c r="N46" s="28"/>
      <c r="O46" s="28"/>
      <c r="P46" s="28"/>
      <c r="Q46" s="28"/>
    </row>
    <row r="47" spans="1:17" hidden="1">
      <c r="A47" s="28"/>
      <c r="B47" s="23"/>
      <c r="C47" s="23"/>
      <c r="D47" s="23"/>
      <c r="E47" s="28"/>
      <c r="F47" s="28"/>
      <c r="G47" s="28"/>
      <c r="H47" s="28"/>
      <c r="J47" s="28"/>
      <c r="K47" s="23"/>
      <c r="L47" s="23"/>
      <c r="M47" s="23"/>
      <c r="N47" s="28"/>
      <c r="O47" s="28"/>
      <c r="P47" s="28"/>
      <c r="Q47" s="28"/>
    </row>
    <row r="48" spans="1:17">
      <c r="A48" s="28"/>
      <c r="B48" s="23"/>
      <c r="C48" s="23"/>
      <c r="D48" s="23"/>
      <c r="E48" s="28"/>
      <c r="F48" s="28"/>
      <c r="G48" s="28"/>
      <c r="H48" s="28"/>
      <c r="J48" s="28"/>
      <c r="K48" s="23"/>
      <c r="L48" s="23"/>
      <c r="M48" s="23"/>
      <c r="N48" s="28"/>
      <c r="O48" s="28"/>
      <c r="P48" s="28"/>
      <c r="Q48" s="28"/>
    </row>
    <row r="49" spans="1:17">
      <c r="A49" s="12"/>
      <c r="B49" s="13"/>
      <c r="C49" s="26" t="s">
        <v>448</v>
      </c>
      <c r="D49" s="27">
        <f>SUM(D43:D47)</f>
        <v>12000</v>
      </c>
      <c r="E49" s="27">
        <v>0</v>
      </c>
      <c r="F49" s="27">
        <v>0</v>
      </c>
      <c r="G49" s="27"/>
      <c r="H49" s="27"/>
      <c r="J49" s="12"/>
      <c r="K49" s="13"/>
      <c r="L49" s="26" t="s">
        <v>448</v>
      </c>
      <c r="M49" s="27">
        <f>SUM(M43:M47)</f>
        <v>12000</v>
      </c>
      <c r="N49" s="27">
        <v>0</v>
      </c>
      <c r="O49" s="27">
        <v>0</v>
      </c>
      <c r="P49" s="27"/>
      <c r="Q49" s="27"/>
    </row>
    <row r="50" spans="1:17">
      <c r="A50" s="20"/>
      <c r="B50" s="19"/>
      <c r="C50" s="200" t="s">
        <v>21</v>
      </c>
      <c r="D50" s="10"/>
      <c r="E50" s="530">
        <f>D49</f>
        <v>12000</v>
      </c>
      <c r="F50" s="530"/>
      <c r="G50" s="530"/>
      <c r="H50" s="530"/>
      <c r="J50" s="20"/>
      <c r="K50" s="19"/>
      <c r="L50" s="206" t="s">
        <v>21</v>
      </c>
      <c r="M50" s="10"/>
      <c r="N50" s="530">
        <f>M49</f>
        <v>12000</v>
      </c>
      <c r="O50" s="530"/>
      <c r="P50" s="530"/>
      <c r="Q50" s="530"/>
    </row>
    <row r="51" spans="1:17" hidden="1">
      <c r="A51" s="524" t="s">
        <v>372</v>
      </c>
      <c r="B51" s="524"/>
      <c r="C51" s="524"/>
      <c r="D51" s="524"/>
      <c r="E51" s="524"/>
      <c r="F51" s="524"/>
      <c r="G51" s="524"/>
      <c r="H51" s="524"/>
      <c r="J51" s="524" t="s">
        <v>372</v>
      </c>
      <c r="K51" s="524"/>
      <c r="L51" s="524"/>
      <c r="M51" s="524"/>
      <c r="N51" s="524"/>
      <c r="O51" s="524"/>
      <c r="P51" s="524"/>
      <c r="Q51" s="524"/>
    </row>
    <row r="52" spans="1:17" hidden="1">
      <c r="A52" s="28"/>
      <c r="B52" s="23" t="s">
        <v>374</v>
      </c>
      <c r="C52" s="23" t="s">
        <v>375</v>
      </c>
      <c r="D52" s="23"/>
      <c r="E52" s="28"/>
      <c r="F52" s="28"/>
      <c r="G52" s="28"/>
      <c r="H52" s="28"/>
      <c r="J52" s="28"/>
      <c r="K52" s="23" t="s">
        <v>374</v>
      </c>
      <c r="L52" s="23" t="s">
        <v>375</v>
      </c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idden="1">
      <c r="A54" s="28"/>
      <c r="B54" s="23"/>
      <c r="C54" s="23"/>
      <c r="D54" s="23"/>
      <c r="E54" s="28"/>
      <c r="F54" s="28"/>
      <c r="G54" s="28"/>
      <c r="H54" s="28"/>
      <c r="J54" s="28"/>
      <c r="K54" s="23"/>
      <c r="L54" s="23"/>
      <c r="M54" s="23"/>
      <c r="N54" s="28"/>
      <c r="O54" s="28"/>
      <c r="P54" s="28"/>
      <c r="Q54" s="28"/>
    </row>
    <row r="55" spans="1:17" hidden="1">
      <c r="A55" s="12"/>
      <c r="B55" s="13"/>
      <c r="C55" s="26" t="s">
        <v>373</v>
      </c>
      <c r="D55" s="27">
        <f>SUM(D52:D53)</f>
        <v>0</v>
      </c>
      <c r="E55" s="27">
        <v>0</v>
      </c>
      <c r="F55" s="27">
        <v>0</v>
      </c>
      <c r="G55" s="27"/>
      <c r="H55" s="27"/>
      <c r="J55" s="12"/>
      <c r="K55" s="13"/>
      <c r="L55" s="26" t="s">
        <v>373</v>
      </c>
      <c r="M55" s="27">
        <f>SUM(M52:M53)</f>
        <v>0</v>
      </c>
      <c r="N55" s="27">
        <v>0</v>
      </c>
      <c r="O55" s="27">
        <v>0</v>
      </c>
      <c r="P55" s="27"/>
      <c r="Q55" s="27"/>
    </row>
    <row r="56" spans="1:17" hidden="1">
      <c r="A56" s="20"/>
      <c r="B56" s="19"/>
      <c r="C56" s="200" t="s">
        <v>21</v>
      </c>
      <c r="D56" s="10"/>
      <c r="E56" s="530">
        <f>D55</f>
        <v>0</v>
      </c>
      <c r="F56" s="530"/>
      <c r="G56" s="530"/>
      <c r="H56" s="530"/>
      <c r="J56" s="20"/>
      <c r="K56" s="19"/>
      <c r="L56" s="206" t="s">
        <v>21</v>
      </c>
      <c r="M56" s="10"/>
      <c r="N56" s="530">
        <f>M55</f>
        <v>0</v>
      </c>
      <c r="O56" s="530"/>
      <c r="P56" s="530"/>
      <c r="Q56" s="530"/>
    </row>
    <row r="57" spans="1:17">
      <c r="A57" s="524" t="s">
        <v>54</v>
      </c>
      <c r="B57" s="524"/>
      <c r="C57" s="524"/>
      <c r="D57" s="524"/>
      <c r="E57" s="524"/>
      <c r="F57" s="524"/>
      <c r="G57" s="524"/>
      <c r="H57" s="524"/>
      <c r="J57" s="524" t="s">
        <v>54</v>
      </c>
      <c r="K57" s="524"/>
      <c r="L57" s="524"/>
      <c r="M57" s="524"/>
      <c r="N57" s="524"/>
      <c r="O57" s="524"/>
      <c r="P57" s="524"/>
      <c r="Q57" s="524"/>
    </row>
    <row r="58" spans="1:17">
      <c r="A58" s="28"/>
      <c r="B58" s="19" t="s">
        <v>456</v>
      </c>
      <c r="C58" s="23" t="s">
        <v>501</v>
      </c>
      <c r="D58" s="23">
        <v>12878200</v>
      </c>
      <c r="E58" s="28">
        <f>11277000+9000000+2235000</f>
        <v>22512000</v>
      </c>
      <c r="F58" s="28"/>
      <c r="G58" s="28"/>
      <c r="H58" s="28"/>
      <c r="I58" s="72"/>
      <c r="J58" s="12">
        <v>46098</v>
      </c>
      <c r="K58" s="19" t="s">
        <v>456</v>
      </c>
      <c r="L58" s="23" t="s">
        <v>501</v>
      </c>
      <c r="M58" s="23">
        <v>12878200</v>
      </c>
      <c r="N58" s="28">
        <f>11277000+9000000+2235000</f>
        <v>22512000</v>
      </c>
      <c r="O58" s="28"/>
      <c r="P58" s="28"/>
      <c r="Q58" s="28"/>
    </row>
    <row r="59" spans="1:17">
      <c r="A59" s="28"/>
      <c r="B59" s="19" t="s">
        <v>502</v>
      </c>
      <c r="C59" s="23" t="s">
        <v>503</v>
      </c>
      <c r="D59" s="23">
        <v>1700000</v>
      </c>
      <c r="E59" s="28"/>
      <c r="F59" s="28"/>
      <c r="G59" s="28"/>
      <c r="H59" s="28"/>
      <c r="J59" s="12">
        <v>46098</v>
      </c>
      <c r="K59" s="19" t="s">
        <v>502</v>
      </c>
      <c r="L59" s="23" t="s">
        <v>503</v>
      </c>
      <c r="M59" s="23">
        <v>1700000</v>
      </c>
      <c r="N59" s="28"/>
      <c r="O59" s="28"/>
      <c r="P59" s="28"/>
      <c r="Q59" s="28"/>
    </row>
    <row r="60" spans="1:17">
      <c r="A60" s="28"/>
      <c r="B60" s="19" t="s">
        <v>502</v>
      </c>
      <c r="C60" s="23" t="s">
        <v>506</v>
      </c>
      <c r="D60" s="23">
        <v>21500</v>
      </c>
      <c r="E60" s="28"/>
      <c r="F60" s="28"/>
      <c r="G60" s="28"/>
      <c r="H60" s="28"/>
      <c r="J60" s="12">
        <v>46098</v>
      </c>
      <c r="K60" s="19" t="s">
        <v>502</v>
      </c>
      <c r="L60" s="23" t="s">
        <v>506</v>
      </c>
      <c r="M60" s="23">
        <v>21500</v>
      </c>
      <c r="N60" s="28"/>
      <c r="O60" s="28"/>
      <c r="P60" s="28"/>
      <c r="Q60" s="28"/>
    </row>
    <row r="61" spans="1:17">
      <c r="A61" s="28"/>
      <c r="B61" s="19" t="s">
        <v>498</v>
      </c>
      <c r="C61" s="23" t="s">
        <v>365</v>
      </c>
      <c r="D61" s="23">
        <v>3855000</v>
      </c>
      <c r="E61" s="28"/>
      <c r="F61" s="28"/>
      <c r="G61" s="28"/>
      <c r="H61" s="28"/>
      <c r="J61" s="12">
        <v>46098</v>
      </c>
      <c r="K61" s="19" t="s">
        <v>498</v>
      </c>
      <c r="L61" s="23" t="s">
        <v>365</v>
      </c>
      <c r="M61" s="23">
        <v>3855000</v>
      </c>
      <c r="N61" s="28"/>
      <c r="O61" s="28"/>
      <c r="P61" s="28"/>
      <c r="Q61" s="28"/>
    </row>
    <row r="62" spans="1:17">
      <c r="A62" s="12"/>
      <c r="B62" s="19" t="s">
        <v>498</v>
      </c>
      <c r="C62" s="23" t="s">
        <v>492</v>
      </c>
      <c r="D62" s="23">
        <v>15000000</v>
      </c>
      <c r="E62" s="200"/>
      <c r="F62" s="200"/>
      <c r="G62" s="200"/>
      <c r="H62" s="200"/>
      <c r="J62" s="12">
        <v>46098</v>
      </c>
      <c r="K62" s="19" t="s">
        <v>498</v>
      </c>
      <c r="L62" s="23" t="s">
        <v>492</v>
      </c>
      <c r="M62" s="23">
        <v>15000000</v>
      </c>
      <c r="N62" s="206"/>
      <c r="O62" s="206"/>
      <c r="P62" s="206"/>
      <c r="Q62" s="206"/>
    </row>
    <row r="63" spans="1:17">
      <c r="A63" s="12"/>
      <c r="B63" s="19" t="s">
        <v>498</v>
      </c>
      <c r="C63" s="24" t="s">
        <v>263</v>
      </c>
      <c r="D63" s="23">
        <v>880000</v>
      </c>
      <c r="E63" s="200"/>
      <c r="F63" s="200"/>
      <c r="G63" s="200"/>
      <c r="H63" s="200"/>
      <c r="J63" s="12">
        <v>46098</v>
      </c>
      <c r="K63" s="19" t="s">
        <v>498</v>
      </c>
      <c r="L63" s="24" t="s">
        <v>263</v>
      </c>
      <c r="M63" s="23">
        <v>880000</v>
      </c>
      <c r="N63" s="206"/>
      <c r="O63" s="206"/>
      <c r="P63" s="206"/>
      <c r="Q63" s="206"/>
    </row>
    <row r="64" spans="1:17">
      <c r="A64" s="12"/>
      <c r="B64" s="19" t="s">
        <v>498</v>
      </c>
      <c r="C64" s="24" t="s">
        <v>410</v>
      </c>
      <c r="D64" s="23">
        <v>300000</v>
      </c>
      <c r="E64" s="200"/>
      <c r="F64" s="200"/>
      <c r="G64" s="200"/>
      <c r="H64" s="200"/>
      <c r="J64" s="12">
        <v>46098</v>
      </c>
      <c r="K64" s="19" t="s">
        <v>498</v>
      </c>
      <c r="L64" s="24" t="s">
        <v>410</v>
      </c>
      <c r="M64" s="23">
        <v>300000</v>
      </c>
      <c r="N64" s="206"/>
      <c r="O64" s="206"/>
      <c r="P64" s="206"/>
      <c r="Q64" s="206"/>
    </row>
    <row r="65" spans="1:17">
      <c r="A65" s="12"/>
      <c r="B65" s="19" t="s">
        <v>498</v>
      </c>
      <c r="C65" s="24" t="s">
        <v>499</v>
      </c>
      <c r="D65" s="23">
        <v>240000</v>
      </c>
      <c r="E65" s="200"/>
      <c r="F65" s="200"/>
      <c r="G65" s="200"/>
      <c r="H65" s="200"/>
      <c r="J65" s="12">
        <v>46098</v>
      </c>
      <c r="K65" s="19" t="s">
        <v>498</v>
      </c>
      <c r="L65" s="24" t="s">
        <v>499</v>
      </c>
      <c r="M65" s="23">
        <v>240000</v>
      </c>
      <c r="N65" s="206"/>
      <c r="O65" s="206"/>
      <c r="P65" s="206"/>
      <c r="Q65" s="206"/>
    </row>
    <row r="66" spans="1:17">
      <c r="A66" s="12"/>
      <c r="B66" s="19" t="s">
        <v>498</v>
      </c>
      <c r="C66" s="24" t="s">
        <v>500</v>
      </c>
      <c r="D66" s="23">
        <v>300000</v>
      </c>
      <c r="E66" s="200"/>
      <c r="F66" s="200"/>
      <c r="G66" s="200"/>
      <c r="H66" s="200"/>
      <c r="J66" s="12">
        <v>46098</v>
      </c>
      <c r="K66" s="19" t="s">
        <v>498</v>
      </c>
      <c r="L66" s="24" t="s">
        <v>500</v>
      </c>
      <c r="M66" s="23">
        <v>300000</v>
      </c>
      <c r="N66" s="206"/>
      <c r="O66" s="206"/>
      <c r="P66" s="206"/>
      <c r="Q66" s="206"/>
    </row>
    <row r="67" spans="1:17">
      <c r="A67" s="12"/>
      <c r="B67" s="19" t="s">
        <v>498</v>
      </c>
      <c r="C67" s="24" t="s">
        <v>507</v>
      </c>
      <c r="D67" s="23">
        <v>30000000</v>
      </c>
      <c r="E67" s="200"/>
      <c r="F67" s="200"/>
      <c r="G67" s="200"/>
      <c r="H67" s="200"/>
      <c r="J67" s="12">
        <v>46098</v>
      </c>
      <c r="K67" s="19" t="s">
        <v>498</v>
      </c>
      <c r="L67" s="24" t="s">
        <v>507</v>
      </c>
      <c r="M67" s="23">
        <v>30000000</v>
      </c>
      <c r="N67" s="206"/>
      <c r="O67" s="206"/>
      <c r="P67" s="206"/>
      <c r="Q67" s="206"/>
    </row>
    <row r="68" spans="1:17">
      <c r="A68" s="12"/>
      <c r="B68" s="19"/>
      <c r="C68" s="24"/>
      <c r="D68" s="23"/>
      <c r="E68" s="200"/>
      <c r="F68" s="200"/>
      <c r="G68" s="200"/>
      <c r="H68" s="200"/>
      <c r="J68" s="12"/>
      <c r="K68" s="19"/>
      <c r="L68" s="24"/>
      <c r="M68" s="23"/>
      <c r="N68" s="206"/>
      <c r="O68" s="206"/>
      <c r="P68" s="206"/>
      <c r="Q68" s="206"/>
    </row>
    <row r="69" spans="1:17" hidden="1">
      <c r="A69" s="12"/>
      <c r="B69" s="19"/>
      <c r="C69" s="24"/>
      <c r="D69" s="23"/>
      <c r="E69" s="200"/>
      <c r="F69" s="200"/>
      <c r="G69" s="200"/>
      <c r="H69" s="200"/>
      <c r="J69" s="12"/>
      <c r="K69" s="19"/>
      <c r="L69" s="24"/>
      <c r="M69" s="23"/>
      <c r="N69" s="206"/>
      <c r="O69" s="206"/>
      <c r="P69" s="206"/>
      <c r="Q69" s="206"/>
    </row>
    <row r="70" spans="1:17" hidden="1">
      <c r="A70" s="12"/>
      <c r="B70" s="19"/>
      <c r="C70" s="24"/>
      <c r="D70" s="23"/>
      <c r="E70" s="200"/>
      <c r="F70" s="200"/>
      <c r="G70" s="200"/>
      <c r="H70" s="200"/>
      <c r="J70" s="12"/>
      <c r="K70" s="19"/>
      <c r="L70" s="24"/>
      <c r="M70" s="23"/>
      <c r="N70" s="206"/>
      <c r="O70" s="206"/>
      <c r="P70" s="206"/>
      <c r="Q70" s="206"/>
    </row>
    <row r="71" spans="1:17" hidden="1">
      <c r="A71" s="12"/>
      <c r="B71" s="19"/>
      <c r="C71" s="24"/>
      <c r="D71" s="23"/>
      <c r="E71" s="200"/>
      <c r="F71" s="200"/>
      <c r="G71" s="200"/>
      <c r="H71" s="200"/>
      <c r="J71" s="12"/>
      <c r="K71" s="19"/>
      <c r="L71" s="24"/>
      <c r="M71" s="23"/>
      <c r="N71" s="206"/>
      <c r="O71" s="206"/>
      <c r="P71" s="206"/>
      <c r="Q71" s="206"/>
    </row>
    <row r="72" spans="1:17" hidden="1">
      <c r="A72" s="12"/>
      <c r="B72" s="19"/>
      <c r="C72" s="24"/>
      <c r="D72" s="23"/>
      <c r="E72" s="200"/>
      <c r="F72" s="200"/>
      <c r="G72" s="200"/>
      <c r="H72" s="200"/>
      <c r="J72" s="12"/>
      <c r="K72" s="19"/>
      <c r="L72" s="24"/>
      <c r="M72" s="23"/>
      <c r="N72" s="206"/>
      <c r="O72" s="206"/>
      <c r="P72" s="206"/>
      <c r="Q72" s="206"/>
    </row>
    <row r="73" spans="1:17">
      <c r="A73" s="12"/>
      <c r="B73" s="13"/>
      <c r="C73" s="26" t="s">
        <v>55</v>
      </c>
      <c r="D73" s="27">
        <f>SUM(D58:D71)</f>
        <v>65174700</v>
      </c>
      <c r="E73" s="27">
        <v>0</v>
      </c>
      <c r="F73" s="27">
        <v>0</v>
      </c>
      <c r="G73" s="27"/>
      <c r="H73" s="27"/>
      <c r="J73" s="12"/>
      <c r="K73" s="13"/>
      <c r="L73" s="26" t="s">
        <v>55</v>
      </c>
      <c r="M73" s="27">
        <f>SUM(M58:M71)</f>
        <v>65174700</v>
      </c>
      <c r="N73" s="27">
        <v>0</v>
      </c>
      <c r="O73" s="27">
        <v>0</v>
      </c>
      <c r="P73" s="27"/>
      <c r="Q73" s="27"/>
    </row>
    <row r="74" spans="1:17">
      <c r="A74" s="20"/>
      <c r="B74" s="19"/>
      <c r="C74" s="200" t="s">
        <v>21</v>
      </c>
      <c r="D74" s="10"/>
      <c r="E74" s="530">
        <f>D73</f>
        <v>65174700</v>
      </c>
      <c r="F74" s="530"/>
      <c r="G74" s="530"/>
      <c r="H74" s="530"/>
      <c r="J74" s="20"/>
      <c r="K74" s="19"/>
      <c r="L74" s="206" t="s">
        <v>21</v>
      </c>
      <c r="M74" s="10"/>
      <c r="N74" s="530">
        <f>M73</f>
        <v>65174700</v>
      </c>
      <c r="O74" s="530"/>
      <c r="P74" s="530"/>
      <c r="Q74" s="530"/>
    </row>
    <row r="75" spans="1:17" hidden="1">
      <c r="A75" s="524" t="s">
        <v>453</v>
      </c>
      <c r="B75" s="524"/>
      <c r="C75" s="524"/>
      <c r="D75" s="524"/>
      <c r="E75" s="524"/>
      <c r="F75" s="524"/>
      <c r="G75" s="524"/>
      <c r="H75" s="524"/>
      <c r="J75" s="524" t="s">
        <v>453</v>
      </c>
      <c r="K75" s="524"/>
      <c r="L75" s="524"/>
      <c r="M75" s="524"/>
      <c r="N75" s="524"/>
      <c r="O75" s="524"/>
      <c r="P75" s="524"/>
      <c r="Q75" s="524"/>
    </row>
    <row r="76" spans="1:17" hidden="1">
      <c r="A76" s="28"/>
      <c r="B76" s="23" t="s">
        <v>455</v>
      </c>
      <c r="C76" s="23" t="s">
        <v>454</v>
      </c>
      <c r="D76" s="23"/>
      <c r="E76" s="28"/>
      <c r="F76" s="28"/>
      <c r="G76" s="28"/>
      <c r="H76" s="28"/>
      <c r="J76" s="28"/>
      <c r="K76" s="23" t="s">
        <v>455</v>
      </c>
      <c r="L76" s="23" t="s">
        <v>454</v>
      </c>
      <c r="M76" s="23"/>
      <c r="N76" s="28"/>
      <c r="O76" s="28"/>
      <c r="P76" s="28"/>
      <c r="Q76" s="28"/>
    </row>
    <row r="77" spans="1:17" hidden="1">
      <c r="A77" s="28"/>
      <c r="B77" s="23"/>
      <c r="C77" s="23"/>
      <c r="D77" s="23"/>
      <c r="E77" s="28"/>
      <c r="F77" s="28"/>
      <c r="G77" s="28"/>
      <c r="H77" s="28"/>
      <c r="J77" s="28"/>
      <c r="K77" s="23"/>
      <c r="L77" s="23"/>
      <c r="M77" s="23"/>
      <c r="N77" s="28"/>
      <c r="O77" s="28"/>
      <c r="P77" s="28"/>
      <c r="Q77" s="28"/>
    </row>
    <row r="78" spans="1:17" hidden="1">
      <c r="A78" s="12"/>
      <c r="B78" s="19"/>
      <c r="C78" s="24"/>
      <c r="D78" s="23"/>
      <c r="E78" s="200"/>
      <c r="F78" s="200"/>
      <c r="G78" s="200"/>
      <c r="H78" s="200"/>
      <c r="J78" s="12"/>
      <c r="K78" s="19"/>
      <c r="L78" s="24"/>
      <c r="M78" s="23"/>
      <c r="N78" s="206"/>
      <c r="O78" s="206"/>
      <c r="P78" s="206"/>
      <c r="Q78" s="206"/>
    </row>
    <row r="79" spans="1:17" hidden="1">
      <c r="A79" s="12"/>
      <c r="B79" s="13"/>
      <c r="C79" s="26" t="s">
        <v>196</v>
      </c>
      <c r="D79" s="27">
        <f>SUM(D76:D78)</f>
        <v>0</v>
      </c>
      <c r="E79" s="27">
        <v>0</v>
      </c>
      <c r="F79" s="27">
        <v>0</v>
      </c>
      <c r="G79" s="27"/>
      <c r="H79" s="27"/>
      <c r="J79" s="12"/>
      <c r="K79" s="13"/>
      <c r="L79" s="26" t="s">
        <v>196</v>
      </c>
      <c r="M79" s="27">
        <f>SUM(M76:M78)</f>
        <v>0</v>
      </c>
      <c r="N79" s="27">
        <v>0</v>
      </c>
      <c r="O79" s="27">
        <v>0</v>
      </c>
      <c r="P79" s="27"/>
      <c r="Q79" s="27"/>
    </row>
    <row r="80" spans="1:17" hidden="1">
      <c r="A80" s="20"/>
      <c r="B80" s="19"/>
      <c r="C80" s="200" t="s">
        <v>21</v>
      </c>
      <c r="D80" s="10"/>
      <c r="E80" s="530">
        <f>D79</f>
        <v>0</v>
      </c>
      <c r="F80" s="530"/>
      <c r="G80" s="530"/>
      <c r="H80" s="530"/>
      <c r="J80" s="20"/>
      <c r="K80" s="19"/>
      <c r="L80" s="206" t="s">
        <v>21</v>
      </c>
      <c r="M80" s="10"/>
      <c r="N80" s="530">
        <f>M79</f>
        <v>0</v>
      </c>
      <c r="O80" s="530"/>
      <c r="P80" s="530"/>
      <c r="Q80" s="530"/>
    </row>
    <row r="81" spans="1:17">
      <c r="A81" s="527" t="s">
        <v>26</v>
      </c>
      <c r="B81" s="528"/>
      <c r="C81" s="528"/>
      <c r="D81" s="528"/>
      <c r="E81" s="528"/>
      <c r="F81" s="528"/>
      <c r="G81" s="528"/>
      <c r="H81" s="529"/>
      <c r="J81" s="527" t="s">
        <v>26</v>
      </c>
      <c r="K81" s="528"/>
      <c r="L81" s="528"/>
      <c r="M81" s="528"/>
      <c r="N81" s="528"/>
      <c r="O81" s="528"/>
      <c r="P81" s="528"/>
      <c r="Q81" s="529"/>
    </row>
    <row r="82" spans="1:17">
      <c r="A82" s="12"/>
      <c r="B82" s="19" t="s">
        <v>459</v>
      </c>
      <c r="C82" s="24" t="s">
        <v>458</v>
      </c>
      <c r="D82" s="23">
        <v>1000000</v>
      </c>
      <c r="E82" s="22"/>
      <c r="F82" s="22"/>
      <c r="G82" s="16"/>
      <c r="H82" s="16"/>
      <c r="J82" s="12">
        <v>46098</v>
      </c>
      <c r="K82" s="19" t="s">
        <v>459</v>
      </c>
      <c r="L82" s="24" t="s">
        <v>458</v>
      </c>
      <c r="M82" s="23">
        <v>1000000</v>
      </c>
      <c r="N82" s="22"/>
      <c r="O82" s="22"/>
      <c r="P82" s="16"/>
      <c r="Q82" s="16"/>
    </row>
    <row r="83" spans="1:17">
      <c r="A83" s="12"/>
      <c r="B83" s="19" t="s">
        <v>481</v>
      </c>
      <c r="C83" s="24" t="s">
        <v>475</v>
      </c>
      <c r="D83" s="23">
        <v>40000</v>
      </c>
      <c r="E83" s="22"/>
      <c r="F83" s="22"/>
      <c r="G83" s="16"/>
      <c r="H83" s="16"/>
      <c r="J83" s="12">
        <v>46098</v>
      </c>
      <c r="K83" s="19" t="s">
        <v>481</v>
      </c>
      <c r="L83" s="24" t="s">
        <v>475</v>
      </c>
      <c r="M83" s="23">
        <v>40000</v>
      </c>
      <c r="N83" s="22"/>
      <c r="O83" s="22"/>
      <c r="P83" s="16"/>
      <c r="Q83" s="16"/>
    </row>
    <row r="84" spans="1:17">
      <c r="A84" s="12"/>
      <c r="B84" s="19" t="s">
        <v>482</v>
      </c>
      <c r="C84" s="23" t="s">
        <v>476</v>
      </c>
      <c r="D84" s="23">
        <v>2090000</v>
      </c>
      <c r="E84" s="22"/>
      <c r="F84" s="22"/>
      <c r="G84" s="16"/>
      <c r="H84" s="16"/>
      <c r="J84" s="12">
        <v>46098</v>
      </c>
      <c r="K84" s="19" t="s">
        <v>482</v>
      </c>
      <c r="L84" s="23" t="s">
        <v>476</v>
      </c>
      <c r="M84" s="23">
        <v>2090000</v>
      </c>
      <c r="N84" s="22"/>
      <c r="O84" s="22"/>
      <c r="P84" s="16"/>
      <c r="Q84" s="16"/>
    </row>
    <row r="85" spans="1:17">
      <c r="A85" s="12"/>
      <c r="B85" s="19" t="s">
        <v>121</v>
      </c>
      <c r="C85" s="24" t="s">
        <v>478</v>
      </c>
      <c r="D85" s="23">
        <v>2163500</v>
      </c>
      <c r="E85" s="22"/>
      <c r="F85" s="22"/>
      <c r="G85" s="16"/>
      <c r="H85" s="16"/>
      <c r="J85" s="12">
        <v>46098</v>
      </c>
      <c r="K85" s="19" t="s">
        <v>121</v>
      </c>
      <c r="L85" s="24" t="s">
        <v>478</v>
      </c>
      <c r="M85" s="23">
        <v>2163500</v>
      </c>
      <c r="N85" s="22"/>
      <c r="O85" s="22"/>
      <c r="P85" s="16"/>
      <c r="Q85" s="16"/>
    </row>
    <row r="86" spans="1:17">
      <c r="A86" s="12"/>
      <c r="B86" s="19" t="s">
        <v>483</v>
      </c>
      <c r="C86" s="24" t="s">
        <v>477</v>
      </c>
      <c r="D86" s="23">
        <v>2271500</v>
      </c>
      <c r="E86" s="22"/>
      <c r="F86" s="22"/>
      <c r="G86" s="16"/>
      <c r="H86" s="16"/>
      <c r="J86" s="12">
        <v>46098</v>
      </c>
      <c r="K86" s="19" t="s">
        <v>483</v>
      </c>
      <c r="L86" s="24" t="s">
        <v>477</v>
      </c>
      <c r="M86" s="23">
        <v>2271500</v>
      </c>
      <c r="N86" s="22"/>
      <c r="O86" s="22"/>
      <c r="P86" s="16"/>
      <c r="Q86" s="16"/>
    </row>
    <row r="87" spans="1:17">
      <c r="A87" s="12"/>
      <c r="B87" s="19" t="s">
        <v>484</v>
      </c>
      <c r="C87" s="24" t="s">
        <v>479</v>
      </c>
      <c r="D87" s="23">
        <v>506500</v>
      </c>
      <c r="E87" s="22"/>
      <c r="F87" s="22"/>
      <c r="G87" s="16"/>
      <c r="H87" s="16"/>
      <c r="J87" s="12">
        <v>46098</v>
      </c>
      <c r="K87" s="19" t="s">
        <v>484</v>
      </c>
      <c r="L87" s="24" t="s">
        <v>479</v>
      </c>
      <c r="M87" s="23">
        <v>506500</v>
      </c>
      <c r="N87" s="22"/>
      <c r="O87" s="22"/>
      <c r="P87" s="16"/>
      <c r="Q87" s="16"/>
    </row>
    <row r="88" spans="1:17">
      <c r="A88" s="12"/>
      <c r="B88" s="19" t="s">
        <v>484</v>
      </c>
      <c r="C88" s="23" t="s">
        <v>480</v>
      </c>
      <c r="D88" s="23">
        <v>219750</v>
      </c>
      <c r="E88" s="22"/>
      <c r="F88" s="22"/>
      <c r="G88" s="16"/>
      <c r="H88" s="16"/>
      <c r="J88" s="12">
        <v>46098</v>
      </c>
      <c r="K88" s="19" t="s">
        <v>484</v>
      </c>
      <c r="L88" s="23" t="s">
        <v>480</v>
      </c>
      <c r="M88" s="23">
        <v>219750</v>
      </c>
      <c r="N88" s="22"/>
      <c r="O88" s="22"/>
      <c r="P88" s="16"/>
      <c r="Q88" s="16"/>
    </row>
    <row r="89" spans="1:17">
      <c r="A89" s="12"/>
      <c r="B89" s="19"/>
      <c r="C89" s="23"/>
      <c r="D89" s="23"/>
      <c r="E89" s="22"/>
      <c r="F89" s="22"/>
      <c r="G89" s="16"/>
      <c r="H89" s="16"/>
      <c r="J89" s="12"/>
      <c r="K89" s="19"/>
      <c r="L89" s="23"/>
      <c r="M89" s="23"/>
      <c r="N89" s="22"/>
      <c r="O89" s="22"/>
      <c r="P89" s="16"/>
      <c r="Q89" s="16"/>
    </row>
    <row r="90" spans="1:17" hidden="1">
      <c r="A90" s="12"/>
      <c r="B90" s="19"/>
      <c r="C90" s="23"/>
      <c r="D90" s="23"/>
      <c r="E90" s="22"/>
      <c r="F90" s="22"/>
      <c r="G90" s="16"/>
      <c r="H90" s="16"/>
      <c r="J90" s="12"/>
      <c r="K90" s="19"/>
      <c r="L90" s="23"/>
      <c r="M90" s="23"/>
      <c r="N90" s="22"/>
      <c r="O90" s="22"/>
      <c r="P90" s="16"/>
      <c r="Q90" s="16"/>
    </row>
    <row r="91" spans="1:17" hidden="1">
      <c r="A91" s="12"/>
      <c r="B91" s="19"/>
      <c r="C91" s="24"/>
      <c r="D91" s="23"/>
      <c r="E91" s="22"/>
      <c r="F91" s="22"/>
      <c r="G91" s="16"/>
      <c r="H91" s="16"/>
      <c r="J91" s="12"/>
      <c r="K91" s="19"/>
      <c r="L91" s="24"/>
      <c r="M91" s="23"/>
      <c r="N91" s="22"/>
      <c r="O91" s="22"/>
      <c r="P91" s="16"/>
      <c r="Q91" s="16"/>
    </row>
    <row r="92" spans="1:17" hidden="1">
      <c r="A92" s="12"/>
      <c r="B92" s="19"/>
      <c r="C92" s="24"/>
      <c r="D92" s="23"/>
      <c r="E92" s="22"/>
      <c r="F92" s="22"/>
      <c r="G92" s="16"/>
      <c r="H92" s="16"/>
      <c r="J92" s="12"/>
      <c r="K92" s="19"/>
      <c r="L92" s="24"/>
      <c r="M92" s="23"/>
      <c r="N92" s="22"/>
      <c r="O92" s="22"/>
      <c r="P92" s="16"/>
      <c r="Q92" s="16"/>
    </row>
    <row r="93" spans="1:17">
      <c r="A93" s="25"/>
      <c r="B93" s="19"/>
      <c r="C93" s="26" t="s">
        <v>31</v>
      </c>
      <c r="D93" s="27">
        <f>SUM(D82:D92)</f>
        <v>8291250</v>
      </c>
      <c r="E93" s="27"/>
      <c r="F93" s="27"/>
      <c r="G93" s="27"/>
      <c r="H93" s="27"/>
      <c r="J93" s="25"/>
      <c r="K93" s="19"/>
      <c r="L93" s="26" t="s">
        <v>31</v>
      </c>
      <c r="M93" s="27">
        <f>SUM(M82:M92)</f>
        <v>8291250</v>
      </c>
      <c r="N93" s="27"/>
      <c r="O93" s="27"/>
      <c r="P93" s="27"/>
      <c r="Q93" s="27"/>
    </row>
    <row r="94" spans="1:17">
      <c r="A94" s="20"/>
      <c r="B94" s="19"/>
      <c r="C94" s="200" t="s">
        <v>21</v>
      </c>
      <c r="D94" s="10"/>
      <c r="E94" s="530">
        <f>D93</f>
        <v>8291250</v>
      </c>
      <c r="F94" s="530"/>
      <c r="G94" s="530"/>
      <c r="H94" s="530"/>
      <c r="J94" s="20"/>
      <c r="K94" s="19"/>
      <c r="L94" s="206" t="s">
        <v>21</v>
      </c>
      <c r="M94" s="10"/>
      <c r="N94" s="530">
        <f>M93</f>
        <v>8291250</v>
      </c>
      <c r="O94" s="530"/>
      <c r="P94" s="530"/>
      <c r="Q94" s="530"/>
    </row>
    <row r="95" spans="1:17">
      <c r="A95" s="527" t="s">
        <v>32</v>
      </c>
      <c r="B95" s="528"/>
      <c r="C95" s="528"/>
      <c r="D95" s="528"/>
      <c r="E95" s="528"/>
      <c r="F95" s="528"/>
      <c r="G95" s="528"/>
      <c r="H95" s="529"/>
      <c r="J95" s="527" t="s">
        <v>32</v>
      </c>
      <c r="K95" s="528"/>
      <c r="L95" s="528"/>
      <c r="M95" s="528"/>
      <c r="N95" s="528"/>
      <c r="O95" s="528"/>
      <c r="P95" s="528"/>
      <c r="Q95" s="529"/>
    </row>
    <row r="96" spans="1:17">
      <c r="A96" s="12"/>
      <c r="B96" s="13"/>
      <c r="C96" s="22"/>
      <c r="D96" s="22"/>
      <c r="E96" s="200"/>
      <c r="F96" s="200"/>
      <c r="G96" s="200"/>
      <c r="H96" s="200"/>
      <c r="J96" s="12"/>
      <c r="K96" s="13"/>
      <c r="L96" s="22"/>
      <c r="M96" s="22"/>
      <c r="N96" s="206"/>
      <c r="O96" s="206"/>
      <c r="P96" s="206"/>
      <c r="Q96" s="206"/>
    </row>
    <row r="97" spans="1:17">
      <c r="A97" s="12"/>
      <c r="B97" s="13"/>
      <c r="C97" s="22"/>
      <c r="D97" s="22"/>
      <c r="E97" s="200"/>
      <c r="F97" s="200"/>
      <c r="G97" s="200"/>
      <c r="H97" s="200"/>
      <c r="J97" s="12"/>
      <c r="K97" s="13"/>
      <c r="L97" s="22"/>
      <c r="M97" s="22"/>
      <c r="N97" s="206"/>
      <c r="O97" s="206"/>
      <c r="P97" s="206"/>
      <c r="Q97" s="206"/>
    </row>
    <row r="98" spans="1:17">
      <c r="A98" s="12"/>
      <c r="B98" s="13"/>
      <c r="C98" s="22"/>
      <c r="D98" s="22"/>
      <c r="E98" s="200"/>
      <c r="F98" s="200"/>
      <c r="G98" s="200"/>
      <c r="H98" s="200"/>
      <c r="J98" s="12"/>
      <c r="K98" s="13"/>
      <c r="L98" s="22"/>
      <c r="M98" s="22"/>
      <c r="N98" s="206"/>
      <c r="O98" s="206"/>
      <c r="P98" s="206"/>
      <c r="Q98" s="206"/>
    </row>
    <row r="99" spans="1:17">
      <c r="A99" s="12"/>
      <c r="B99" s="13"/>
      <c r="C99" s="22"/>
      <c r="D99" s="29"/>
      <c r="E99" s="200"/>
      <c r="F99" s="200"/>
      <c r="G99" s="200"/>
      <c r="H99" s="200"/>
      <c r="J99" s="12"/>
      <c r="K99" s="13"/>
      <c r="L99" s="22"/>
      <c r="M99" s="29"/>
      <c r="N99" s="206"/>
      <c r="O99" s="206"/>
      <c r="P99" s="206"/>
      <c r="Q99" s="206"/>
    </row>
    <row r="100" spans="1:17">
      <c r="A100" s="12"/>
      <c r="B100" s="13"/>
      <c r="C100" s="26" t="s">
        <v>34</v>
      </c>
      <c r="D100" s="27">
        <f>SUM(D96:D99)</f>
        <v>0</v>
      </c>
      <c r="E100" s="27">
        <v>0</v>
      </c>
      <c r="F100" s="27">
        <v>0</v>
      </c>
      <c r="G100" s="27"/>
      <c r="H100" s="27"/>
      <c r="J100" s="12"/>
      <c r="K100" s="13"/>
      <c r="L100" s="26" t="s">
        <v>34</v>
      </c>
      <c r="M100" s="27">
        <f>SUM(M96:M99)</f>
        <v>0</v>
      </c>
      <c r="N100" s="27">
        <v>0</v>
      </c>
      <c r="O100" s="27">
        <v>0</v>
      </c>
      <c r="P100" s="27"/>
      <c r="Q100" s="27"/>
    </row>
    <row r="101" spans="1:17">
      <c r="A101" s="20"/>
      <c r="B101" s="19"/>
      <c r="C101" s="200" t="s">
        <v>21</v>
      </c>
      <c r="D101" s="10"/>
      <c r="E101" s="531">
        <f>D100</f>
        <v>0</v>
      </c>
      <c r="F101" s="532"/>
      <c r="G101" s="532"/>
      <c r="H101" s="533"/>
      <c r="J101" s="20"/>
      <c r="K101" s="19"/>
      <c r="L101" s="206" t="s">
        <v>21</v>
      </c>
      <c r="M101" s="10"/>
      <c r="N101" s="531">
        <f>M100</f>
        <v>0</v>
      </c>
      <c r="O101" s="532"/>
      <c r="P101" s="532"/>
      <c r="Q101" s="533"/>
    </row>
    <row r="102" spans="1:17">
      <c r="A102" s="525" t="s">
        <v>35</v>
      </c>
      <c r="B102" s="525"/>
      <c r="C102" s="525"/>
      <c r="D102" s="198"/>
      <c r="E102" s="526">
        <f>E41+E50+E94+E101+E74+E80+E56</f>
        <v>86846950</v>
      </c>
      <c r="F102" s="526"/>
      <c r="G102" s="526"/>
      <c r="H102" s="526"/>
      <c r="J102" s="525" t="s">
        <v>35</v>
      </c>
      <c r="K102" s="525"/>
      <c r="L102" s="525"/>
      <c r="M102" s="202"/>
      <c r="N102" s="526">
        <f>N41+N50+N94+N101+N74+N80+N56</f>
        <v>86846950</v>
      </c>
      <c r="O102" s="526"/>
      <c r="P102" s="526"/>
      <c r="Q102" s="526"/>
    </row>
    <row r="103" spans="1:17">
      <c r="A103" s="522" t="s">
        <v>36</v>
      </c>
      <c r="B103" s="522"/>
      <c r="C103" s="522"/>
      <c r="D103" s="197"/>
      <c r="E103" s="523">
        <f>+E23+E102</f>
        <v>87371950</v>
      </c>
      <c r="F103" s="523"/>
      <c r="G103" s="523"/>
      <c r="H103" s="523"/>
      <c r="J103" s="522" t="s">
        <v>36</v>
      </c>
      <c r="K103" s="522"/>
      <c r="L103" s="522"/>
      <c r="M103" s="205"/>
      <c r="N103" s="523">
        <f>+N23+N102</f>
        <v>87371950</v>
      </c>
      <c r="O103" s="523"/>
      <c r="P103" s="523"/>
      <c r="Q103" s="523"/>
    </row>
    <row r="104" spans="1:17">
      <c r="A104" s="524" t="s">
        <v>32</v>
      </c>
      <c r="B104" s="524"/>
      <c r="C104" s="524"/>
      <c r="D104" s="524"/>
      <c r="E104" s="524"/>
      <c r="F104" s="524"/>
      <c r="G104" s="524"/>
      <c r="H104" s="524"/>
      <c r="J104" s="524" t="s">
        <v>32</v>
      </c>
      <c r="K104" s="524"/>
      <c r="L104" s="524"/>
      <c r="M104" s="524"/>
      <c r="N104" s="524"/>
      <c r="O104" s="524"/>
      <c r="P104" s="524"/>
      <c r="Q104" s="524"/>
    </row>
    <row r="105" spans="1:17">
      <c r="A105" s="33"/>
      <c r="B105" s="13"/>
      <c r="C105" s="22"/>
      <c r="D105" s="22"/>
      <c r="E105" s="22"/>
      <c r="F105" s="22"/>
      <c r="G105" s="16"/>
      <c r="H105" s="16"/>
      <c r="J105" s="33"/>
      <c r="K105" s="13"/>
      <c r="L105" s="22"/>
      <c r="M105" s="22"/>
      <c r="N105" s="22"/>
      <c r="O105" s="22"/>
      <c r="P105" s="16"/>
      <c r="Q105" s="16"/>
    </row>
    <row r="106" spans="1:17">
      <c r="A106" s="33"/>
      <c r="B106" s="13"/>
      <c r="C106" s="22"/>
      <c r="D106" s="22"/>
      <c r="E106" s="22"/>
      <c r="F106" s="22"/>
      <c r="G106" s="16"/>
      <c r="H106" s="16"/>
      <c r="J106" s="33"/>
      <c r="K106" s="13"/>
      <c r="L106" s="22"/>
      <c r="M106" s="22"/>
      <c r="N106" s="22"/>
      <c r="O106" s="22"/>
      <c r="P106" s="16"/>
      <c r="Q106" s="16"/>
    </row>
    <row r="107" spans="1:17">
      <c r="A107" s="33"/>
      <c r="B107" s="13"/>
      <c r="C107" s="22"/>
      <c r="D107" s="22"/>
      <c r="E107" s="22"/>
      <c r="F107" s="22"/>
      <c r="G107" s="16"/>
      <c r="H107" s="16"/>
      <c r="J107" s="33"/>
      <c r="K107" s="13"/>
      <c r="L107" s="22"/>
      <c r="M107" s="22"/>
      <c r="N107" s="22"/>
      <c r="O107" s="22"/>
      <c r="P107" s="16"/>
      <c r="Q107" s="16"/>
    </row>
    <row r="108" spans="1:17">
      <c r="A108" s="20"/>
      <c r="B108" s="13"/>
      <c r="C108" s="22"/>
      <c r="D108" s="22"/>
      <c r="E108" s="22"/>
      <c r="F108" s="16"/>
      <c r="G108" s="16"/>
      <c r="H108" s="16"/>
      <c r="J108" s="20"/>
      <c r="K108" s="13"/>
      <c r="L108" s="22"/>
      <c r="M108" s="22"/>
      <c r="N108" s="22"/>
      <c r="O108" s="16"/>
      <c r="P108" s="16"/>
      <c r="Q108" s="16"/>
    </row>
    <row r="109" spans="1:17">
      <c r="A109" s="20"/>
      <c r="B109" s="13"/>
      <c r="C109" s="22"/>
      <c r="D109" s="22"/>
      <c r="E109" s="22"/>
      <c r="F109" s="16"/>
      <c r="G109" s="16"/>
      <c r="H109" s="16"/>
      <c r="J109" s="20"/>
      <c r="K109" s="13"/>
      <c r="L109" s="22"/>
      <c r="M109" s="22"/>
      <c r="N109" s="22"/>
      <c r="O109" s="16"/>
      <c r="P109" s="16"/>
      <c r="Q109" s="16"/>
    </row>
    <row r="110" spans="1:17">
      <c r="A110" s="525" t="s">
        <v>37</v>
      </c>
      <c r="B110" s="525"/>
      <c r="C110" s="525"/>
      <c r="D110" s="198">
        <f>SUM(D105:D109)</f>
        <v>0</v>
      </c>
      <c r="E110" s="526"/>
      <c r="F110" s="526"/>
      <c r="G110" s="526"/>
      <c r="H110" s="526"/>
      <c r="J110" s="525" t="s">
        <v>37</v>
      </c>
      <c r="K110" s="525"/>
      <c r="L110" s="525"/>
      <c r="M110" s="202">
        <f>SUM(M105:M109)</f>
        <v>0</v>
      </c>
      <c r="N110" s="526"/>
      <c r="O110" s="526"/>
      <c r="P110" s="526"/>
      <c r="Q110" s="526"/>
    </row>
    <row r="111" spans="1:17">
      <c r="A111" s="34" t="s">
        <v>38</v>
      </c>
      <c r="B111" s="35"/>
      <c r="C111" s="198"/>
      <c r="D111" s="198"/>
      <c r="E111" s="199"/>
      <c r="F111" s="199"/>
      <c r="G111" s="526"/>
      <c r="H111" s="526"/>
      <c r="J111" s="34" t="s">
        <v>38</v>
      </c>
      <c r="K111" s="35"/>
      <c r="L111" s="202"/>
      <c r="M111" s="202"/>
      <c r="N111" s="203"/>
      <c r="O111" s="203"/>
      <c r="P111" s="526"/>
      <c r="Q111" s="526"/>
    </row>
    <row r="112" spans="1:17">
      <c r="A112" s="37"/>
      <c r="B112" s="38"/>
      <c r="C112" s="39"/>
      <c r="D112" s="39"/>
      <c r="E112" s="39"/>
      <c r="F112" s="39"/>
      <c r="G112" s="39"/>
      <c r="H112" s="39"/>
      <c r="J112" s="37"/>
      <c r="K112" s="38"/>
      <c r="L112" s="39"/>
      <c r="M112" s="39"/>
      <c r="N112" s="39"/>
      <c r="O112" s="39"/>
      <c r="P112" s="39"/>
      <c r="Q112" s="39"/>
    </row>
    <row r="113" spans="1:17">
      <c r="A113" s="519" t="s">
        <v>13</v>
      </c>
      <c r="B113" s="520"/>
      <c r="C113" s="520"/>
      <c r="D113" s="520"/>
      <c r="E113" s="521"/>
      <c r="F113" s="39"/>
      <c r="G113" s="39"/>
      <c r="H113" s="40"/>
      <c r="J113" s="519" t="s">
        <v>13</v>
      </c>
      <c r="K113" s="520"/>
      <c r="L113" s="520"/>
      <c r="M113" s="520"/>
      <c r="N113" s="521"/>
      <c r="O113" s="39"/>
      <c r="P113" s="39"/>
      <c r="Q113" s="40"/>
    </row>
    <row r="114" spans="1:17">
      <c r="A114" s="41" t="s">
        <v>39</v>
      </c>
      <c r="B114" s="42" t="s">
        <v>40</v>
      </c>
      <c r="C114" s="43" t="s">
        <v>41</v>
      </c>
      <c r="D114" s="43" t="s">
        <v>42</v>
      </c>
      <c r="E114" s="43" t="s">
        <v>43</v>
      </c>
      <c r="F114" s="39"/>
      <c r="G114" s="39"/>
      <c r="H114" s="39"/>
      <c r="J114" s="41" t="s">
        <v>39</v>
      </c>
      <c r="K114" s="42" t="s">
        <v>40</v>
      </c>
      <c r="L114" s="43" t="s">
        <v>41</v>
      </c>
      <c r="M114" s="43" t="s">
        <v>42</v>
      </c>
      <c r="N114" s="43" t="s">
        <v>43</v>
      </c>
      <c r="O114" s="39"/>
      <c r="P114" s="39"/>
      <c r="Q114" s="39"/>
    </row>
    <row r="115" spans="1:17">
      <c r="A115" s="41"/>
      <c r="B115" s="44"/>
      <c r="C115" s="45"/>
      <c r="D115" s="46"/>
      <c r="E115" s="46"/>
      <c r="F115" s="39"/>
      <c r="G115" s="39"/>
      <c r="H115" s="39"/>
      <c r="J115" s="41"/>
      <c r="K115" s="44"/>
      <c r="L115" s="45"/>
      <c r="M115" s="46"/>
      <c r="N115" s="46"/>
      <c r="O115" s="39"/>
      <c r="P115" s="39"/>
      <c r="Q115" s="39"/>
    </row>
    <row r="116" spans="1:17">
      <c r="A116" s="41"/>
      <c r="B116" s="44"/>
      <c r="C116" s="45"/>
      <c r="D116" s="46"/>
      <c r="E116" s="46"/>
      <c r="F116" s="39"/>
      <c r="G116" s="39"/>
      <c r="H116" s="39"/>
      <c r="J116" s="41"/>
      <c r="K116" s="44"/>
      <c r="L116" s="45"/>
      <c r="M116" s="46"/>
      <c r="N116" s="46"/>
      <c r="O116" s="39"/>
      <c r="P116" s="39"/>
      <c r="Q116" s="39"/>
    </row>
    <row r="117" spans="1:17">
      <c r="A117" s="41"/>
      <c r="B117" s="44"/>
      <c r="C117" s="45"/>
      <c r="D117" s="46"/>
      <c r="E117" s="46"/>
      <c r="F117" s="39"/>
      <c r="G117" s="39"/>
      <c r="H117" s="39"/>
      <c r="J117" s="41"/>
      <c r="K117" s="44"/>
      <c r="L117" s="45"/>
      <c r="M117" s="46"/>
      <c r="N117" s="46"/>
      <c r="O117" s="39"/>
      <c r="P117" s="39"/>
      <c r="Q117" s="39"/>
    </row>
    <row r="118" spans="1:17">
      <c r="A118" s="41"/>
      <c r="B118" s="44"/>
      <c r="C118" s="47"/>
      <c r="D118" s="46"/>
      <c r="E118" s="46"/>
      <c r="F118" s="39"/>
      <c r="G118" s="39"/>
      <c r="H118" s="39"/>
      <c r="J118" s="41"/>
      <c r="K118" s="44"/>
      <c r="L118" s="47"/>
      <c r="M118" s="46"/>
      <c r="N118" s="46"/>
      <c r="O118" s="39"/>
      <c r="P118" s="39"/>
      <c r="Q118" s="39"/>
    </row>
    <row r="119" spans="1:17">
      <c r="A119" s="41"/>
      <c r="B119" s="44"/>
      <c r="C119" s="46"/>
      <c r="D119" s="48"/>
      <c r="E119" s="46"/>
      <c r="F119" s="39"/>
      <c r="G119" s="39"/>
      <c r="H119" s="39"/>
      <c r="J119" s="41"/>
      <c r="K119" s="44"/>
      <c r="L119" s="46"/>
      <c r="M119" s="48"/>
      <c r="N119" s="46"/>
      <c r="O119" s="39"/>
      <c r="P119" s="39"/>
      <c r="Q119" s="39"/>
    </row>
    <row r="120" spans="1:17">
      <c r="A120" s="49"/>
      <c r="B120" s="50"/>
      <c r="C120" s="51" t="s">
        <v>44</v>
      </c>
      <c r="D120" s="51">
        <f>SUM(D115:D119)</f>
        <v>0</v>
      </c>
      <c r="E120" s="52"/>
      <c r="F120" s="39"/>
      <c r="G120" s="39"/>
      <c r="H120" s="39"/>
      <c r="J120" s="49"/>
      <c r="K120" s="50"/>
      <c r="L120" s="51" t="s">
        <v>44</v>
      </c>
      <c r="M120" s="51">
        <f>SUM(M115:M119)</f>
        <v>0</v>
      </c>
      <c r="N120" s="52"/>
      <c r="O120" s="39"/>
      <c r="P120" s="39"/>
      <c r="Q120" s="39"/>
    </row>
    <row r="121" spans="1:17">
      <c r="A121" s="53"/>
      <c r="B121" s="54"/>
      <c r="C121" s="55"/>
      <c r="D121" s="116"/>
      <c r="E121" s="3"/>
      <c r="F121" s="39"/>
      <c r="G121" s="39"/>
      <c r="H121" s="39"/>
      <c r="J121" s="53"/>
      <c r="K121" s="54"/>
      <c r="L121" s="55"/>
      <c r="M121" s="116"/>
      <c r="N121" s="3"/>
      <c r="O121" s="39"/>
      <c r="P121" s="39"/>
      <c r="Q121" s="39"/>
    </row>
  </sheetData>
  <mergeCells count="66">
    <mergeCell ref="J104:Q104"/>
    <mergeCell ref="J110:L110"/>
    <mergeCell ref="N110:Q110"/>
    <mergeCell ref="P111:Q111"/>
    <mergeCell ref="J113:N113"/>
    <mergeCell ref="N101:Q101"/>
    <mergeCell ref="J102:L102"/>
    <mergeCell ref="N102:Q102"/>
    <mergeCell ref="J103:L103"/>
    <mergeCell ref="N103:Q103"/>
    <mergeCell ref="J75:Q75"/>
    <mergeCell ref="N80:Q80"/>
    <mergeCell ref="J81:Q81"/>
    <mergeCell ref="N94:Q94"/>
    <mergeCell ref="J95:Q95"/>
    <mergeCell ref="N50:Q50"/>
    <mergeCell ref="J51:Q51"/>
    <mergeCell ref="N56:Q56"/>
    <mergeCell ref="J57:Q57"/>
    <mergeCell ref="N74:Q74"/>
    <mergeCell ref="J23:M23"/>
    <mergeCell ref="N23:Q23"/>
    <mergeCell ref="J24:Q24"/>
    <mergeCell ref="N41:Q41"/>
    <mergeCell ref="J42:Q42"/>
    <mergeCell ref="J3:Q3"/>
    <mergeCell ref="J11:P11"/>
    <mergeCell ref="J12:Q12"/>
    <mergeCell ref="J13:J14"/>
    <mergeCell ref="K13:K14"/>
    <mergeCell ref="L13:L14"/>
    <mergeCell ref="M13:M14"/>
    <mergeCell ref="N13:Q13"/>
    <mergeCell ref="A3:H3"/>
    <mergeCell ref="A11:G11"/>
    <mergeCell ref="A12:H12"/>
    <mergeCell ref="A13:A14"/>
    <mergeCell ref="B13:B14"/>
    <mergeCell ref="C13:C14"/>
    <mergeCell ref="D13:D14"/>
    <mergeCell ref="E13:H13"/>
    <mergeCell ref="E80:H80"/>
    <mergeCell ref="A23:D23"/>
    <mergeCell ref="E23:H23"/>
    <mergeCell ref="A24:H24"/>
    <mergeCell ref="E41:H41"/>
    <mergeCell ref="A42:H42"/>
    <mergeCell ref="E50:H50"/>
    <mergeCell ref="A51:H51"/>
    <mergeCell ref="E56:H56"/>
    <mergeCell ref="A57:H57"/>
    <mergeCell ref="E74:H74"/>
    <mergeCell ref="A75:H75"/>
    <mergeCell ref="A81:H81"/>
    <mergeCell ref="E94:H94"/>
    <mergeCell ref="A95:H95"/>
    <mergeCell ref="E101:H101"/>
    <mergeCell ref="A102:C102"/>
    <mergeCell ref="E102:H102"/>
    <mergeCell ref="A113:E113"/>
    <mergeCell ref="A103:C103"/>
    <mergeCell ref="E103:H103"/>
    <mergeCell ref="A104:H104"/>
    <mergeCell ref="A110:C110"/>
    <mergeCell ref="E110:H110"/>
    <mergeCell ref="G111:H111"/>
  </mergeCells>
  <pageMargins left="0.11811023622047245" right="0.11811023622047245" top="0.31496062992125984" bottom="0.11811023622047245" header="0.15748031496062992" footer="0.11811023622047245"/>
  <pageSetup paperSize="9" scale="80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33"/>
  <sheetViews>
    <sheetView workbookViewId="0"/>
  </sheetViews>
  <sheetFormatPr defaultRowHeight="15"/>
  <cols>
    <col min="1" max="1" width="51.85546875" bestFit="1" customWidth="1"/>
    <col min="2" max="2" width="11.5703125" bestFit="1" customWidth="1"/>
    <col min="3" max="3" width="25" bestFit="1" customWidth="1"/>
    <col min="4" max="4" width="10.5703125" bestFit="1" customWidth="1"/>
    <col min="5" max="5" width="58.28515625" bestFit="1" customWidth="1"/>
    <col min="6" max="6" width="10.5703125" bestFit="1" customWidth="1"/>
    <col min="7" max="7" width="52.7109375" bestFit="1" customWidth="1"/>
    <col min="8" max="8" width="11.5703125" bestFit="1" customWidth="1"/>
    <col min="9" max="9" width="10.28515625" bestFit="1" customWidth="1"/>
    <col min="12" max="12" width="11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84" customFormat="1">
      <c r="A2" s="23" t="s">
        <v>518</v>
      </c>
      <c r="B2" s="23">
        <v>327000</v>
      </c>
      <c r="C2" s="14" t="s">
        <v>496</v>
      </c>
      <c r="D2" s="167">
        <v>150000</v>
      </c>
      <c r="E2" s="15" t="s">
        <v>510</v>
      </c>
      <c r="F2" s="22">
        <v>1480000</v>
      </c>
      <c r="G2" s="14" t="s">
        <v>495</v>
      </c>
      <c r="H2" s="15">
        <v>240000</v>
      </c>
      <c r="I2" s="77"/>
      <c r="J2" s="30"/>
    </row>
    <row r="3" spans="1:10" s="184" customFormat="1">
      <c r="A3" s="23" t="s">
        <v>519</v>
      </c>
      <c r="B3" s="23">
        <v>2500</v>
      </c>
      <c r="C3" s="24" t="s">
        <v>410</v>
      </c>
      <c r="D3" s="23">
        <v>300000</v>
      </c>
      <c r="E3" s="15" t="s">
        <v>513</v>
      </c>
      <c r="F3" s="23">
        <v>65000</v>
      </c>
      <c r="G3" s="14" t="s">
        <v>508</v>
      </c>
      <c r="H3" s="15">
        <f>49000+38000+22000+10000</f>
        <v>119000</v>
      </c>
      <c r="I3" s="183"/>
      <c r="J3" s="30"/>
    </row>
    <row r="4" spans="1:10" s="184" customFormat="1">
      <c r="A4" s="24" t="s">
        <v>501</v>
      </c>
      <c r="B4" s="23">
        <f>12878200-5000000-2090000</f>
        <v>5788200</v>
      </c>
      <c r="C4" s="183"/>
      <c r="D4" s="30"/>
      <c r="E4" s="15" t="s">
        <v>524</v>
      </c>
      <c r="F4" s="23">
        <v>1400000</v>
      </c>
      <c r="G4" s="15" t="s">
        <v>504</v>
      </c>
      <c r="H4" s="23">
        <v>2818500</v>
      </c>
      <c r="I4" s="183"/>
      <c r="J4" s="30"/>
    </row>
    <row r="5" spans="1:10" s="184" customFormat="1">
      <c r="A5" s="23" t="s">
        <v>365</v>
      </c>
      <c r="B5" s="23">
        <v>3855000</v>
      </c>
      <c r="C5" s="30"/>
      <c r="D5" s="185"/>
      <c r="E5" s="15" t="s">
        <v>514</v>
      </c>
      <c r="F5" s="23">
        <v>186000</v>
      </c>
      <c r="G5" s="183" t="s">
        <v>486</v>
      </c>
      <c r="H5" s="23">
        <v>4877000</v>
      </c>
      <c r="I5" s="183"/>
      <c r="J5" s="183"/>
    </row>
    <row r="6" spans="1:10" s="187" customFormat="1">
      <c r="A6" s="24" t="s">
        <v>263</v>
      </c>
      <c r="B6" s="23">
        <v>880000</v>
      </c>
      <c r="C6" s="186"/>
      <c r="D6" s="185"/>
      <c r="E6" s="183" t="s">
        <v>515</v>
      </c>
      <c r="F6" s="30">
        <v>230000</v>
      </c>
      <c r="G6" s="15" t="s">
        <v>497</v>
      </c>
      <c r="H6" s="23">
        <v>1066000</v>
      </c>
      <c r="I6" s="183"/>
      <c r="J6" s="183"/>
    </row>
    <row r="7" spans="1:10" s="187" customFormat="1">
      <c r="A7" s="24" t="s">
        <v>500</v>
      </c>
      <c r="B7" s="23">
        <v>300000</v>
      </c>
      <c r="C7" s="30"/>
      <c r="D7" s="188"/>
      <c r="E7" s="183" t="s">
        <v>516</v>
      </c>
      <c r="F7" s="30">
        <v>51000</v>
      </c>
      <c r="G7" s="15" t="s">
        <v>488</v>
      </c>
      <c r="H7" s="23">
        <v>230000</v>
      </c>
      <c r="I7" s="183"/>
      <c r="J7" s="183"/>
    </row>
    <row r="8" spans="1:10" s="187" customFormat="1">
      <c r="A8" s="183"/>
      <c r="B8" s="30"/>
      <c r="C8" s="30"/>
      <c r="D8" s="188"/>
      <c r="E8" s="30" t="s">
        <v>520</v>
      </c>
      <c r="F8" s="188">
        <v>540000</v>
      </c>
      <c r="G8" s="23" t="s">
        <v>446</v>
      </c>
      <c r="H8" s="23">
        <v>12000</v>
      </c>
      <c r="I8" s="30"/>
      <c r="J8" s="188"/>
    </row>
    <row r="9" spans="1:10" s="187" customFormat="1">
      <c r="A9" s="186"/>
      <c r="B9" s="185"/>
      <c r="C9" s="30"/>
      <c r="D9" s="188"/>
      <c r="E9" s="185" t="s">
        <v>521</v>
      </c>
      <c r="F9" s="189">
        <v>96000</v>
      </c>
      <c r="G9" s="23" t="s">
        <v>503</v>
      </c>
      <c r="H9" s="23">
        <v>1700000</v>
      </c>
      <c r="I9" s="30"/>
      <c r="J9" s="188"/>
    </row>
    <row r="10" spans="1:10" s="187" customFormat="1">
      <c r="A10" s="186"/>
      <c r="B10" s="188"/>
      <c r="C10" s="190"/>
      <c r="D10" s="190"/>
      <c r="E10" s="185"/>
      <c r="F10" s="189"/>
      <c r="G10" s="23" t="s">
        <v>506</v>
      </c>
      <c r="H10" s="23">
        <v>21500</v>
      </c>
      <c r="I10" s="30"/>
      <c r="J10" s="188"/>
    </row>
    <row r="11" spans="1:10" s="187" customFormat="1">
      <c r="A11" s="186"/>
      <c r="B11" s="185"/>
      <c r="C11" s="190"/>
      <c r="D11" s="190"/>
      <c r="E11" s="185"/>
      <c r="F11" s="189"/>
      <c r="G11" s="23" t="s">
        <v>492</v>
      </c>
      <c r="H11" s="23">
        <v>15000000</v>
      </c>
      <c r="I11" s="30"/>
      <c r="J11" s="188"/>
    </row>
    <row r="12" spans="1:10" s="187" customFormat="1">
      <c r="A12" s="186"/>
      <c r="B12" s="185"/>
      <c r="C12" s="190"/>
      <c r="D12" s="190"/>
      <c r="E12" s="185"/>
      <c r="F12" s="189"/>
      <c r="G12" s="24" t="s">
        <v>499</v>
      </c>
      <c r="H12" s="23">
        <v>240000</v>
      </c>
      <c r="I12" s="30"/>
      <c r="J12" s="188"/>
    </row>
    <row r="13" spans="1:10" s="187" customFormat="1">
      <c r="A13" s="186"/>
      <c r="B13" s="185"/>
      <c r="C13" s="190"/>
      <c r="D13" s="190"/>
      <c r="E13" s="185"/>
      <c r="F13" s="189"/>
      <c r="G13" s="24" t="s">
        <v>507</v>
      </c>
      <c r="H13" s="23">
        <v>30000000</v>
      </c>
      <c r="I13" s="191"/>
      <c r="J13" s="192"/>
    </row>
    <row r="14" spans="1:10" s="187" customFormat="1">
      <c r="A14" s="193"/>
      <c r="B14" s="194"/>
      <c r="C14" s="194"/>
      <c r="D14" s="194"/>
      <c r="E14" s="194"/>
      <c r="F14" s="194"/>
      <c r="G14" s="183" t="s">
        <v>458</v>
      </c>
      <c r="H14" s="30">
        <v>1000000</v>
      </c>
      <c r="I14" s="193"/>
      <c r="J14" s="194"/>
    </row>
    <row r="15" spans="1:10" s="187" customFormat="1">
      <c r="A15" s="193"/>
      <c r="B15" s="194"/>
      <c r="C15" s="194"/>
      <c r="D15" s="194"/>
      <c r="E15" s="194"/>
      <c r="F15" s="194"/>
      <c r="G15" s="195" t="s">
        <v>475</v>
      </c>
      <c r="H15" s="195">
        <v>40000</v>
      </c>
      <c r="I15" s="193"/>
      <c r="J15" s="194"/>
    </row>
    <row r="16" spans="1:10" s="187" customFormat="1">
      <c r="A16" s="193"/>
      <c r="B16" s="194"/>
      <c r="C16" s="194"/>
      <c r="D16" s="194"/>
      <c r="E16" s="194"/>
      <c r="F16" s="194"/>
      <c r="G16" s="196" t="s">
        <v>476</v>
      </c>
      <c r="H16" s="196">
        <v>2090000</v>
      </c>
      <c r="I16" s="193"/>
      <c r="J16" s="194"/>
    </row>
    <row r="17" spans="1:12" s="187" customFormat="1">
      <c r="A17" s="193"/>
      <c r="B17" s="194"/>
      <c r="C17" s="194"/>
      <c r="D17" s="194"/>
      <c r="E17" s="194"/>
      <c r="F17" s="194"/>
      <c r="G17" s="196" t="s">
        <v>478</v>
      </c>
      <c r="H17" s="196">
        <v>2163500</v>
      </c>
      <c r="I17" s="193"/>
      <c r="J17" s="194"/>
    </row>
    <row r="18" spans="1:12" s="187" customFormat="1">
      <c r="A18" s="193"/>
      <c r="B18" s="194"/>
      <c r="C18" s="194"/>
      <c r="D18" s="194"/>
      <c r="E18" s="194"/>
      <c r="F18" s="194"/>
      <c r="G18" s="196" t="s">
        <v>477</v>
      </c>
      <c r="H18" s="196">
        <v>2271500</v>
      </c>
      <c r="I18" s="193"/>
      <c r="J18" s="194"/>
    </row>
    <row r="19" spans="1:12" s="187" customFormat="1">
      <c r="A19" s="193"/>
      <c r="B19" s="194"/>
      <c r="C19" s="194"/>
      <c r="D19" s="194"/>
      <c r="E19" s="194"/>
      <c r="F19" s="194"/>
      <c r="G19" s="196" t="s">
        <v>479</v>
      </c>
      <c r="H19" s="196">
        <v>506500</v>
      </c>
      <c r="I19" s="193"/>
      <c r="J19" s="194"/>
    </row>
    <row r="20" spans="1:12" s="187" customFormat="1">
      <c r="A20" s="193"/>
      <c r="B20" s="194"/>
      <c r="C20" s="194"/>
      <c r="D20" s="194"/>
      <c r="E20" s="194"/>
      <c r="F20" s="194"/>
      <c r="G20" s="196" t="s">
        <v>480</v>
      </c>
      <c r="H20" s="196">
        <v>219750</v>
      </c>
      <c r="I20" s="193"/>
      <c r="J20" s="194"/>
    </row>
    <row r="21" spans="1:12" s="187" customFormat="1">
      <c r="A21" s="193"/>
      <c r="B21" s="194"/>
      <c r="C21" s="194"/>
      <c r="D21" s="194"/>
      <c r="E21" s="194"/>
      <c r="F21" s="194"/>
      <c r="G21" s="196" t="s">
        <v>526</v>
      </c>
      <c r="H21" s="77">
        <v>16000</v>
      </c>
      <c r="I21" s="193"/>
      <c r="J21" s="194"/>
    </row>
    <row r="22" spans="1:12" s="187" customFormat="1">
      <c r="A22" s="193"/>
      <c r="B22" s="194"/>
      <c r="C22" s="194"/>
      <c r="D22" s="194"/>
      <c r="E22" s="194"/>
      <c r="F22" s="194"/>
      <c r="G22" s="196"/>
      <c r="H22" s="196"/>
      <c r="I22" s="193"/>
      <c r="J22" s="194"/>
    </row>
    <row r="23" spans="1:12" s="187" customFormat="1">
      <c r="A23" s="193"/>
      <c r="B23" s="194"/>
      <c r="C23" s="194"/>
      <c r="D23" s="194"/>
      <c r="E23" s="194"/>
      <c r="F23" s="194"/>
      <c r="G23" s="196"/>
      <c r="H23" s="196"/>
      <c r="I23" s="193"/>
      <c r="J23" s="194"/>
    </row>
    <row r="24" spans="1:12" s="187" customFormat="1">
      <c r="A24" s="193"/>
      <c r="B24" s="194"/>
      <c r="C24" s="194"/>
      <c r="D24" s="194"/>
      <c r="E24" s="194"/>
      <c r="F24" s="194"/>
      <c r="G24" s="196"/>
      <c r="H24" s="196"/>
      <c r="I24" s="193"/>
      <c r="J24" s="194"/>
    </row>
    <row r="25" spans="1:12" s="187" customFormat="1">
      <c r="A25" s="193"/>
      <c r="B25" s="194"/>
      <c r="C25" s="194"/>
      <c r="D25" s="194"/>
      <c r="E25" s="194"/>
      <c r="F25" s="194"/>
      <c r="G25" s="196"/>
      <c r="H25" s="196"/>
      <c r="I25" s="193"/>
      <c r="J25" s="194"/>
    </row>
    <row r="26" spans="1:12" s="187" customFormat="1">
      <c r="A26" s="193"/>
      <c r="B26" s="194"/>
      <c r="C26" s="194"/>
      <c r="D26" s="194"/>
      <c r="E26" s="194"/>
      <c r="F26" s="194"/>
      <c r="G26" s="196"/>
      <c r="H26" s="196"/>
      <c r="I26" s="193"/>
      <c r="J26" s="194"/>
    </row>
    <row r="27" spans="1:12" s="187" customFormat="1">
      <c r="A27" s="193"/>
      <c r="B27" s="194"/>
      <c r="C27" s="194"/>
      <c r="D27" s="194"/>
      <c r="E27" s="194"/>
      <c r="F27" s="194"/>
      <c r="G27" s="196"/>
      <c r="H27" s="196"/>
      <c r="I27" s="193"/>
      <c r="J27" s="194"/>
    </row>
    <row r="28" spans="1:12">
      <c r="A28" s="68"/>
      <c r="B28" s="69"/>
      <c r="C28" s="69"/>
      <c r="D28" s="69"/>
      <c r="E28" s="69"/>
      <c r="F28" s="69"/>
      <c r="G28" s="119"/>
      <c r="H28" s="120"/>
      <c r="I28" s="68"/>
      <c r="J28" s="69"/>
    </row>
    <row r="29" spans="1:12">
      <c r="A29" s="70"/>
      <c r="B29" s="71">
        <f>SUM(B2:B27)</f>
        <v>11152700</v>
      </c>
      <c r="C29" s="71">
        <f t="shared" ref="C29:J29" si="0">SUM(C2:C27)</f>
        <v>0</v>
      </c>
      <c r="D29" s="71">
        <f t="shared" si="0"/>
        <v>450000</v>
      </c>
      <c r="E29" s="71">
        <f t="shared" si="0"/>
        <v>0</v>
      </c>
      <c r="F29" s="71">
        <f t="shared" si="0"/>
        <v>4048000</v>
      </c>
      <c r="G29" s="71">
        <f t="shared" si="0"/>
        <v>0</v>
      </c>
      <c r="H29" s="71">
        <f>SUM(H2:H27)</f>
        <v>64631250</v>
      </c>
      <c r="I29" s="71">
        <f t="shared" si="0"/>
        <v>0</v>
      </c>
      <c r="J29" s="71">
        <f t="shared" si="0"/>
        <v>0</v>
      </c>
      <c r="K29" s="72"/>
      <c r="L29" s="72">
        <f>SUM(B29:K29)</f>
        <v>80281950</v>
      </c>
    </row>
    <row r="30" spans="1:12">
      <c r="B30" s="77"/>
      <c r="C30" t="s">
        <v>317</v>
      </c>
      <c r="D30" s="77">
        <v>100000</v>
      </c>
      <c r="E30" s="77"/>
      <c r="F30" s="77"/>
      <c r="L30" s="72">
        <f>L29-Sheet13!N103</f>
        <v>-7090000</v>
      </c>
    </row>
    <row r="31" spans="1:12">
      <c r="A31" t="s">
        <v>525</v>
      </c>
      <c r="B31" s="77">
        <f>B4</f>
        <v>5788200</v>
      </c>
      <c r="D31" s="72">
        <f>D29-D30</f>
        <v>350000</v>
      </c>
    </row>
    <row r="32" spans="1:12">
      <c r="B32" s="72"/>
      <c r="H32">
        <f>240*2</f>
        <v>480</v>
      </c>
    </row>
    <row r="33" spans="2:2">
      <c r="B33" s="72">
        <f>B29-B31</f>
        <v>5364500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32"/>
  <sheetViews>
    <sheetView workbookViewId="0"/>
  </sheetViews>
  <sheetFormatPr defaultRowHeight="15"/>
  <cols>
    <col min="1" max="1" width="6.140625" customWidth="1"/>
    <col min="2" max="2" width="9.28515625" customWidth="1"/>
    <col min="3" max="3" width="78" bestFit="1" customWidth="1"/>
    <col min="4" max="4" width="12" bestFit="1" customWidth="1"/>
    <col min="5" max="5" width="7.28515625" customWidth="1"/>
    <col min="6" max="6" width="7.5703125" customWidth="1"/>
    <col min="7" max="7" width="7.42578125" customWidth="1"/>
    <col min="8" max="8" width="12" bestFit="1" customWidth="1"/>
    <col min="10" max="10" width="11.5703125" bestFit="1" customWidth="1"/>
    <col min="12" max="12" width="78" bestFit="1" customWidth="1"/>
    <col min="13" max="13" width="11.7109375" bestFit="1" customWidth="1"/>
    <col min="15" max="17" width="10" bestFit="1" customWidth="1"/>
    <col min="18" max="18" width="11.5703125" bestFit="1" customWidth="1"/>
    <col min="19" max="19" width="10.57031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551</v>
      </c>
      <c r="B2" s="2"/>
      <c r="C2" s="3"/>
      <c r="D2" s="3"/>
      <c r="E2" s="3"/>
      <c r="F2" s="3"/>
      <c r="G2" s="3"/>
      <c r="H2" s="3"/>
      <c r="J2" s="1" t="s">
        <v>551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3112000</v>
      </c>
      <c r="E4" s="6"/>
      <c r="F4" s="6"/>
      <c r="G4" s="6"/>
      <c r="H4" s="6"/>
      <c r="J4" s="4"/>
      <c r="K4" s="5"/>
      <c r="L4" s="6" t="s">
        <v>2</v>
      </c>
      <c r="M4" s="7">
        <v>3112000</v>
      </c>
      <c r="N4" s="6"/>
      <c r="O4" s="6"/>
      <c r="P4" s="6"/>
      <c r="Q4" s="6"/>
    </row>
    <row r="5" spans="1:17">
      <c r="A5" s="4"/>
      <c r="B5" s="5"/>
      <c r="C5" s="6" t="s">
        <v>3</v>
      </c>
      <c r="D5" s="8">
        <v>296765</v>
      </c>
      <c r="E5" s="6"/>
      <c r="F5" s="6"/>
      <c r="G5" s="6"/>
      <c r="H5" s="6"/>
      <c r="J5" s="4"/>
      <c r="K5" s="5"/>
      <c r="L5" s="6" t="s">
        <v>3</v>
      </c>
      <c r="M5" s="8">
        <v>296765</v>
      </c>
      <c r="N5" s="6"/>
      <c r="O5" s="6"/>
      <c r="P5" s="6"/>
      <c r="Q5" s="6"/>
    </row>
    <row r="6" spans="1:17">
      <c r="A6" s="4"/>
      <c r="B6" s="5"/>
      <c r="C6" s="6" t="s">
        <v>4</v>
      </c>
      <c r="D6" s="115">
        <v>1189810.5900000334</v>
      </c>
      <c r="E6" s="6"/>
      <c r="F6" s="6"/>
      <c r="G6" s="6"/>
      <c r="H6" s="6"/>
      <c r="J6" s="4"/>
      <c r="K6" s="5"/>
      <c r="L6" s="6" t="s">
        <v>4</v>
      </c>
      <c r="M6" s="115">
        <v>1189810.5900000334</v>
      </c>
      <c r="N6" s="6"/>
      <c r="O6" s="6"/>
      <c r="P6" s="6"/>
      <c r="Q6" s="6"/>
    </row>
    <row r="7" spans="1:17">
      <c r="A7" s="4"/>
      <c r="B7" s="5"/>
      <c r="C7" s="6" t="s">
        <v>5</v>
      </c>
      <c r="D7" s="6">
        <v>1146153</v>
      </c>
      <c r="E7" s="6"/>
      <c r="F7" s="6"/>
      <c r="G7" s="6"/>
      <c r="H7" s="6"/>
      <c r="J7" s="4"/>
      <c r="K7" s="5"/>
      <c r="L7" s="6" t="s">
        <v>5</v>
      </c>
      <c r="M7" s="6">
        <v>1146153</v>
      </c>
      <c r="N7" s="6"/>
      <c r="O7" s="6"/>
      <c r="P7" s="6"/>
      <c r="Q7" s="6"/>
    </row>
    <row r="8" spans="1:17">
      <c r="A8" s="4"/>
      <c r="B8" s="5"/>
      <c r="C8" s="6" t="s">
        <v>6</v>
      </c>
      <c r="D8" s="6">
        <v>3297735.5133333281</v>
      </c>
      <c r="E8" s="6"/>
      <c r="F8" s="6"/>
      <c r="G8" s="6"/>
      <c r="H8" s="6"/>
      <c r="J8" s="4"/>
      <c r="K8" s="5"/>
      <c r="L8" s="6" t="s">
        <v>6</v>
      </c>
      <c r="M8" s="6">
        <v>3297735.5133333281</v>
      </c>
      <c r="N8" s="6"/>
      <c r="O8" s="6"/>
      <c r="P8" s="6"/>
      <c r="Q8" s="6"/>
    </row>
    <row r="9" spans="1:17">
      <c r="A9" s="4"/>
      <c r="B9" s="5"/>
      <c r="C9" s="6" t="s">
        <v>7</v>
      </c>
      <c r="D9" s="6">
        <v>148357</v>
      </c>
      <c r="E9" s="6"/>
      <c r="F9" s="6"/>
      <c r="G9" s="6"/>
      <c r="H9" s="6"/>
      <c r="J9" s="4"/>
      <c r="K9" s="5"/>
      <c r="L9" s="6" t="s">
        <v>7</v>
      </c>
      <c r="M9" s="6">
        <v>148357</v>
      </c>
      <c r="N9" s="6"/>
      <c r="O9" s="6"/>
      <c r="P9" s="6"/>
      <c r="Q9" s="6"/>
    </row>
    <row r="10" spans="1:17">
      <c r="A10" s="4"/>
      <c r="B10" s="5"/>
      <c r="C10" s="6"/>
      <c r="D10" s="6"/>
      <c r="E10" s="6"/>
      <c r="F10" s="6"/>
      <c r="G10" s="6"/>
      <c r="H10" s="6"/>
      <c r="J10" s="4"/>
      <c r="K10" s="5"/>
      <c r="L10" s="6"/>
      <c r="M10" s="6"/>
      <c r="N10" s="6"/>
      <c r="O10" s="6"/>
      <c r="P10" s="6"/>
      <c r="Q10" s="6"/>
    </row>
    <row r="11" spans="1:17">
      <c r="A11" s="531" t="s">
        <v>550</v>
      </c>
      <c r="B11" s="532"/>
      <c r="C11" s="532"/>
      <c r="D11" s="532"/>
      <c r="E11" s="532"/>
      <c r="F11" s="532"/>
      <c r="G11" s="533"/>
      <c r="H11" s="10">
        <f>SUM(D4:D9)</f>
        <v>9190821.1033333614</v>
      </c>
      <c r="J11" s="531" t="s">
        <v>550</v>
      </c>
      <c r="K11" s="532"/>
      <c r="L11" s="532"/>
      <c r="M11" s="532"/>
      <c r="N11" s="532"/>
      <c r="O11" s="532"/>
      <c r="P11" s="533"/>
      <c r="Q11" s="10">
        <f>SUM(M4:M9)</f>
        <v>9190821.1033333614</v>
      </c>
    </row>
    <row r="12" spans="1:17">
      <c r="A12" s="535" t="s">
        <v>8</v>
      </c>
      <c r="B12" s="535"/>
      <c r="C12" s="535"/>
      <c r="D12" s="535"/>
      <c r="E12" s="535"/>
      <c r="F12" s="535"/>
      <c r="G12" s="535"/>
      <c r="H12" s="535"/>
      <c r="J12" s="535" t="s">
        <v>8</v>
      </c>
      <c r="K12" s="535"/>
      <c r="L12" s="535"/>
      <c r="M12" s="535"/>
      <c r="N12" s="535"/>
      <c r="O12" s="535"/>
      <c r="P12" s="535"/>
      <c r="Q12" s="535"/>
    </row>
    <row r="13" spans="1:17">
      <c r="A13" s="536" t="s">
        <v>9</v>
      </c>
      <c r="B13" s="537" t="s">
        <v>10</v>
      </c>
      <c r="C13" s="538" t="s">
        <v>11</v>
      </c>
      <c r="D13" s="538" t="s">
        <v>12</v>
      </c>
      <c r="E13" s="530" t="s">
        <v>13</v>
      </c>
      <c r="F13" s="530"/>
      <c r="G13" s="530"/>
      <c r="H13" s="530"/>
      <c r="J13" s="536" t="s">
        <v>9</v>
      </c>
      <c r="K13" s="537" t="s">
        <v>10</v>
      </c>
      <c r="L13" s="538" t="s">
        <v>11</v>
      </c>
      <c r="M13" s="538" t="s">
        <v>12</v>
      </c>
      <c r="N13" s="530" t="s">
        <v>13</v>
      </c>
      <c r="O13" s="530"/>
      <c r="P13" s="530"/>
      <c r="Q13" s="530"/>
    </row>
    <row r="14" spans="1:17">
      <c r="A14" s="536"/>
      <c r="B14" s="537"/>
      <c r="C14" s="538"/>
      <c r="D14" s="538"/>
      <c r="E14" s="210" t="s">
        <v>14</v>
      </c>
      <c r="F14" s="210" t="s">
        <v>15</v>
      </c>
      <c r="G14" s="210" t="s">
        <v>16</v>
      </c>
      <c r="H14" s="210" t="s">
        <v>17</v>
      </c>
      <c r="J14" s="536"/>
      <c r="K14" s="537"/>
      <c r="L14" s="538"/>
      <c r="M14" s="538"/>
      <c r="N14" s="215" t="s">
        <v>14</v>
      </c>
      <c r="O14" s="215" t="s">
        <v>15</v>
      </c>
      <c r="P14" s="215" t="s">
        <v>16</v>
      </c>
      <c r="Q14" s="215" t="s">
        <v>17</v>
      </c>
    </row>
    <row r="15" spans="1:17">
      <c r="A15" s="12"/>
      <c r="B15" s="19" t="s">
        <v>527</v>
      </c>
      <c r="C15" s="14" t="s">
        <v>494</v>
      </c>
      <c r="D15" s="77">
        <v>32000</v>
      </c>
      <c r="E15" s="168"/>
      <c r="F15" s="168"/>
      <c r="G15" s="168"/>
      <c r="H15" s="168"/>
      <c r="J15" s="12"/>
      <c r="K15" s="19" t="s">
        <v>527</v>
      </c>
      <c r="L15" s="14" t="s">
        <v>494</v>
      </c>
      <c r="M15" s="77">
        <v>32000</v>
      </c>
      <c r="N15" s="168"/>
      <c r="O15" s="168"/>
      <c r="P15" s="168"/>
      <c r="Q15" s="168"/>
    </row>
    <row r="16" spans="1:17">
      <c r="A16" s="12"/>
      <c r="B16" s="19" t="s">
        <v>527</v>
      </c>
      <c r="C16" s="14" t="s">
        <v>552</v>
      </c>
      <c r="D16" s="167">
        <v>650000</v>
      </c>
      <c r="E16" s="16"/>
      <c r="F16" s="16"/>
      <c r="G16" s="16"/>
      <c r="H16" s="16"/>
      <c r="J16" s="12"/>
      <c r="K16" s="19" t="s">
        <v>527</v>
      </c>
      <c r="L16" s="14" t="s">
        <v>552</v>
      </c>
      <c r="M16" s="167">
        <v>650000</v>
      </c>
      <c r="N16" s="16"/>
      <c r="O16" s="16"/>
      <c r="P16" s="16"/>
      <c r="Q16" s="16"/>
    </row>
    <row r="17" spans="1:19">
      <c r="A17" s="12"/>
      <c r="B17" s="19" t="s">
        <v>548</v>
      </c>
      <c r="C17" s="14" t="s">
        <v>180</v>
      </c>
      <c r="D17" s="15">
        <v>1193100</v>
      </c>
      <c r="E17" s="16"/>
      <c r="F17" s="16"/>
      <c r="G17" s="16"/>
      <c r="H17" s="16"/>
      <c r="J17" s="12"/>
      <c r="K17" s="19" t="s">
        <v>548</v>
      </c>
      <c r="L17" s="14" t="s">
        <v>180</v>
      </c>
      <c r="M17" s="15">
        <v>1193100</v>
      </c>
      <c r="N17" s="16"/>
      <c r="O17" s="16"/>
      <c r="P17" s="16"/>
      <c r="Q17" s="16"/>
    </row>
    <row r="18" spans="1:19">
      <c r="A18" s="12"/>
      <c r="B18" s="19" t="s">
        <v>548</v>
      </c>
      <c r="C18" s="14" t="s">
        <v>356</v>
      </c>
      <c r="D18" s="15">
        <v>450000</v>
      </c>
      <c r="E18" s="16"/>
      <c r="F18" s="16"/>
      <c r="G18" s="16"/>
      <c r="H18" s="16"/>
      <c r="J18" s="12"/>
      <c r="K18" s="19" t="s">
        <v>548</v>
      </c>
      <c r="L18" s="14" t="s">
        <v>356</v>
      </c>
      <c r="M18" s="15">
        <v>450000</v>
      </c>
      <c r="N18" s="16"/>
      <c r="O18" s="16"/>
      <c r="P18" s="16"/>
      <c r="Q18" s="16"/>
    </row>
    <row r="19" spans="1:19">
      <c r="A19" s="12"/>
      <c r="B19" s="19" t="s">
        <v>548</v>
      </c>
      <c r="C19" s="14" t="s">
        <v>357</v>
      </c>
      <c r="D19" s="15">
        <v>202500</v>
      </c>
      <c r="E19" s="16"/>
      <c r="F19" s="16"/>
      <c r="G19" s="16"/>
      <c r="H19" s="16"/>
      <c r="J19" s="12"/>
      <c r="K19" s="19" t="s">
        <v>548</v>
      </c>
      <c r="L19" s="14" t="s">
        <v>357</v>
      </c>
      <c r="M19" s="15">
        <v>202500</v>
      </c>
      <c r="N19" s="16"/>
      <c r="O19" s="16"/>
      <c r="P19" s="16"/>
      <c r="Q19" s="16"/>
    </row>
    <row r="20" spans="1:19">
      <c r="A20" s="12"/>
      <c r="B20" s="19" t="s">
        <v>548</v>
      </c>
      <c r="C20" s="14" t="s">
        <v>398</v>
      </c>
      <c r="D20" s="15">
        <v>185000</v>
      </c>
      <c r="E20" s="16"/>
      <c r="F20" s="16"/>
      <c r="G20" s="16"/>
      <c r="H20" s="16"/>
      <c r="J20" s="12"/>
      <c r="K20" s="19" t="s">
        <v>548</v>
      </c>
      <c r="L20" s="14" t="s">
        <v>398</v>
      </c>
      <c r="M20" s="15">
        <v>185000</v>
      </c>
      <c r="N20" s="16"/>
      <c r="O20" s="16"/>
      <c r="P20" s="16"/>
      <c r="Q20" s="16"/>
    </row>
    <row r="21" spans="1:19">
      <c r="A21" s="12"/>
      <c r="B21" s="19" t="s">
        <v>548</v>
      </c>
      <c r="C21" s="14" t="s">
        <v>73</v>
      </c>
      <c r="D21" s="15">
        <v>503500</v>
      </c>
      <c r="E21" s="16"/>
      <c r="F21" s="16"/>
      <c r="G21" s="16"/>
      <c r="H21" s="16"/>
      <c r="J21" s="12"/>
      <c r="K21" s="19" t="s">
        <v>548</v>
      </c>
      <c r="L21" s="14" t="s">
        <v>73</v>
      </c>
      <c r="M21" s="15">
        <v>503500</v>
      </c>
      <c r="N21" s="16"/>
      <c r="O21" s="16"/>
      <c r="P21" s="16"/>
      <c r="Q21" s="16"/>
      <c r="S21" s="72">
        <f>M21+M20+M22</f>
        <v>1192000</v>
      </c>
    </row>
    <row r="22" spans="1:19">
      <c r="A22" s="12"/>
      <c r="B22" s="19" t="s">
        <v>548</v>
      </c>
      <c r="C22" s="14" t="s">
        <v>19</v>
      </c>
      <c r="D22" s="15">
        <v>503500</v>
      </c>
      <c r="E22" s="16"/>
      <c r="F22" s="16"/>
      <c r="G22" s="16"/>
      <c r="H22" s="16"/>
      <c r="J22" s="12"/>
      <c r="K22" s="19" t="s">
        <v>548</v>
      </c>
      <c r="L22" s="14" t="s">
        <v>19</v>
      </c>
      <c r="M22" s="15">
        <v>503500</v>
      </c>
      <c r="N22" s="16"/>
      <c r="O22" s="16"/>
      <c r="P22" s="16"/>
      <c r="Q22" s="16"/>
    </row>
    <row r="23" spans="1:19">
      <c r="A23" s="12"/>
      <c r="B23" s="19" t="s">
        <v>548</v>
      </c>
      <c r="C23" s="14" t="s">
        <v>549</v>
      </c>
      <c r="D23" s="15">
        <v>300000</v>
      </c>
      <c r="E23" s="16"/>
      <c r="F23" s="16"/>
      <c r="G23" s="16"/>
      <c r="H23" s="16"/>
      <c r="J23" s="12"/>
      <c r="K23" s="19" t="s">
        <v>548</v>
      </c>
      <c r="L23" s="14" t="s">
        <v>549</v>
      </c>
      <c r="M23" s="15">
        <v>300000</v>
      </c>
      <c r="N23" s="16"/>
      <c r="O23" s="16"/>
      <c r="P23" s="16"/>
      <c r="Q23" s="16"/>
    </row>
    <row r="24" spans="1:19">
      <c r="A24" s="12"/>
      <c r="B24" s="19" t="s">
        <v>548</v>
      </c>
      <c r="C24" s="14" t="s">
        <v>508</v>
      </c>
      <c r="D24" s="15">
        <v>150000</v>
      </c>
      <c r="E24" s="16"/>
      <c r="F24" s="16"/>
      <c r="G24" s="16"/>
      <c r="H24" s="16"/>
      <c r="J24" s="12"/>
      <c r="K24" s="19" t="s">
        <v>548</v>
      </c>
      <c r="L24" s="14" t="s">
        <v>508</v>
      </c>
      <c r="M24" s="15">
        <v>150000</v>
      </c>
      <c r="N24" s="16"/>
      <c r="O24" s="16"/>
      <c r="P24" s="16"/>
      <c r="Q24" s="16"/>
    </row>
    <row r="25" spans="1:19">
      <c r="A25" s="12"/>
      <c r="B25" s="19"/>
      <c r="C25" s="14"/>
      <c r="D25" s="15"/>
      <c r="E25" s="16"/>
      <c r="F25" s="16"/>
      <c r="G25" s="16"/>
      <c r="H25" s="16"/>
      <c r="J25" s="12"/>
      <c r="K25" s="19"/>
      <c r="L25" s="14"/>
      <c r="M25" s="15"/>
      <c r="N25" s="16"/>
      <c r="O25" s="16"/>
      <c r="P25" s="16"/>
      <c r="Q25" s="16"/>
    </row>
    <row r="26" spans="1:19" hidden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9" hidden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9">
      <c r="A28" s="18"/>
      <c r="B28" s="19"/>
      <c r="C28" s="210" t="s">
        <v>20</v>
      </c>
      <c r="D28" s="10">
        <f>SUM(D15:D25)</f>
        <v>4169600</v>
      </c>
      <c r="E28" s="10"/>
      <c r="F28" s="10"/>
      <c r="G28" s="10"/>
      <c r="H28" s="10"/>
      <c r="J28" s="18"/>
      <c r="K28" s="19"/>
      <c r="L28" s="215" t="s">
        <v>20</v>
      </c>
      <c r="M28" s="10">
        <f>SUM(M15:M25)</f>
        <v>4169600</v>
      </c>
      <c r="N28" s="10"/>
      <c r="O28" s="10"/>
      <c r="P28" s="10"/>
      <c r="Q28" s="10"/>
    </row>
    <row r="29" spans="1:19">
      <c r="A29" s="20"/>
      <c r="B29" s="211"/>
      <c r="C29" s="152" t="s">
        <v>21</v>
      </c>
      <c r="D29" s="150"/>
      <c r="E29" s="150"/>
      <c r="F29" s="150"/>
      <c r="G29" s="151"/>
      <c r="H29" s="21">
        <f>+D28</f>
        <v>4169600</v>
      </c>
      <c r="J29" s="20"/>
      <c r="K29" s="216"/>
      <c r="L29" s="152" t="s">
        <v>21</v>
      </c>
      <c r="M29" s="150"/>
      <c r="N29" s="150"/>
      <c r="O29" s="150"/>
      <c r="P29" s="151"/>
      <c r="Q29" s="21">
        <f>+M28</f>
        <v>4169600</v>
      </c>
    </row>
    <row r="30" spans="1:19">
      <c r="A30" s="526" t="s">
        <v>22</v>
      </c>
      <c r="B30" s="526"/>
      <c r="C30" s="526"/>
      <c r="D30" s="526"/>
      <c r="E30" s="526">
        <f>+H29</f>
        <v>4169600</v>
      </c>
      <c r="F30" s="526"/>
      <c r="G30" s="526"/>
      <c r="H30" s="526"/>
      <c r="J30" s="526" t="s">
        <v>22</v>
      </c>
      <c r="K30" s="526"/>
      <c r="L30" s="526"/>
      <c r="M30" s="526"/>
      <c r="N30" s="526">
        <f>+Q29</f>
        <v>4169600</v>
      </c>
      <c r="O30" s="526"/>
      <c r="P30" s="526"/>
      <c r="Q30" s="526"/>
    </row>
    <row r="31" spans="1:19">
      <c r="A31" s="524" t="s">
        <v>23</v>
      </c>
      <c r="B31" s="524"/>
      <c r="C31" s="524"/>
      <c r="D31" s="524"/>
      <c r="E31" s="524"/>
      <c r="F31" s="524"/>
      <c r="G31" s="524"/>
      <c r="H31" s="524"/>
      <c r="J31" s="524" t="s">
        <v>23</v>
      </c>
      <c r="K31" s="524"/>
      <c r="L31" s="524"/>
      <c r="M31" s="524"/>
      <c r="N31" s="524"/>
      <c r="O31" s="524"/>
      <c r="P31" s="524"/>
      <c r="Q31" s="524"/>
    </row>
    <row r="32" spans="1:19">
      <c r="A32" s="12"/>
      <c r="B32" s="13" t="s">
        <v>528</v>
      </c>
      <c r="C32" s="15" t="s">
        <v>529</v>
      </c>
      <c r="D32" s="22">
        <v>700000</v>
      </c>
      <c r="E32" s="22"/>
      <c r="F32" s="22"/>
      <c r="G32" s="16"/>
      <c r="H32" s="16"/>
      <c r="J32" s="12"/>
      <c r="K32" s="13" t="s">
        <v>528</v>
      </c>
      <c r="L32" s="15" t="s">
        <v>529</v>
      </c>
      <c r="M32" s="22">
        <v>700000</v>
      </c>
      <c r="N32" s="22"/>
      <c r="O32" s="22"/>
      <c r="P32" s="16"/>
      <c r="Q32" s="16"/>
    </row>
    <row r="33" spans="1:17">
      <c r="A33" s="12"/>
      <c r="B33" s="13" t="s">
        <v>530</v>
      </c>
      <c r="C33" s="15" t="s">
        <v>531</v>
      </c>
      <c r="D33" s="22">
        <v>170000</v>
      </c>
      <c r="E33" s="22"/>
      <c r="F33" s="22"/>
      <c r="G33" s="16"/>
      <c r="H33" s="16"/>
      <c r="J33" s="12"/>
      <c r="K33" s="13" t="s">
        <v>530</v>
      </c>
      <c r="L33" s="15" t="s">
        <v>531</v>
      </c>
      <c r="M33" s="22">
        <v>170000</v>
      </c>
      <c r="N33" s="22"/>
      <c r="O33" s="22"/>
      <c r="P33" s="16"/>
      <c r="Q33" s="16"/>
    </row>
    <row r="34" spans="1:17">
      <c r="A34" s="12"/>
      <c r="B34" s="13" t="s">
        <v>532</v>
      </c>
      <c r="C34" s="15" t="s">
        <v>533</v>
      </c>
      <c r="D34" s="23">
        <v>550000</v>
      </c>
      <c r="E34" s="22"/>
      <c r="F34" s="22"/>
      <c r="G34" s="16"/>
      <c r="H34" s="16"/>
      <c r="J34" s="12"/>
      <c r="K34" s="13" t="s">
        <v>532</v>
      </c>
      <c r="L34" s="15" t="s">
        <v>533</v>
      </c>
      <c r="M34" s="23">
        <v>550000</v>
      </c>
      <c r="N34" s="22"/>
      <c r="O34" s="22"/>
      <c r="P34" s="16"/>
      <c r="Q34" s="16"/>
    </row>
    <row r="35" spans="1:17">
      <c r="A35" s="12"/>
      <c r="B35" s="13" t="s">
        <v>534</v>
      </c>
      <c r="C35" s="15" t="s">
        <v>535</v>
      </c>
      <c r="D35" s="23">
        <v>850000</v>
      </c>
      <c r="E35" s="22"/>
      <c r="F35" s="22"/>
      <c r="G35" s="16"/>
      <c r="H35" s="16"/>
      <c r="J35" s="12"/>
      <c r="K35" s="13" t="s">
        <v>534</v>
      </c>
      <c r="L35" s="15" t="s">
        <v>535</v>
      </c>
      <c r="M35" s="23">
        <v>850000</v>
      </c>
      <c r="N35" s="22"/>
      <c r="O35" s="22"/>
      <c r="P35" s="16"/>
      <c r="Q35" s="16"/>
    </row>
    <row r="36" spans="1:17">
      <c r="A36" s="12"/>
      <c r="B36" s="13" t="s">
        <v>555</v>
      </c>
      <c r="C36" s="15" t="s">
        <v>554</v>
      </c>
      <c r="D36" s="23">
        <v>300000</v>
      </c>
      <c r="E36" s="22"/>
      <c r="F36" s="22"/>
      <c r="G36" s="16"/>
      <c r="H36" s="16"/>
      <c r="J36" s="12"/>
      <c r="K36" s="13" t="s">
        <v>555</v>
      </c>
      <c r="L36" s="15" t="s">
        <v>554</v>
      </c>
      <c r="M36" s="23">
        <v>300000</v>
      </c>
      <c r="N36" s="22"/>
      <c r="O36" s="22"/>
      <c r="P36" s="16"/>
      <c r="Q36" s="16"/>
    </row>
    <row r="37" spans="1:17" hidden="1">
      <c r="A37" s="12"/>
      <c r="B37" s="13"/>
      <c r="C37" s="15"/>
      <c r="D37" s="23"/>
      <c r="E37" s="22"/>
      <c r="F37" s="22"/>
      <c r="G37" s="16"/>
      <c r="H37" s="16"/>
      <c r="J37" s="12"/>
      <c r="K37" s="13"/>
      <c r="L37" s="15"/>
      <c r="M37" s="23"/>
      <c r="N37" s="22"/>
      <c r="O37" s="22"/>
      <c r="P37" s="16"/>
      <c r="Q37" s="16"/>
    </row>
    <row r="38" spans="1:17" hidden="1">
      <c r="A38" s="12"/>
      <c r="B38" s="13"/>
      <c r="C38" s="15"/>
      <c r="D38" s="23"/>
      <c r="E38" s="22"/>
      <c r="F38" s="22"/>
      <c r="G38" s="16"/>
      <c r="H38" s="16"/>
      <c r="J38" s="12"/>
      <c r="K38" s="13"/>
      <c r="L38" s="15"/>
      <c r="M38" s="23"/>
      <c r="N38" s="22"/>
      <c r="O38" s="22"/>
      <c r="P38" s="16"/>
      <c r="Q38" s="16"/>
    </row>
    <row r="39" spans="1:17" hidden="1">
      <c r="A39" s="12"/>
      <c r="B39" s="13"/>
      <c r="C39" s="15"/>
      <c r="D39" s="23"/>
      <c r="E39" s="22"/>
      <c r="F39" s="22"/>
      <c r="G39" s="16"/>
      <c r="H39" s="16"/>
      <c r="J39" s="12"/>
      <c r="K39" s="13"/>
      <c r="L39" s="15"/>
      <c r="M39" s="23"/>
      <c r="N39" s="22"/>
      <c r="O39" s="22"/>
      <c r="P39" s="16"/>
      <c r="Q39" s="16"/>
    </row>
    <row r="40" spans="1:17" hidden="1">
      <c r="A40" s="12"/>
      <c r="B40" s="13"/>
      <c r="C40" s="15"/>
      <c r="D40" s="23"/>
      <c r="E40" s="22"/>
      <c r="F40" s="22"/>
      <c r="G40" s="16"/>
      <c r="H40" s="16"/>
      <c r="J40" s="12"/>
      <c r="K40" s="13"/>
      <c r="L40" s="15"/>
      <c r="M40" s="23"/>
      <c r="N40" s="22"/>
      <c r="O40" s="22"/>
      <c r="P40" s="16"/>
      <c r="Q40" s="16"/>
    </row>
    <row r="41" spans="1:17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7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7" hidden="1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7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 hidden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7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7">
      <c r="A47" s="25"/>
      <c r="B47" s="19"/>
      <c r="C47" s="26" t="s">
        <v>24</v>
      </c>
      <c r="D47" s="27">
        <f>SUM(D32:D46)</f>
        <v>2570000</v>
      </c>
      <c r="E47" s="27"/>
      <c r="F47" s="27"/>
      <c r="G47" s="27"/>
      <c r="H47" s="27"/>
      <c r="J47" s="25"/>
      <c r="K47" s="19"/>
      <c r="L47" s="26" t="s">
        <v>24</v>
      </c>
      <c r="M47" s="27">
        <f>SUM(M32:M46)</f>
        <v>2570000</v>
      </c>
      <c r="N47" s="27"/>
      <c r="O47" s="27"/>
      <c r="P47" s="27"/>
      <c r="Q47" s="27"/>
    </row>
    <row r="48" spans="1:17">
      <c r="A48" s="20"/>
      <c r="B48" s="19"/>
      <c r="C48" s="210" t="s">
        <v>21</v>
      </c>
      <c r="D48" s="10"/>
      <c r="E48" s="530">
        <f>D47</f>
        <v>2570000</v>
      </c>
      <c r="F48" s="530"/>
      <c r="G48" s="530"/>
      <c r="H48" s="530"/>
      <c r="J48" s="20"/>
      <c r="K48" s="19"/>
      <c r="L48" s="215" t="s">
        <v>21</v>
      </c>
      <c r="M48" s="10"/>
      <c r="N48" s="530">
        <f>M47</f>
        <v>2570000</v>
      </c>
      <c r="O48" s="530"/>
      <c r="P48" s="530"/>
      <c r="Q48" s="530"/>
    </row>
    <row r="49" spans="1:17" hidden="1">
      <c r="A49" s="524" t="s">
        <v>349</v>
      </c>
      <c r="B49" s="524"/>
      <c r="C49" s="524"/>
      <c r="D49" s="524"/>
      <c r="E49" s="524"/>
      <c r="F49" s="524"/>
      <c r="G49" s="524"/>
      <c r="H49" s="524"/>
      <c r="J49" s="524" t="s">
        <v>349</v>
      </c>
      <c r="K49" s="524"/>
      <c r="L49" s="524"/>
      <c r="M49" s="524"/>
      <c r="N49" s="524"/>
      <c r="O49" s="524"/>
      <c r="P49" s="524"/>
      <c r="Q49" s="524"/>
    </row>
    <row r="50" spans="1:17" hidden="1">
      <c r="A50" s="28"/>
      <c r="B50" s="23" t="s">
        <v>447</v>
      </c>
      <c r="C50" s="23" t="s">
        <v>445</v>
      </c>
      <c r="D50" s="23"/>
      <c r="E50" s="28"/>
      <c r="F50" s="28"/>
      <c r="G50" s="28"/>
      <c r="H50" s="28"/>
      <c r="J50" s="28"/>
      <c r="K50" s="23" t="s">
        <v>447</v>
      </c>
      <c r="L50" s="23" t="s">
        <v>445</v>
      </c>
      <c r="M50" s="23"/>
      <c r="N50" s="28"/>
      <c r="O50" s="28"/>
      <c r="P50" s="28"/>
      <c r="Q50" s="28"/>
    </row>
    <row r="51" spans="1:17" hidden="1">
      <c r="A51" s="28"/>
      <c r="B51" s="23" t="s">
        <v>447</v>
      </c>
      <c r="C51" s="23" t="s">
        <v>446</v>
      </c>
      <c r="D51" s="23"/>
      <c r="E51" s="28"/>
      <c r="F51" s="28"/>
      <c r="G51" s="28"/>
      <c r="H51" s="28"/>
      <c r="J51" s="28"/>
      <c r="K51" s="23" t="s">
        <v>447</v>
      </c>
      <c r="L51" s="23" t="s">
        <v>446</v>
      </c>
      <c r="M51" s="23"/>
      <c r="N51" s="28"/>
      <c r="O51" s="28"/>
      <c r="P51" s="28"/>
      <c r="Q51" s="28"/>
    </row>
    <row r="52" spans="1:17" hidden="1">
      <c r="A52" s="28"/>
      <c r="B52" s="23"/>
      <c r="C52" s="23"/>
      <c r="D52" s="23"/>
      <c r="E52" s="28"/>
      <c r="F52" s="28"/>
      <c r="G52" s="28"/>
      <c r="H52" s="28"/>
      <c r="J52" s="28"/>
      <c r="K52" s="23"/>
      <c r="L52" s="23"/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idden="1">
      <c r="A54" s="28"/>
      <c r="B54" s="23"/>
      <c r="C54" s="23"/>
      <c r="D54" s="23"/>
      <c r="E54" s="28"/>
      <c r="F54" s="28"/>
      <c r="G54" s="28"/>
      <c r="H54" s="28"/>
      <c r="J54" s="28"/>
      <c r="K54" s="23"/>
      <c r="L54" s="23"/>
      <c r="M54" s="23"/>
      <c r="N54" s="28"/>
      <c r="O54" s="28"/>
      <c r="P54" s="28"/>
      <c r="Q54" s="28"/>
    </row>
    <row r="55" spans="1:17" hidden="1">
      <c r="A55" s="28"/>
      <c r="B55" s="23"/>
      <c r="C55" s="23"/>
      <c r="D55" s="23"/>
      <c r="E55" s="28"/>
      <c r="F55" s="28"/>
      <c r="G55" s="28"/>
      <c r="H55" s="28"/>
      <c r="J55" s="28"/>
      <c r="K55" s="23"/>
      <c r="L55" s="23"/>
      <c r="M55" s="23"/>
      <c r="N55" s="28"/>
      <c r="O55" s="28"/>
      <c r="P55" s="28"/>
      <c r="Q55" s="28"/>
    </row>
    <row r="56" spans="1:17" hidden="1">
      <c r="A56" s="12"/>
      <c r="B56" s="13"/>
      <c r="C56" s="26" t="s">
        <v>448</v>
      </c>
      <c r="D56" s="27">
        <f>SUM(D50:D54)</f>
        <v>0</v>
      </c>
      <c r="E56" s="27">
        <v>0</v>
      </c>
      <c r="F56" s="27">
        <v>0</v>
      </c>
      <c r="G56" s="27"/>
      <c r="H56" s="27"/>
      <c r="J56" s="12"/>
      <c r="K56" s="13"/>
      <c r="L56" s="26" t="s">
        <v>448</v>
      </c>
      <c r="M56" s="27">
        <f>SUM(M50:M54)</f>
        <v>0</v>
      </c>
      <c r="N56" s="27">
        <v>0</v>
      </c>
      <c r="O56" s="27">
        <v>0</v>
      </c>
      <c r="P56" s="27"/>
      <c r="Q56" s="27"/>
    </row>
    <row r="57" spans="1:17" hidden="1">
      <c r="A57" s="20"/>
      <c r="B57" s="19"/>
      <c r="C57" s="210" t="s">
        <v>21</v>
      </c>
      <c r="D57" s="10"/>
      <c r="E57" s="530">
        <f>D56</f>
        <v>0</v>
      </c>
      <c r="F57" s="530"/>
      <c r="G57" s="530"/>
      <c r="H57" s="530"/>
      <c r="J57" s="20"/>
      <c r="K57" s="19"/>
      <c r="L57" s="215" t="s">
        <v>21</v>
      </c>
      <c r="M57" s="10"/>
      <c r="N57" s="530">
        <f>M56</f>
        <v>0</v>
      </c>
      <c r="O57" s="530"/>
      <c r="P57" s="530"/>
      <c r="Q57" s="530"/>
    </row>
    <row r="58" spans="1:17">
      <c r="A58" s="524" t="s">
        <v>255</v>
      </c>
      <c r="B58" s="524"/>
      <c r="C58" s="524"/>
      <c r="D58" s="524"/>
      <c r="E58" s="524"/>
      <c r="F58" s="524"/>
      <c r="G58" s="524"/>
      <c r="H58" s="524"/>
      <c r="J58" s="524" t="s">
        <v>255</v>
      </c>
      <c r="K58" s="524"/>
      <c r="L58" s="524"/>
      <c r="M58" s="524"/>
      <c r="N58" s="524"/>
      <c r="O58" s="524"/>
      <c r="P58" s="524"/>
      <c r="Q58" s="524"/>
    </row>
    <row r="59" spans="1:17">
      <c r="A59" s="28"/>
      <c r="B59" s="23" t="s">
        <v>536</v>
      </c>
      <c r="C59" s="23" t="s">
        <v>553</v>
      </c>
      <c r="D59" s="23">
        <v>32000</v>
      </c>
      <c r="E59" s="28"/>
      <c r="F59" s="28"/>
      <c r="G59" s="28"/>
      <c r="H59" s="28"/>
      <c r="J59" s="28"/>
      <c r="K59" s="23" t="s">
        <v>536</v>
      </c>
      <c r="L59" s="23" t="s">
        <v>553</v>
      </c>
      <c r="M59" s="23">
        <v>32000</v>
      </c>
      <c r="N59" s="28"/>
      <c r="O59" s="28"/>
      <c r="P59" s="28"/>
      <c r="Q59" s="28"/>
    </row>
    <row r="60" spans="1:17">
      <c r="A60" s="28"/>
      <c r="B60" s="23"/>
      <c r="C60" s="23"/>
      <c r="D60" s="23"/>
      <c r="E60" s="28"/>
      <c r="F60" s="28"/>
      <c r="G60" s="28"/>
      <c r="H60" s="28"/>
      <c r="J60" s="28"/>
      <c r="K60" s="23"/>
      <c r="L60" s="23"/>
      <c r="M60" s="23"/>
      <c r="N60" s="28"/>
      <c r="O60" s="28"/>
      <c r="P60" s="28"/>
      <c r="Q60" s="28"/>
    </row>
    <row r="61" spans="1:17">
      <c r="A61" s="28"/>
      <c r="B61" s="23"/>
      <c r="C61" s="23"/>
      <c r="D61" s="23"/>
      <c r="E61" s="28"/>
      <c r="F61" s="28"/>
      <c r="G61" s="28"/>
      <c r="H61" s="28"/>
      <c r="J61" s="28"/>
      <c r="K61" s="23"/>
      <c r="L61" s="23"/>
      <c r="M61" s="23"/>
      <c r="N61" s="28"/>
      <c r="O61" s="28"/>
      <c r="P61" s="28"/>
      <c r="Q61" s="28"/>
    </row>
    <row r="62" spans="1:17">
      <c r="A62" s="12"/>
      <c r="B62" s="13"/>
      <c r="C62" s="26" t="s">
        <v>270</v>
      </c>
      <c r="D62" s="27">
        <f>SUM(D59:D60)</f>
        <v>32000</v>
      </c>
      <c r="E62" s="27">
        <v>0</v>
      </c>
      <c r="F62" s="27">
        <v>0</v>
      </c>
      <c r="G62" s="27"/>
      <c r="H62" s="27"/>
      <c r="J62" s="12"/>
      <c r="K62" s="13"/>
      <c r="L62" s="26" t="s">
        <v>270</v>
      </c>
      <c r="M62" s="27">
        <f>SUM(M59:M60)</f>
        <v>32000</v>
      </c>
      <c r="N62" s="27">
        <v>0</v>
      </c>
      <c r="O62" s="27">
        <v>0</v>
      </c>
      <c r="P62" s="27"/>
      <c r="Q62" s="27"/>
    </row>
    <row r="63" spans="1:17">
      <c r="A63" s="20"/>
      <c r="B63" s="19"/>
      <c r="C63" s="210" t="s">
        <v>21</v>
      </c>
      <c r="D63" s="10"/>
      <c r="E63" s="530">
        <f>D62</f>
        <v>32000</v>
      </c>
      <c r="F63" s="530"/>
      <c r="G63" s="530"/>
      <c r="H63" s="530"/>
      <c r="J63" s="20"/>
      <c r="K63" s="19"/>
      <c r="L63" s="215" t="s">
        <v>21</v>
      </c>
      <c r="M63" s="10"/>
      <c r="N63" s="530">
        <f>M62</f>
        <v>32000</v>
      </c>
      <c r="O63" s="530"/>
      <c r="P63" s="530"/>
      <c r="Q63" s="530"/>
    </row>
    <row r="64" spans="1:17">
      <c r="A64" s="524" t="s">
        <v>54</v>
      </c>
      <c r="B64" s="524"/>
      <c r="C64" s="524"/>
      <c r="D64" s="524"/>
      <c r="E64" s="524"/>
      <c r="F64" s="524"/>
      <c r="G64" s="524"/>
      <c r="H64" s="524"/>
      <c r="J64" s="524" t="s">
        <v>54</v>
      </c>
      <c r="K64" s="524"/>
      <c r="L64" s="524"/>
      <c r="M64" s="524"/>
      <c r="N64" s="524"/>
      <c r="O64" s="524"/>
      <c r="P64" s="524"/>
      <c r="Q64" s="524"/>
    </row>
    <row r="65" spans="1:17">
      <c r="A65" s="28"/>
      <c r="B65" s="19" t="s">
        <v>537</v>
      </c>
      <c r="C65" s="23" t="s">
        <v>538</v>
      </c>
      <c r="D65" s="23">
        <v>16182000</v>
      </c>
      <c r="E65" s="28"/>
      <c r="F65" s="28"/>
      <c r="G65" s="28"/>
      <c r="H65" s="28"/>
      <c r="J65" s="28"/>
      <c r="K65" s="19" t="s">
        <v>537</v>
      </c>
      <c r="L65" s="23" t="s">
        <v>538</v>
      </c>
      <c r="M65" s="23">
        <v>16182000</v>
      </c>
      <c r="N65" s="28"/>
      <c r="O65" s="28"/>
      <c r="P65" s="28"/>
      <c r="Q65" s="28"/>
    </row>
    <row r="66" spans="1:17">
      <c r="A66" s="28"/>
      <c r="B66" s="19" t="s">
        <v>539</v>
      </c>
      <c r="C66" s="23" t="s">
        <v>540</v>
      </c>
      <c r="D66" s="23">
        <f>2000000+6750000+10000000+1500000</f>
        <v>20250000</v>
      </c>
      <c r="E66" s="28"/>
      <c r="F66" s="28"/>
      <c r="G66" s="28"/>
      <c r="H66" s="28"/>
      <c r="J66" s="28"/>
      <c r="K66" s="19" t="s">
        <v>539</v>
      </c>
      <c r="L66" s="23" t="s">
        <v>540</v>
      </c>
      <c r="M66" s="23">
        <f>2000000+6750000+10000000+1500000</f>
        <v>20250000</v>
      </c>
      <c r="N66" s="28"/>
      <c r="O66" s="28"/>
      <c r="P66" s="28"/>
      <c r="Q66" s="28"/>
    </row>
    <row r="67" spans="1:17">
      <c r="A67" s="28"/>
      <c r="B67" s="19" t="s">
        <v>539</v>
      </c>
      <c r="C67" s="23" t="s">
        <v>541</v>
      </c>
      <c r="D67" s="23">
        <v>4740000</v>
      </c>
      <c r="E67" s="28"/>
      <c r="F67" s="28"/>
      <c r="G67" s="28"/>
      <c r="H67" s="28"/>
      <c r="J67" s="28"/>
      <c r="K67" s="19" t="s">
        <v>539</v>
      </c>
      <c r="L67" s="23" t="s">
        <v>541</v>
      </c>
      <c r="M67" s="23">
        <v>4740000</v>
      </c>
      <c r="N67" s="28"/>
      <c r="O67" s="28"/>
      <c r="P67" s="28"/>
      <c r="Q67" s="28"/>
    </row>
    <row r="68" spans="1:17">
      <c r="A68" s="12"/>
      <c r="B68" s="19" t="s">
        <v>539</v>
      </c>
      <c r="C68" s="23" t="s">
        <v>542</v>
      </c>
      <c r="D68" s="23">
        <v>20000000</v>
      </c>
      <c r="E68" s="210"/>
      <c r="F68" s="210"/>
      <c r="G68" s="210"/>
      <c r="H68" s="210"/>
      <c r="J68" s="12"/>
      <c r="K68" s="19" t="s">
        <v>539</v>
      </c>
      <c r="L68" s="23" t="s">
        <v>542</v>
      </c>
      <c r="M68" s="23">
        <v>20000000</v>
      </c>
      <c r="N68" s="215"/>
      <c r="O68" s="215"/>
      <c r="P68" s="215"/>
      <c r="Q68" s="215"/>
    </row>
    <row r="69" spans="1:17">
      <c r="A69" s="12"/>
      <c r="B69" s="19" t="s">
        <v>539</v>
      </c>
      <c r="C69" s="24" t="s">
        <v>263</v>
      </c>
      <c r="D69" s="23">
        <v>1320000</v>
      </c>
      <c r="E69" s="210"/>
      <c r="F69" s="210"/>
      <c r="G69" s="210"/>
      <c r="H69" s="210"/>
      <c r="J69" s="12"/>
      <c r="K69" s="19" t="s">
        <v>539</v>
      </c>
      <c r="L69" s="24" t="s">
        <v>263</v>
      </c>
      <c r="M69" s="23">
        <v>1320000</v>
      </c>
      <c r="N69" s="215"/>
      <c r="O69" s="215"/>
      <c r="P69" s="215"/>
      <c r="Q69" s="215"/>
    </row>
    <row r="70" spans="1:17">
      <c r="A70" s="12"/>
      <c r="B70" s="19" t="s">
        <v>539</v>
      </c>
      <c r="C70" s="24" t="s">
        <v>410</v>
      </c>
      <c r="D70" s="23">
        <v>900000</v>
      </c>
      <c r="E70" s="210"/>
      <c r="F70" s="210"/>
      <c r="G70" s="210"/>
      <c r="H70" s="210"/>
      <c r="J70" s="12"/>
      <c r="K70" s="19" t="s">
        <v>539</v>
      </c>
      <c r="L70" s="24" t="s">
        <v>410</v>
      </c>
      <c r="M70" s="23">
        <v>900000</v>
      </c>
      <c r="N70" s="215"/>
      <c r="O70" s="215"/>
      <c r="P70" s="215"/>
      <c r="Q70" s="215"/>
    </row>
    <row r="71" spans="1:17">
      <c r="A71" s="12"/>
      <c r="B71" s="19" t="s">
        <v>539</v>
      </c>
      <c r="C71" s="24" t="s">
        <v>499</v>
      </c>
      <c r="D71" s="23">
        <v>720000</v>
      </c>
      <c r="E71" s="210"/>
      <c r="F71" s="210"/>
      <c r="G71" s="210"/>
      <c r="H71" s="210"/>
      <c r="J71" s="12"/>
      <c r="K71" s="19" t="s">
        <v>539</v>
      </c>
      <c r="L71" s="24" t="s">
        <v>499</v>
      </c>
      <c r="M71" s="23">
        <v>720000</v>
      </c>
      <c r="N71" s="215"/>
      <c r="O71" s="215"/>
      <c r="P71" s="215"/>
      <c r="Q71" s="215"/>
    </row>
    <row r="72" spans="1:17">
      <c r="A72" s="12"/>
      <c r="B72" s="19" t="s">
        <v>539</v>
      </c>
      <c r="C72" s="24" t="s">
        <v>543</v>
      </c>
      <c r="D72" s="23">
        <v>600000</v>
      </c>
      <c r="E72" s="210"/>
      <c r="F72" s="210"/>
      <c r="G72" s="210"/>
      <c r="H72" s="210"/>
      <c r="J72" s="12"/>
      <c r="K72" s="19" t="s">
        <v>539</v>
      </c>
      <c r="L72" s="24" t="s">
        <v>543</v>
      </c>
      <c r="M72" s="23">
        <v>600000</v>
      </c>
      <c r="N72" s="215"/>
      <c r="O72" s="215"/>
      <c r="P72" s="215"/>
      <c r="Q72" s="215"/>
    </row>
    <row r="73" spans="1:17">
      <c r="A73" s="12"/>
      <c r="B73" s="19" t="s">
        <v>539</v>
      </c>
      <c r="C73" s="24" t="s">
        <v>544</v>
      </c>
      <c r="D73" s="23">
        <v>126000</v>
      </c>
      <c r="E73" s="210"/>
      <c r="F73" s="210"/>
      <c r="G73" s="210"/>
      <c r="H73" s="210"/>
      <c r="J73" s="12"/>
      <c r="K73" s="19" t="s">
        <v>539</v>
      </c>
      <c r="L73" s="24" t="s">
        <v>544</v>
      </c>
      <c r="M73" s="23">
        <v>126000</v>
      </c>
      <c r="N73" s="215"/>
      <c r="O73" s="215"/>
      <c r="P73" s="215"/>
      <c r="Q73" s="215"/>
    </row>
    <row r="74" spans="1:17">
      <c r="A74" s="12"/>
      <c r="B74" s="19" t="s">
        <v>539</v>
      </c>
      <c r="C74" s="24" t="s">
        <v>545</v>
      </c>
      <c r="D74" s="23">
        <v>900000</v>
      </c>
      <c r="E74" s="210"/>
      <c r="F74" s="210"/>
      <c r="G74" s="210"/>
      <c r="H74" s="210"/>
      <c r="J74" s="12"/>
      <c r="K74" s="19" t="s">
        <v>539</v>
      </c>
      <c r="L74" s="24" t="s">
        <v>545</v>
      </c>
      <c r="M74" s="23">
        <v>900000</v>
      </c>
      <c r="N74" s="215"/>
      <c r="O74" s="215"/>
      <c r="P74" s="215"/>
      <c r="Q74" s="215"/>
    </row>
    <row r="75" spans="1:17">
      <c r="A75" s="12"/>
      <c r="B75" s="19" t="s">
        <v>546</v>
      </c>
      <c r="C75" s="24" t="s">
        <v>547</v>
      </c>
      <c r="D75" s="23">
        <v>22845000</v>
      </c>
      <c r="E75" s="210"/>
      <c r="F75" s="210"/>
      <c r="G75" s="210"/>
      <c r="H75" s="210"/>
      <c r="J75" s="12"/>
      <c r="K75" s="19" t="s">
        <v>546</v>
      </c>
      <c r="L75" s="24" t="s">
        <v>547</v>
      </c>
      <c r="M75" s="23">
        <v>22845000</v>
      </c>
      <c r="N75" s="215"/>
      <c r="O75" s="215"/>
      <c r="P75" s="215"/>
      <c r="Q75" s="215"/>
    </row>
    <row r="76" spans="1:17">
      <c r="A76" s="12"/>
      <c r="B76" s="19"/>
      <c r="C76" s="24"/>
      <c r="D76" s="23"/>
      <c r="E76" s="210"/>
      <c r="F76" s="210"/>
      <c r="G76" s="210"/>
      <c r="H76" s="210"/>
      <c r="J76" s="12"/>
      <c r="K76" s="19"/>
      <c r="L76" s="24"/>
      <c r="M76" s="23"/>
      <c r="N76" s="215"/>
      <c r="O76" s="215"/>
      <c r="P76" s="215"/>
      <c r="Q76" s="215"/>
    </row>
    <row r="77" spans="1:17" hidden="1">
      <c r="A77" s="12"/>
      <c r="B77" s="19"/>
      <c r="C77" s="24"/>
      <c r="D77" s="23"/>
      <c r="E77" s="210"/>
      <c r="F77" s="210"/>
      <c r="G77" s="210"/>
      <c r="H77" s="210"/>
      <c r="J77" s="12"/>
      <c r="K77" s="19"/>
      <c r="L77" s="24"/>
      <c r="M77" s="23"/>
      <c r="N77" s="215"/>
      <c r="O77" s="215"/>
      <c r="P77" s="215"/>
      <c r="Q77" s="215"/>
    </row>
    <row r="78" spans="1:17" hidden="1">
      <c r="A78" s="12"/>
      <c r="B78" s="19"/>
      <c r="C78" s="24"/>
      <c r="D78" s="23"/>
      <c r="E78" s="210"/>
      <c r="F78" s="210"/>
      <c r="G78" s="210"/>
      <c r="H78" s="210"/>
      <c r="J78" s="12"/>
      <c r="K78" s="19"/>
      <c r="L78" s="24"/>
      <c r="M78" s="23"/>
      <c r="N78" s="215"/>
      <c r="O78" s="215"/>
      <c r="P78" s="215"/>
      <c r="Q78" s="215"/>
    </row>
    <row r="79" spans="1:17">
      <c r="A79" s="12"/>
      <c r="B79" s="13"/>
      <c r="C79" s="26" t="s">
        <v>55</v>
      </c>
      <c r="D79" s="27">
        <f>SUM(D65:D77)</f>
        <v>88583000</v>
      </c>
      <c r="E79" s="27">
        <v>0</v>
      </c>
      <c r="F79" s="27">
        <v>0</v>
      </c>
      <c r="G79" s="27"/>
      <c r="H79" s="27"/>
      <c r="J79" s="12"/>
      <c r="K79" s="13"/>
      <c r="L79" s="26" t="s">
        <v>55</v>
      </c>
      <c r="M79" s="27">
        <f>SUM(M65:M77)</f>
        <v>88583000</v>
      </c>
      <c r="N79" s="27">
        <v>0</v>
      </c>
      <c r="O79" s="27">
        <v>0</v>
      </c>
      <c r="P79" s="27"/>
      <c r="Q79" s="27"/>
    </row>
    <row r="80" spans="1:17">
      <c r="A80" s="20"/>
      <c r="B80" s="19"/>
      <c r="C80" s="210" t="s">
        <v>21</v>
      </c>
      <c r="D80" s="10"/>
      <c r="E80" s="530">
        <f>D79</f>
        <v>88583000</v>
      </c>
      <c r="F80" s="530"/>
      <c r="G80" s="530"/>
      <c r="H80" s="530"/>
      <c r="J80" s="20"/>
      <c r="K80" s="19"/>
      <c r="L80" s="215" t="s">
        <v>21</v>
      </c>
      <c r="M80" s="10"/>
      <c r="N80" s="530">
        <f>M79</f>
        <v>88583000</v>
      </c>
      <c r="O80" s="530"/>
      <c r="P80" s="530"/>
      <c r="Q80" s="530"/>
    </row>
    <row r="81" spans="1:17" hidden="1">
      <c r="A81" s="524" t="s">
        <v>453</v>
      </c>
      <c r="B81" s="524"/>
      <c r="C81" s="524"/>
      <c r="D81" s="524"/>
      <c r="E81" s="524"/>
      <c r="F81" s="524"/>
      <c r="G81" s="524"/>
      <c r="H81" s="524"/>
      <c r="J81" s="524" t="s">
        <v>453</v>
      </c>
      <c r="K81" s="524"/>
      <c r="L81" s="524"/>
      <c r="M81" s="524"/>
      <c r="N81" s="524"/>
      <c r="O81" s="524"/>
      <c r="P81" s="524"/>
      <c r="Q81" s="524"/>
    </row>
    <row r="82" spans="1:17" hidden="1">
      <c r="A82" s="28"/>
      <c r="B82" s="23"/>
      <c r="C82" s="23"/>
      <c r="D82" s="23"/>
      <c r="E82" s="28"/>
      <c r="F82" s="28"/>
      <c r="G82" s="28"/>
      <c r="H82" s="28"/>
      <c r="J82" s="28"/>
      <c r="K82" s="23"/>
      <c r="L82" s="23"/>
      <c r="M82" s="23"/>
      <c r="N82" s="28"/>
      <c r="O82" s="28"/>
      <c r="P82" s="28"/>
      <c r="Q82" s="28"/>
    </row>
    <row r="83" spans="1:17" hidden="1">
      <c r="A83" s="28"/>
      <c r="B83" s="23"/>
      <c r="C83" s="23"/>
      <c r="D83" s="23"/>
      <c r="E83" s="28"/>
      <c r="F83" s="28"/>
      <c r="G83" s="28"/>
      <c r="H83" s="28"/>
      <c r="J83" s="28"/>
      <c r="K83" s="23"/>
      <c r="L83" s="23"/>
      <c r="M83" s="23"/>
      <c r="N83" s="28"/>
      <c r="O83" s="28"/>
      <c r="P83" s="28"/>
      <c r="Q83" s="28"/>
    </row>
    <row r="84" spans="1:17" hidden="1">
      <c r="A84" s="12"/>
      <c r="B84" s="19"/>
      <c r="C84" s="24"/>
      <c r="D84" s="23"/>
      <c r="E84" s="210"/>
      <c r="F84" s="210"/>
      <c r="G84" s="210"/>
      <c r="H84" s="210"/>
      <c r="J84" s="12"/>
      <c r="K84" s="19"/>
      <c r="L84" s="24"/>
      <c r="M84" s="23"/>
      <c r="N84" s="215"/>
      <c r="O84" s="215"/>
      <c r="P84" s="215"/>
      <c r="Q84" s="215"/>
    </row>
    <row r="85" spans="1:17" hidden="1">
      <c r="A85" s="12"/>
      <c r="B85" s="13"/>
      <c r="C85" s="26" t="s">
        <v>196</v>
      </c>
      <c r="D85" s="27">
        <f>SUM(D82:D84)</f>
        <v>0</v>
      </c>
      <c r="E85" s="27">
        <v>0</v>
      </c>
      <c r="F85" s="27">
        <v>0</v>
      </c>
      <c r="G85" s="27"/>
      <c r="H85" s="27"/>
      <c r="J85" s="12"/>
      <c r="K85" s="13"/>
      <c r="L85" s="26" t="s">
        <v>196</v>
      </c>
      <c r="M85" s="27">
        <f>SUM(M82:M84)</f>
        <v>0</v>
      </c>
      <c r="N85" s="27">
        <v>0</v>
      </c>
      <c r="O85" s="27">
        <v>0</v>
      </c>
      <c r="P85" s="27"/>
      <c r="Q85" s="27"/>
    </row>
    <row r="86" spans="1:17" hidden="1">
      <c r="A86" s="20"/>
      <c r="B86" s="19"/>
      <c r="C86" s="210" t="s">
        <v>21</v>
      </c>
      <c r="D86" s="10"/>
      <c r="E86" s="530">
        <f>D85</f>
        <v>0</v>
      </c>
      <c r="F86" s="530"/>
      <c r="G86" s="530"/>
      <c r="H86" s="530"/>
      <c r="J86" s="20"/>
      <c r="K86" s="19"/>
      <c r="L86" s="215" t="s">
        <v>21</v>
      </c>
      <c r="M86" s="10"/>
      <c r="N86" s="530">
        <f>M85</f>
        <v>0</v>
      </c>
      <c r="O86" s="530"/>
      <c r="P86" s="530"/>
      <c r="Q86" s="530"/>
    </row>
    <row r="87" spans="1:17">
      <c r="A87" s="527" t="s">
        <v>26</v>
      </c>
      <c r="B87" s="528"/>
      <c r="C87" s="528"/>
      <c r="D87" s="528"/>
      <c r="E87" s="528"/>
      <c r="F87" s="528"/>
      <c r="G87" s="528"/>
      <c r="H87" s="529"/>
      <c r="J87" s="527" t="s">
        <v>26</v>
      </c>
      <c r="K87" s="528"/>
      <c r="L87" s="528"/>
      <c r="M87" s="528"/>
      <c r="N87" s="528"/>
      <c r="O87" s="528"/>
      <c r="P87" s="528"/>
      <c r="Q87" s="529"/>
    </row>
    <row r="88" spans="1:17">
      <c r="A88" s="12"/>
      <c r="B88" s="19"/>
      <c r="C88" s="24"/>
      <c r="D88" s="23"/>
      <c r="E88" s="22"/>
      <c r="F88" s="22"/>
      <c r="G88" s="16"/>
      <c r="H88" s="16"/>
      <c r="J88" s="12"/>
      <c r="K88" s="19"/>
      <c r="L88" s="24"/>
      <c r="M88" s="23"/>
      <c r="N88" s="22"/>
      <c r="O88" s="22"/>
      <c r="P88" s="16"/>
      <c r="Q88" s="16"/>
    </row>
    <row r="89" spans="1:17">
      <c r="A89" s="12"/>
      <c r="B89" s="19"/>
      <c r="C89" s="24"/>
      <c r="D89" s="23"/>
      <c r="E89" s="22"/>
      <c r="F89" s="22"/>
      <c r="G89" s="16"/>
      <c r="H89" s="16"/>
      <c r="J89" s="12"/>
      <c r="K89" s="19"/>
      <c r="L89" s="24"/>
      <c r="M89" s="23"/>
      <c r="N89" s="22"/>
      <c r="O89" s="22"/>
      <c r="P89" s="16"/>
      <c r="Q89" s="16"/>
    </row>
    <row r="90" spans="1:17">
      <c r="A90" s="12"/>
      <c r="B90" s="19"/>
      <c r="C90" s="23"/>
      <c r="D90" s="23"/>
      <c r="E90" s="22"/>
      <c r="F90" s="22"/>
      <c r="G90" s="16"/>
      <c r="H90" s="16"/>
      <c r="J90" s="12"/>
      <c r="K90" s="19"/>
      <c r="L90" s="23"/>
      <c r="M90" s="23"/>
      <c r="N90" s="22"/>
      <c r="O90" s="22"/>
      <c r="P90" s="16"/>
      <c r="Q90" s="16"/>
    </row>
    <row r="91" spans="1:17" hidden="1">
      <c r="A91" s="12"/>
      <c r="B91" s="19"/>
      <c r="C91" s="24"/>
      <c r="D91" s="23"/>
      <c r="E91" s="22"/>
      <c r="F91" s="22"/>
      <c r="G91" s="16"/>
      <c r="H91" s="16"/>
      <c r="J91" s="12"/>
      <c r="K91" s="19"/>
      <c r="L91" s="24"/>
      <c r="M91" s="23"/>
      <c r="N91" s="22"/>
      <c r="O91" s="22"/>
      <c r="P91" s="16"/>
      <c r="Q91" s="16"/>
    </row>
    <row r="92" spans="1:17" hidden="1">
      <c r="A92" s="12"/>
      <c r="B92" s="19"/>
      <c r="C92" s="24"/>
      <c r="D92" s="23"/>
      <c r="E92" s="22"/>
      <c r="F92" s="22"/>
      <c r="G92" s="16"/>
      <c r="H92" s="16"/>
      <c r="J92" s="12"/>
      <c r="K92" s="19"/>
      <c r="L92" s="24"/>
      <c r="M92" s="23"/>
      <c r="N92" s="22"/>
      <c r="O92" s="22"/>
      <c r="P92" s="16"/>
      <c r="Q92" s="16"/>
    </row>
    <row r="93" spans="1:17" hidden="1">
      <c r="A93" s="12"/>
      <c r="B93" s="19"/>
      <c r="C93" s="24"/>
      <c r="D93" s="23"/>
      <c r="E93" s="22"/>
      <c r="F93" s="22"/>
      <c r="G93" s="16"/>
      <c r="H93" s="16"/>
      <c r="J93" s="12"/>
      <c r="K93" s="19"/>
      <c r="L93" s="24"/>
      <c r="M93" s="23"/>
      <c r="N93" s="22"/>
      <c r="O93" s="22"/>
      <c r="P93" s="16"/>
      <c r="Q93" s="16"/>
    </row>
    <row r="94" spans="1:17" hidden="1">
      <c r="A94" s="12"/>
      <c r="B94" s="19"/>
      <c r="C94" s="23"/>
      <c r="D94" s="23"/>
      <c r="E94" s="22"/>
      <c r="F94" s="22"/>
      <c r="G94" s="16"/>
      <c r="H94" s="16"/>
      <c r="J94" s="12"/>
      <c r="K94" s="19"/>
      <c r="L94" s="23"/>
      <c r="M94" s="23"/>
      <c r="N94" s="22"/>
      <c r="O94" s="22"/>
      <c r="P94" s="16"/>
      <c r="Q94" s="16"/>
    </row>
    <row r="95" spans="1:17" hidden="1">
      <c r="A95" s="12"/>
      <c r="B95" s="19"/>
      <c r="C95" s="23"/>
      <c r="D95" s="23"/>
      <c r="E95" s="22"/>
      <c r="F95" s="22"/>
      <c r="G95" s="16"/>
      <c r="H95" s="16"/>
      <c r="J95" s="12"/>
      <c r="K95" s="19"/>
      <c r="L95" s="23"/>
      <c r="M95" s="23"/>
      <c r="N95" s="22"/>
      <c r="O95" s="22"/>
      <c r="P95" s="16"/>
      <c r="Q95" s="16"/>
    </row>
    <row r="96" spans="1:17" hidden="1">
      <c r="A96" s="12"/>
      <c r="B96" s="19"/>
      <c r="C96" s="23"/>
      <c r="D96" s="23"/>
      <c r="E96" s="22"/>
      <c r="F96" s="22"/>
      <c r="G96" s="16"/>
      <c r="H96" s="16"/>
      <c r="J96" s="12"/>
      <c r="K96" s="19"/>
      <c r="L96" s="23"/>
      <c r="M96" s="23"/>
      <c r="N96" s="22"/>
      <c r="O96" s="22"/>
      <c r="P96" s="16"/>
      <c r="Q96" s="16"/>
    </row>
    <row r="97" spans="1:18" hidden="1">
      <c r="A97" s="12"/>
      <c r="B97" s="19"/>
      <c r="C97" s="24"/>
      <c r="D97" s="23"/>
      <c r="E97" s="22"/>
      <c r="F97" s="22"/>
      <c r="G97" s="16"/>
      <c r="H97" s="16"/>
      <c r="J97" s="12"/>
      <c r="K97" s="19"/>
      <c r="L97" s="24"/>
      <c r="M97" s="23"/>
      <c r="N97" s="22"/>
      <c r="O97" s="22"/>
      <c r="P97" s="16"/>
      <c r="Q97" s="16"/>
    </row>
    <row r="98" spans="1:18">
      <c r="A98" s="12"/>
      <c r="B98" s="19"/>
      <c r="C98" s="24"/>
      <c r="D98" s="23"/>
      <c r="E98" s="22"/>
      <c r="F98" s="22"/>
      <c r="G98" s="16"/>
      <c r="H98" s="16"/>
      <c r="J98" s="12"/>
      <c r="K98" s="19"/>
      <c r="L98" s="24"/>
      <c r="M98" s="23"/>
      <c r="N98" s="22"/>
      <c r="O98" s="22"/>
      <c r="P98" s="16"/>
      <c r="Q98" s="16"/>
    </row>
    <row r="99" spans="1:18">
      <c r="A99" s="25"/>
      <c r="B99" s="19"/>
      <c r="C99" s="26" t="s">
        <v>31</v>
      </c>
      <c r="D99" s="27">
        <f>SUM(D88:D98)</f>
        <v>0</v>
      </c>
      <c r="E99" s="27"/>
      <c r="F99" s="27"/>
      <c r="G99" s="27"/>
      <c r="H99" s="27"/>
      <c r="J99" s="25"/>
      <c r="K99" s="19"/>
      <c r="L99" s="26" t="s">
        <v>31</v>
      </c>
      <c r="M99" s="27">
        <f>SUM(M88:M98)</f>
        <v>0</v>
      </c>
      <c r="N99" s="27"/>
      <c r="O99" s="27"/>
      <c r="P99" s="27"/>
      <c r="Q99" s="27"/>
    </row>
    <row r="100" spans="1:18">
      <c r="A100" s="20"/>
      <c r="B100" s="19"/>
      <c r="C100" s="210" t="s">
        <v>21</v>
      </c>
      <c r="D100" s="10"/>
      <c r="E100" s="530">
        <f>D99</f>
        <v>0</v>
      </c>
      <c r="F100" s="530"/>
      <c r="G100" s="530"/>
      <c r="H100" s="530"/>
      <c r="J100" s="20"/>
      <c r="K100" s="19"/>
      <c r="L100" s="215" t="s">
        <v>21</v>
      </c>
      <c r="M100" s="10"/>
      <c r="N100" s="530">
        <f>M99</f>
        <v>0</v>
      </c>
      <c r="O100" s="530"/>
      <c r="P100" s="530"/>
      <c r="Q100" s="530"/>
    </row>
    <row r="101" spans="1:18">
      <c r="A101" s="527" t="s">
        <v>32</v>
      </c>
      <c r="B101" s="528"/>
      <c r="C101" s="528"/>
      <c r="D101" s="528"/>
      <c r="E101" s="528"/>
      <c r="F101" s="528"/>
      <c r="G101" s="528"/>
      <c r="H101" s="529"/>
      <c r="J101" s="527" t="s">
        <v>32</v>
      </c>
      <c r="K101" s="528"/>
      <c r="L101" s="528"/>
      <c r="M101" s="528"/>
      <c r="N101" s="528"/>
      <c r="O101" s="528"/>
      <c r="P101" s="528"/>
      <c r="Q101" s="529"/>
    </row>
    <row r="102" spans="1:18">
      <c r="A102" s="12"/>
      <c r="B102" s="13"/>
      <c r="C102" s="22"/>
      <c r="D102" s="22"/>
      <c r="E102" s="210"/>
      <c r="F102" s="210"/>
      <c r="G102" s="210"/>
      <c r="H102" s="210"/>
      <c r="J102" s="12"/>
      <c r="K102" s="13" t="s">
        <v>556</v>
      </c>
      <c r="L102" s="22" t="s">
        <v>557</v>
      </c>
      <c r="M102" s="22">
        <v>3000000</v>
      </c>
      <c r="N102" s="215"/>
      <c r="O102" s="215"/>
      <c r="P102" s="215"/>
      <c r="Q102" s="215"/>
    </row>
    <row r="103" spans="1:18">
      <c r="A103" s="12"/>
      <c r="B103" s="13"/>
      <c r="C103" s="22"/>
      <c r="D103" s="22"/>
      <c r="E103" s="210"/>
      <c r="F103" s="210"/>
      <c r="G103" s="210"/>
      <c r="H103" s="210"/>
      <c r="J103" s="12"/>
      <c r="K103" s="13" t="s">
        <v>558</v>
      </c>
      <c r="L103" s="22" t="s">
        <v>559</v>
      </c>
      <c r="M103" s="22">
        <v>15000000</v>
      </c>
      <c r="N103" s="215"/>
      <c r="O103" s="215"/>
      <c r="P103" s="215"/>
      <c r="Q103" s="215"/>
      <c r="R103" s="72">
        <f>M103+M104+M105+M106</f>
        <v>16670000</v>
      </c>
    </row>
    <row r="104" spans="1:18">
      <c r="A104" s="12"/>
      <c r="B104" s="13"/>
      <c r="C104" s="22"/>
      <c r="D104" s="22"/>
      <c r="E104" s="210"/>
      <c r="F104" s="210"/>
      <c r="G104" s="210"/>
      <c r="H104" s="210"/>
      <c r="J104" s="12"/>
      <c r="K104" s="13" t="s">
        <v>558</v>
      </c>
      <c r="L104" s="22" t="s">
        <v>560</v>
      </c>
      <c r="M104" s="22">
        <v>900000</v>
      </c>
      <c r="N104" s="215"/>
      <c r="O104" s="215"/>
      <c r="P104" s="215"/>
      <c r="Q104" s="215"/>
    </row>
    <row r="105" spans="1:18">
      <c r="A105" s="12"/>
      <c r="B105" s="13"/>
      <c r="C105" s="22"/>
      <c r="D105" s="29"/>
      <c r="E105" s="210"/>
      <c r="F105" s="210"/>
      <c r="G105" s="210"/>
      <c r="H105" s="210"/>
      <c r="J105" s="12"/>
      <c r="K105" s="13" t="s">
        <v>558</v>
      </c>
      <c r="L105" s="22" t="s">
        <v>561</v>
      </c>
      <c r="M105" s="29">
        <v>370000</v>
      </c>
      <c r="N105" s="215"/>
      <c r="O105" s="215"/>
      <c r="P105" s="215"/>
      <c r="Q105" s="215"/>
    </row>
    <row r="106" spans="1:18">
      <c r="A106" s="12"/>
      <c r="B106" s="13"/>
      <c r="C106" s="22"/>
      <c r="D106" s="29"/>
      <c r="E106" s="217"/>
      <c r="F106" s="217"/>
      <c r="G106" s="217"/>
      <c r="H106" s="217"/>
      <c r="J106" s="12"/>
      <c r="K106" s="13" t="s">
        <v>558</v>
      </c>
      <c r="L106" s="22" t="s">
        <v>562</v>
      </c>
      <c r="M106" s="29">
        <v>400000</v>
      </c>
      <c r="N106" s="217"/>
      <c r="O106" s="217"/>
      <c r="P106" s="217"/>
      <c r="Q106" s="217"/>
    </row>
    <row r="107" spans="1:18">
      <c r="A107" s="12"/>
      <c r="B107" s="13"/>
      <c r="C107" s="22"/>
      <c r="D107" s="29"/>
      <c r="E107" s="218"/>
      <c r="F107" s="218"/>
      <c r="G107" s="218"/>
      <c r="H107" s="218"/>
      <c r="J107" s="12"/>
      <c r="K107" s="13"/>
      <c r="L107" s="22"/>
      <c r="M107" s="29"/>
      <c r="N107" s="218"/>
      <c r="O107" s="218"/>
      <c r="P107" s="218"/>
      <c r="Q107" s="218"/>
    </row>
    <row r="108" spans="1:18">
      <c r="A108" s="12"/>
      <c r="B108" s="13"/>
      <c r="C108" s="22"/>
      <c r="D108" s="29"/>
      <c r="E108" s="218"/>
      <c r="F108" s="218"/>
      <c r="G108" s="218"/>
      <c r="H108" s="218"/>
      <c r="J108" s="12"/>
      <c r="K108" s="13"/>
      <c r="L108" s="22"/>
      <c r="M108" s="29"/>
      <c r="N108" s="218"/>
      <c r="O108" s="218"/>
      <c r="P108" s="218"/>
      <c r="Q108" s="218"/>
    </row>
    <row r="109" spans="1:18">
      <c r="A109" s="12"/>
      <c r="B109" s="13"/>
      <c r="C109" s="22"/>
      <c r="D109" s="29"/>
      <c r="E109" s="218"/>
      <c r="F109" s="218"/>
      <c r="G109" s="218"/>
      <c r="H109" s="218"/>
      <c r="J109" s="12"/>
      <c r="K109" s="13"/>
      <c r="L109" s="22"/>
      <c r="M109" s="29"/>
      <c r="N109" s="218"/>
      <c r="O109" s="218"/>
      <c r="P109" s="218"/>
      <c r="Q109" s="218"/>
    </row>
    <row r="110" spans="1:18">
      <c r="A110" s="12"/>
      <c r="B110" s="13"/>
      <c r="C110" s="22"/>
      <c r="D110" s="29"/>
      <c r="E110" s="217"/>
      <c r="F110" s="217"/>
      <c r="G110" s="217"/>
      <c r="H110" s="217"/>
      <c r="J110" s="12"/>
      <c r="K110" s="13"/>
      <c r="L110" s="22"/>
      <c r="M110" s="29"/>
      <c r="N110" s="217"/>
      <c r="O110" s="217"/>
      <c r="P110" s="217"/>
      <c r="Q110" s="217"/>
    </row>
    <row r="111" spans="1:18">
      <c r="A111" s="12"/>
      <c r="B111" s="13"/>
      <c r="C111" s="26" t="s">
        <v>34</v>
      </c>
      <c r="D111" s="27">
        <f>SUM(D102:D105)</f>
        <v>0</v>
      </c>
      <c r="E111" s="27">
        <v>0</v>
      </c>
      <c r="F111" s="27">
        <v>0</v>
      </c>
      <c r="G111" s="27"/>
      <c r="H111" s="27"/>
      <c r="J111" s="12"/>
      <c r="K111" s="13"/>
      <c r="L111" s="26" t="s">
        <v>34</v>
      </c>
      <c r="M111" s="27">
        <f>SUM(M102:M108)</f>
        <v>19670000</v>
      </c>
      <c r="N111" s="27">
        <v>0</v>
      </c>
      <c r="O111" s="27">
        <v>0</v>
      </c>
      <c r="P111" s="27"/>
      <c r="Q111" s="27"/>
    </row>
    <row r="112" spans="1:18">
      <c r="A112" s="20"/>
      <c r="B112" s="19"/>
      <c r="C112" s="210" t="s">
        <v>21</v>
      </c>
      <c r="D112" s="10"/>
      <c r="E112" s="531">
        <f>D111</f>
        <v>0</v>
      </c>
      <c r="F112" s="532"/>
      <c r="G112" s="532"/>
      <c r="H112" s="533"/>
      <c r="J112" s="20"/>
      <c r="K112" s="19"/>
      <c r="L112" s="215" t="s">
        <v>21</v>
      </c>
      <c r="M112" s="10"/>
      <c r="N112" s="531">
        <f>M111</f>
        <v>19670000</v>
      </c>
      <c r="O112" s="532"/>
      <c r="P112" s="532"/>
      <c r="Q112" s="533"/>
    </row>
    <row r="113" spans="1:17">
      <c r="A113" s="525" t="s">
        <v>35</v>
      </c>
      <c r="B113" s="525"/>
      <c r="C113" s="525"/>
      <c r="D113" s="208"/>
      <c r="E113" s="526">
        <f>E48+E57+E100+E112+E80+E86+E63</f>
        <v>91185000</v>
      </c>
      <c r="F113" s="526"/>
      <c r="G113" s="526"/>
      <c r="H113" s="526"/>
      <c r="J113" s="525" t="s">
        <v>35</v>
      </c>
      <c r="K113" s="525"/>
      <c r="L113" s="525"/>
      <c r="M113" s="213"/>
      <c r="N113" s="526">
        <f>N48+N57+N100+N112+N80+N86+N63</f>
        <v>110855000</v>
      </c>
      <c r="O113" s="526"/>
      <c r="P113" s="526"/>
      <c r="Q113" s="526"/>
    </row>
    <row r="114" spans="1:17">
      <c r="A114" s="522" t="s">
        <v>36</v>
      </c>
      <c r="B114" s="522"/>
      <c r="C114" s="522"/>
      <c r="D114" s="207"/>
      <c r="E114" s="523">
        <f>+E30+E113</f>
        <v>95354600</v>
      </c>
      <c r="F114" s="523"/>
      <c r="G114" s="523"/>
      <c r="H114" s="523"/>
      <c r="J114" s="522" t="s">
        <v>36</v>
      </c>
      <c r="K114" s="522"/>
      <c r="L114" s="522"/>
      <c r="M114" s="212"/>
      <c r="N114" s="523">
        <f>+N30+N113</f>
        <v>115024600</v>
      </c>
      <c r="O114" s="523"/>
      <c r="P114" s="523"/>
      <c r="Q114" s="523"/>
    </row>
    <row r="115" spans="1:17">
      <c r="A115" s="524" t="s">
        <v>32</v>
      </c>
      <c r="B115" s="524"/>
      <c r="C115" s="524"/>
      <c r="D115" s="524"/>
      <c r="E115" s="524"/>
      <c r="F115" s="524"/>
      <c r="G115" s="524"/>
      <c r="H115" s="524"/>
      <c r="J115" s="524" t="s">
        <v>32</v>
      </c>
      <c r="K115" s="524"/>
      <c r="L115" s="524"/>
      <c r="M115" s="524"/>
      <c r="N115" s="524"/>
      <c r="O115" s="524"/>
      <c r="P115" s="524"/>
      <c r="Q115" s="524"/>
    </row>
    <row r="116" spans="1:17">
      <c r="A116" s="33"/>
      <c r="B116" s="13"/>
      <c r="C116" s="22"/>
      <c r="D116" s="22"/>
      <c r="E116" s="22"/>
      <c r="F116" s="22"/>
      <c r="G116" s="16"/>
      <c r="H116" s="16"/>
      <c r="J116" s="33"/>
      <c r="K116" s="13"/>
      <c r="L116" s="22"/>
      <c r="M116" s="22"/>
      <c r="N116" s="22"/>
      <c r="O116" s="22"/>
      <c r="P116" s="16"/>
      <c r="Q116" s="16"/>
    </row>
    <row r="117" spans="1:17">
      <c r="A117" s="33"/>
      <c r="B117" s="13"/>
      <c r="C117" s="22"/>
      <c r="D117" s="22"/>
      <c r="E117" s="22"/>
      <c r="F117" s="22"/>
      <c r="G117" s="16"/>
      <c r="H117" s="16"/>
      <c r="J117" s="33"/>
      <c r="K117" s="13"/>
      <c r="L117" s="22"/>
      <c r="M117" s="22"/>
      <c r="N117" s="22"/>
      <c r="O117" s="22"/>
      <c r="P117" s="16"/>
      <c r="Q117" s="16"/>
    </row>
    <row r="118" spans="1:17">
      <c r="A118" s="33"/>
      <c r="B118" s="13"/>
      <c r="C118" s="22"/>
      <c r="D118" s="22"/>
      <c r="E118" s="22"/>
      <c r="F118" s="22"/>
      <c r="G118" s="16"/>
      <c r="H118" s="16"/>
      <c r="J118" s="33"/>
      <c r="K118" s="13"/>
      <c r="L118" s="22"/>
      <c r="M118" s="22"/>
      <c r="N118" s="22"/>
      <c r="O118" s="22"/>
      <c r="P118" s="16"/>
      <c r="Q118" s="16"/>
    </row>
    <row r="119" spans="1:17">
      <c r="A119" s="20"/>
      <c r="B119" s="13"/>
      <c r="C119" s="22"/>
      <c r="D119" s="22"/>
      <c r="E119" s="22"/>
      <c r="F119" s="16"/>
      <c r="G119" s="16"/>
      <c r="H119" s="16"/>
      <c r="J119" s="20"/>
      <c r="K119" s="13"/>
      <c r="L119" s="22"/>
      <c r="M119" s="22"/>
      <c r="N119" s="22"/>
      <c r="O119" s="16"/>
      <c r="P119" s="16"/>
      <c r="Q119" s="16"/>
    </row>
    <row r="120" spans="1:17">
      <c r="A120" s="20"/>
      <c r="B120" s="13"/>
      <c r="C120" s="22"/>
      <c r="D120" s="22"/>
      <c r="E120" s="22"/>
      <c r="F120" s="16"/>
      <c r="G120" s="16"/>
      <c r="H120" s="16"/>
      <c r="J120" s="20"/>
      <c r="K120" s="13"/>
      <c r="L120" s="22"/>
      <c r="M120" s="22"/>
      <c r="N120" s="22"/>
      <c r="O120" s="16"/>
      <c r="P120" s="16"/>
      <c r="Q120" s="16"/>
    </row>
    <row r="121" spans="1:17">
      <c r="A121" s="525" t="s">
        <v>37</v>
      </c>
      <c r="B121" s="525"/>
      <c r="C121" s="525"/>
      <c r="D121" s="208">
        <f>SUM(D116:D120)</f>
        <v>0</v>
      </c>
      <c r="E121" s="526"/>
      <c r="F121" s="526"/>
      <c r="G121" s="526"/>
      <c r="H121" s="526"/>
      <c r="J121" s="525" t="s">
        <v>37</v>
      </c>
      <c r="K121" s="525"/>
      <c r="L121" s="525"/>
      <c r="M121" s="213">
        <f>SUM(M116:M120)</f>
        <v>0</v>
      </c>
      <c r="N121" s="526"/>
      <c r="O121" s="526"/>
      <c r="P121" s="526"/>
      <c r="Q121" s="526"/>
    </row>
    <row r="122" spans="1:17">
      <c r="A122" s="34" t="s">
        <v>38</v>
      </c>
      <c r="B122" s="35"/>
      <c r="C122" s="208"/>
      <c r="D122" s="208"/>
      <c r="E122" s="209"/>
      <c r="F122" s="209"/>
      <c r="G122" s="526"/>
      <c r="H122" s="526"/>
      <c r="J122" s="34" t="s">
        <v>38</v>
      </c>
      <c r="K122" s="35"/>
      <c r="L122" s="213"/>
      <c r="M122" s="213"/>
      <c r="N122" s="214"/>
      <c r="O122" s="214"/>
      <c r="P122" s="526"/>
      <c r="Q122" s="526"/>
    </row>
    <row r="123" spans="1:17">
      <c r="A123" s="37"/>
      <c r="B123" s="38"/>
      <c r="C123" s="39"/>
      <c r="D123" s="39"/>
      <c r="E123" s="39"/>
      <c r="F123" s="39"/>
      <c r="G123" s="39"/>
      <c r="H123" s="39"/>
      <c r="J123" s="37"/>
      <c r="K123" s="38"/>
      <c r="L123" s="39"/>
      <c r="M123" s="39"/>
      <c r="N123" s="39"/>
      <c r="O123" s="39"/>
      <c r="P123" s="39"/>
      <c r="Q123" s="39"/>
    </row>
    <row r="124" spans="1:17">
      <c r="A124" s="519" t="s">
        <v>13</v>
      </c>
      <c r="B124" s="520"/>
      <c r="C124" s="520"/>
      <c r="D124" s="520"/>
      <c r="E124" s="521"/>
      <c r="F124" s="39"/>
      <c r="G124" s="39"/>
      <c r="H124" s="40"/>
      <c r="J124" s="519" t="s">
        <v>13</v>
      </c>
      <c r="K124" s="520"/>
      <c r="L124" s="520"/>
      <c r="M124" s="520"/>
      <c r="N124" s="521"/>
      <c r="O124" s="39"/>
      <c r="P124" s="39"/>
      <c r="Q124" s="40"/>
    </row>
    <row r="125" spans="1:17">
      <c r="A125" s="41" t="s">
        <v>39</v>
      </c>
      <c r="B125" s="42" t="s">
        <v>40</v>
      </c>
      <c r="C125" s="43" t="s">
        <v>41</v>
      </c>
      <c r="D125" s="43" t="s">
        <v>42</v>
      </c>
      <c r="E125" s="43" t="s">
        <v>43</v>
      </c>
      <c r="F125" s="39"/>
      <c r="G125" s="39"/>
      <c r="H125" s="39"/>
      <c r="J125" s="41" t="s">
        <v>39</v>
      </c>
      <c r="K125" s="42" t="s">
        <v>40</v>
      </c>
      <c r="L125" s="43" t="s">
        <v>41</v>
      </c>
      <c r="M125" s="43" t="s">
        <v>42</v>
      </c>
      <c r="N125" s="43" t="s">
        <v>43</v>
      </c>
      <c r="O125" s="40"/>
      <c r="P125" s="39"/>
      <c r="Q125" s="39"/>
    </row>
    <row r="126" spans="1:17">
      <c r="A126" s="41"/>
      <c r="B126" s="44"/>
      <c r="C126" s="45"/>
      <c r="D126" s="46"/>
      <c r="E126" s="46"/>
      <c r="F126" s="39"/>
      <c r="G126" s="39"/>
      <c r="H126" s="39"/>
      <c r="J126" s="41"/>
      <c r="K126" s="44"/>
      <c r="L126" s="45"/>
      <c r="M126" s="46"/>
      <c r="N126" s="46"/>
      <c r="O126" s="39"/>
      <c r="P126" s="40">
        <f>M104+M105+625000+350000</f>
        <v>2245000</v>
      </c>
      <c r="Q126" s="39"/>
    </row>
    <row r="127" spans="1:17">
      <c r="A127" s="41"/>
      <c r="B127" s="44"/>
      <c r="C127" s="45"/>
      <c r="D127" s="46"/>
      <c r="E127" s="46"/>
      <c r="F127" s="39"/>
      <c r="G127" s="39"/>
      <c r="H127" s="39"/>
      <c r="J127" s="41"/>
      <c r="K127" s="44"/>
      <c r="L127" s="45"/>
      <c r="M127" s="46"/>
      <c r="N127" s="46"/>
      <c r="O127" s="39"/>
      <c r="P127" s="39"/>
      <c r="Q127" s="39"/>
    </row>
    <row r="128" spans="1:17">
      <c r="A128" s="41"/>
      <c r="B128" s="44"/>
      <c r="C128" s="45"/>
      <c r="D128" s="46"/>
      <c r="E128" s="46"/>
      <c r="F128" s="39"/>
      <c r="G128" s="39"/>
      <c r="H128" s="39"/>
      <c r="J128" s="41"/>
      <c r="K128" s="44"/>
      <c r="L128" s="45"/>
      <c r="M128" s="46"/>
      <c r="N128" s="46"/>
      <c r="O128" s="39"/>
      <c r="P128" s="40">
        <f>P126-2300000</f>
        <v>-55000</v>
      </c>
      <c r="Q128" s="39"/>
    </row>
    <row r="129" spans="1:17">
      <c r="A129" s="41"/>
      <c r="B129" s="44"/>
      <c r="C129" s="47"/>
      <c r="D129" s="46"/>
      <c r="E129" s="46"/>
      <c r="F129" s="39"/>
      <c r="G129" s="39"/>
      <c r="H129" s="39"/>
      <c r="J129" s="41"/>
      <c r="K129" s="44"/>
      <c r="L129" s="47"/>
      <c r="M129" s="46"/>
      <c r="N129" s="46"/>
      <c r="O129" s="39"/>
      <c r="P129" s="39"/>
      <c r="Q129" s="39"/>
    </row>
    <row r="130" spans="1:17">
      <c r="A130" s="41"/>
      <c r="B130" s="44"/>
      <c r="C130" s="46"/>
      <c r="D130" s="48"/>
      <c r="E130" s="46"/>
      <c r="F130" s="39"/>
      <c r="G130" s="39"/>
      <c r="H130" s="39"/>
      <c r="J130" s="41"/>
      <c r="K130" s="44"/>
      <c r="L130" s="46"/>
      <c r="M130" s="48"/>
      <c r="N130" s="46"/>
      <c r="O130" s="39"/>
      <c r="P130" s="39"/>
      <c r="Q130" s="39"/>
    </row>
    <row r="131" spans="1:17">
      <c r="A131" s="49"/>
      <c r="B131" s="50"/>
      <c r="C131" s="51" t="s">
        <v>44</v>
      </c>
      <c r="D131" s="51">
        <f>SUM(D126:D130)</f>
        <v>0</v>
      </c>
      <c r="E131" s="52"/>
      <c r="F131" s="39"/>
      <c r="G131" s="39"/>
      <c r="H131" s="39"/>
      <c r="J131" s="49"/>
      <c r="K131" s="50"/>
      <c r="L131" s="51" t="s">
        <v>44</v>
      </c>
      <c r="M131" s="51">
        <f>SUM(M126:M130)</f>
        <v>0</v>
      </c>
      <c r="N131" s="52"/>
      <c r="O131" s="39"/>
      <c r="P131" s="39"/>
      <c r="Q131" s="39"/>
    </row>
    <row r="132" spans="1:17">
      <c r="A132" s="53"/>
      <c r="B132" s="54"/>
      <c r="C132" s="55"/>
      <c r="D132" s="116"/>
      <c r="E132" s="3"/>
      <c r="F132" s="39"/>
      <c r="G132" s="39"/>
      <c r="H132" s="39"/>
      <c r="J132" s="53"/>
      <c r="K132" s="54"/>
      <c r="L132" s="55"/>
      <c r="M132" s="116"/>
      <c r="N132" s="3"/>
      <c r="O132" s="39"/>
      <c r="P132" s="39"/>
      <c r="Q132" s="39"/>
    </row>
  </sheetData>
  <mergeCells count="66">
    <mergeCell ref="A3:H3"/>
    <mergeCell ref="A11:G11"/>
    <mergeCell ref="A12:H12"/>
    <mergeCell ref="A13:A14"/>
    <mergeCell ref="B13:B14"/>
    <mergeCell ref="C13:C14"/>
    <mergeCell ref="D13:D14"/>
    <mergeCell ref="E13:H13"/>
    <mergeCell ref="E86:H86"/>
    <mergeCell ref="A30:D30"/>
    <mergeCell ref="E30:H30"/>
    <mergeCell ref="A31:H31"/>
    <mergeCell ref="E48:H48"/>
    <mergeCell ref="A49:H49"/>
    <mergeCell ref="E57:H57"/>
    <mergeCell ref="A58:H58"/>
    <mergeCell ref="E63:H63"/>
    <mergeCell ref="A64:H64"/>
    <mergeCell ref="E80:H80"/>
    <mergeCell ref="A81:H81"/>
    <mergeCell ref="A87:H87"/>
    <mergeCell ref="E100:H100"/>
    <mergeCell ref="A101:H101"/>
    <mergeCell ref="E112:H112"/>
    <mergeCell ref="A113:C113"/>
    <mergeCell ref="E113:H113"/>
    <mergeCell ref="A124:E124"/>
    <mergeCell ref="A114:C114"/>
    <mergeCell ref="E114:H114"/>
    <mergeCell ref="A115:H115"/>
    <mergeCell ref="A121:C121"/>
    <mergeCell ref="E121:H121"/>
    <mergeCell ref="G122:H122"/>
    <mergeCell ref="J3:Q3"/>
    <mergeCell ref="J11:P11"/>
    <mergeCell ref="J12:Q12"/>
    <mergeCell ref="J13:J14"/>
    <mergeCell ref="K13:K14"/>
    <mergeCell ref="L13:L14"/>
    <mergeCell ref="M13:M14"/>
    <mergeCell ref="N13:Q13"/>
    <mergeCell ref="J30:M30"/>
    <mergeCell ref="N30:Q30"/>
    <mergeCell ref="J31:Q31"/>
    <mergeCell ref="N48:Q48"/>
    <mergeCell ref="J49:Q49"/>
    <mergeCell ref="N57:Q57"/>
    <mergeCell ref="J58:Q58"/>
    <mergeCell ref="N63:Q63"/>
    <mergeCell ref="J64:Q64"/>
    <mergeCell ref="N80:Q80"/>
    <mergeCell ref="J81:Q81"/>
    <mergeCell ref="N86:Q86"/>
    <mergeCell ref="J87:Q87"/>
    <mergeCell ref="N100:Q100"/>
    <mergeCell ref="J101:Q101"/>
    <mergeCell ref="N112:Q112"/>
    <mergeCell ref="J113:L113"/>
    <mergeCell ref="N113:Q113"/>
    <mergeCell ref="J114:L114"/>
    <mergeCell ref="N114:Q114"/>
    <mergeCell ref="J115:Q115"/>
    <mergeCell ref="J121:L121"/>
    <mergeCell ref="N121:Q121"/>
    <mergeCell ref="P122:Q122"/>
    <mergeCell ref="J124:N124"/>
  </mergeCells>
  <pageMargins left="0.11811023622047245" right="0.11811023622047245" top="0.11811023622047245" bottom="0.34" header="0.11811023622047245" footer="0.34"/>
  <pageSetup paperSize="9" scale="7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31"/>
  <sheetViews>
    <sheetView workbookViewId="0"/>
  </sheetViews>
  <sheetFormatPr defaultRowHeight="15"/>
  <cols>
    <col min="1" max="1" width="53" bestFit="1" customWidth="1"/>
    <col min="2" max="2" width="11.5703125" bestFit="1" customWidth="1"/>
    <col min="3" max="3" width="30" bestFit="1" customWidth="1"/>
    <col min="4" max="4" width="9" bestFit="1" customWidth="1"/>
    <col min="5" max="5" width="78" bestFit="1" customWidth="1"/>
    <col min="6" max="6" width="10.5703125" bestFit="1" customWidth="1"/>
    <col min="7" max="7" width="60.85546875" bestFit="1" customWidth="1"/>
    <col min="8" max="8" width="12.5703125" bestFit="1" customWidth="1"/>
    <col min="12" max="12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84" customFormat="1">
      <c r="A2" s="23" t="s">
        <v>541</v>
      </c>
      <c r="B2" s="23">
        <v>4740000</v>
      </c>
      <c r="C2" s="24" t="s">
        <v>410</v>
      </c>
      <c r="D2" s="23">
        <v>900000</v>
      </c>
      <c r="E2" s="15" t="s">
        <v>529</v>
      </c>
      <c r="F2" s="22">
        <v>700000</v>
      </c>
      <c r="G2" s="14" t="s">
        <v>494</v>
      </c>
      <c r="H2" s="15">
        <v>32000</v>
      </c>
      <c r="I2" s="77"/>
      <c r="J2" s="30"/>
    </row>
    <row r="3" spans="1:10" s="184" customFormat="1">
      <c r="A3" s="24" t="s">
        <v>263</v>
      </c>
      <c r="B3" s="23">
        <v>1320000</v>
      </c>
      <c r="C3" s="24"/>
      <c r="D3" s="23"/>
      <c r="E3" s="15" t="s">
        <v>531</v>
      </c>
      <c r="F3" s="23">
        <v>170000</v>
      </c>
      <c r="G3" s="14" t="s">
        <v>552</v>
      </c>
      <c r="H3" s="15">
        <v>650000</v>
      </c>
      <c r="I3" s="183"/>
      <c r="J3" s="30"/>
    </row>
    <row r="4" spans="1:10" s="184" customFormat="1">
      <c r="A4" s="24" t="s">
        <v>499</v>
      </c>
      <c r="B4" s="23">
        <v>720000</v>
      </c>
      <c r="C4" s="183"/>
      <c r="D4" s="30"/>
      <c r="E4" s="15" t="s">
        <v>535</v>
      </c>
      <c r="F4" s="23">
        <v>850000</v>
      </c>
      <c r="G4" s="15" t="s">
        <v>180</v>
      </c>
      <c r="H4" s="23">
        <v>1193100</v>
      </c>
      <c r="I4" s="183"/>
      <c r="J4" s="30"/>
    </row>
    <row r="5" spans="1:10" s="184" customFormat="1">
      <c r="A5" s="24" t="s">
        <v>543</v>
      </c>
      <c r="B5" s="23">
        <v>600000</v>
      </c>
      <c r="C5" s="30"/>
      <c r="D5" s="185"/>
      <c r="E5" s="23" t="s">
        <v>553</v>
      </c>
      <c r="F5" s="23">
        <v>32000</v>
      </c>
      <c r="G5" s="183" t="s">
        <v>356</v>
      </c>
      <c r="H5" s="23">
        <v>450000</v>
      </c>
      <c r="I5" s="183"/>
      <c r="J5" s="183"/>
    </row>
    <row r="6" spans="1:10" s="187" customFormat="1">
      <c r="A6" s="24" t="s">
        <v>544</v>
      </c>
      <c r="B6" s="23">
        <v>126000</v>
      </c>
      <c r="C6" s="186"/>
      <c r="D6" s="185"/>
      <c r="E6" s="183"/>
      <c r="F6" s="30"/>
      <c r="G6" s="15" t="s">
        <v>357</v>
      </c>
      <c r="H6" s="23">
        <v>202500</v>
      </c>
      <c r="I6" s="183"/>
      <c r="J6" s="183"/>
    </row>
    <row r="7" spans="1:10" s="187" customFormat="1">
      <c r="A7" s="24" t="s">
        <v>545</v>
      </c>
      <c r="B7" s="23">
        <v>900000</v>
      </c>
      <c r="C7" s="30"/>
      <c r="D7" s="188"/>
      <c r="E7" s="183"/>
      <c r="F7" s="30"/>
      <c r="G7" s="15" t="s">
        <v>398</v>
      </c>
      <c r="H7" s="23">
        <v>185000</v>
      </c>
      <c r="I7" s="183"/>
      <c r="J7" s="183"/>
    </row>
    <row r="8" spans="1:10" s="187" customFormat="1">
      <c r="A8" s="22" t="s">
        <v>560</v>
      </c>
      <c r="B8" s="22">
        <v>900000</v>
      </c>
      <c r="C8" s="30"/>
      <c r="D8" s="188"/>
      <c r="E8" s="30"/>
      <c r="F8" s="188"/>
      <c r="G8" s="23" t="s">
        <v>73</v>
      </c>
      <c r="H8" s="23">
        <v>503500</v>
      </c>
      <c r="I8" s="30"/>
      <c r="J8" s="188"/>
    </row>
    <row r="9" spans="1:10" s="187" customFormat="1">
      <c r="A9" s="22" t="s">
        <v>561</v>
      </c>
      <c r="B9" s="29">
        <v>370000</v>
      </c>
      <c r="C9" s="30"/>
      <c r="D9" s="188"/>
      <c r="E9" s="185"/>
      <c r="F9" s="189"/>
      <c r="G9" s="23" t="s">
        <v>19</v>
      </c>
      <c r="H9" s="23">
        <v>503500</v>
      </c>
      <c r="I9" s="30"/>
      <c r="J9" s="188"/>
    </row>
    <row r="10" spans="1:10" s="187" customFormat="1">
      <c r="A10" s="22" t="s">
        <v>562</v>
      </c>
      <c r="B10" s="29">
        <v>400000</v>
      </c>
      <c r="C10" s="190"/>
      <c r="D10" s="190"/>
      <c r="E10" s="185"/>
      <c r="F10" s="189"/>
      <c r="G10" s="23" t="s">
        <v>549</v>
      </c>
      <c r="H10" s="23">
        <v>300000</v>
      </c>
      <c r="I10" s="30"/>
      <c r="J10" s="188"/>
    </row>
    <row r="11" spans="1:10" s="187" customFormat="1">
      <c r="A11" s="23"/>
      <c r="B11" s="23"/>
      <c r="C11" s="190"/>
      <c r="D11" s="190"/>
      <c r="E11" s="185"/>
      <c r="F11" s="189"/>
      <c r="G11" s="23" t="s">
        <v>508</v>
      </c>
      <c r="H11" s="23">
        <v>150000</v>
      </c>
      <c r="I11" s="30"/>
      <c r="J11" s="188"/>
    </row>
    <row r="12" spans="1:10" s="187" customFormat="1">
      <c r="A12" s="186"/>
      <c r="B12" s="185"/>
      <c r="C12" s="190"/>
      <c r="D12" s="190"/>
      <c r="E12" s="185"/>
      <c r="F12" s="189"/>
      <c r="G12" s="24" t="s">
        <v>554</v>
      </c>
      <c r="H12" s="23">
        <v>300000</v>
      </c>
      <c r="I12" s="30"/>
      <c r="J12" s="188"/>
    </row>
    <row r="13" spans="1:10" s="187" customFormat="1">
      <c r="A13" s="186"/>
      <c r="B13" s="185"/>
      <c r="C13" s="190"/>
      <c r="D13" s="190"/>
      <c r="E13" s="185"/>
      <c r="F13" s="189"/>
      <c r="G13" s="23" t="s">
        <v>538</v>
      </c>
      <c r="H13" s="23">
        <v>16182000</v>
      </c>
      <c r="I13" s="191"/>
      <c r="J13" s="192"/>
    </row>
    <row r="14" spans="1:10" s="187" customFormat="1">
      <c r="A14" s="193"/>
      <c r="B14" s="194"/>
      <c r="C14" s="194"/>
      <c r="D14" s="194"/>
      <c r="E14" s="194"/>
      <c r="F14" s="194"/>
      <c r="G14" s="23" t="s">
        <v>540</v>
      </c>
      <c r="H14" s="23">
        <f>2000000+6750000+10000000+1500000</f>
        <v>20250000</v>
      </c>
      <c r="I14" s="193"/>
      <c r="J14" s="194"/>
    </row>
    <row r="15" spans="1:10" s="187" customFormat="1">
      <c r="A15" s="193"/>
      <c r="B15" s="194"/>
      <c r="C15" s="194"/>
      <c r="D15" s="194"/>
      <c r="E15" s="194"/>
      <c r="F15" s="194"/>
      <c r="G15" s="23" t="s">
        <v>542</v>
      </c>
      <c r="H15" s="23">
        <v>20000000</v>
      </c>
      <c r="I15" s="193"/>
      <c r="J15" s="194"/>
    </row>
    <row r="16" spans="1:10" s="187" customFormat="1">
      <c r="A16" s="193"/>
      <c r="B16" s="194"/>
      <c r="C16" s="194"/>
      <c r="D16" s="194"/>
      <c r="E16" s="194"/>
      <c r="F16" s="194"/>
      <c r="G16" s="22" t="s">
        <v>557</v>
      </c>
      <c r="H16" s="22">
        <v>3000000</v>
      </c>
      <c r="I16" s="193"/>
      <c r="J16" s="194"/>
    </row>
    <row r="17" spans="1:12" s="187" customFormat="1">
      <c r="A17" s="193"/>
      <c r="B17" s="194"/>
      <c r="C17" s="194"/>
      <c r="D17" s="194"/>
      <c r="E17" s="194"/>
      <c r="F17" s="194"/>
      <c r="G17" s="15" t="s">
        <v>533</v>
      </c>
      <c r="H17" s="23">
        <v>550000</v>
      </c>
      <c r="I17" s="193"/>
      <c r="J17" s="194"/>
    </row>
    <row r="18" spans="1:12" s="187" customFormat="1">
      <c r="A18" s="193"/>
      <c r="B18" s="194"/>
      <c r="C18" s="194"/>
      <c r="D18" s="194"/>
      <c r="E18" s="194"/>
      <c r="F18" s="194"/>
      <c r="G18" s="22" t="s">
        <v>559</v>
      </c>
      <c r="H18" s="22">
        <v>15000000</v>
      </c>
      <c r="I18" s="193"/>
      <c r="J18" s="194"/>
    </row>
    <row r="19" spans="1:12" s="187" customFormat="1">
      <c r="A19" s="193"/>
      <c r="B19" s="194"/>
      <c r="C19" s="194"/>
      <c r="D19" s="194"/>
      <c r="E19" s="194"/>
      <c r="F19" s="194"/>
      <c r="G19" s="24" t="s">
        <v>547</v>
      </c>
      <c r="H19" s="23">
        <v>22845000</v>
      </c>
      <c r="I19" s="193"/>
      <c r="J19" s="194"/>
    </row>
    <row r="20" spans="1:12" s="187" customFormat="1">
      <c r="A20" s="193"/>
      <c r="B20" s="194"/>
      <c r="C20" s="194"/>
      <c r="D20" s="194"/>
      <c r="E20" s="194"/>
      <c r="F20" s="194"/>
      <c r="G20" s="186"/>
      <c r="H20" s="185"/>
      <c r="I20" s="193"/>
      <c r="J20" s="194"/>
    </row>
    <row r="21" spans="1:12" s="187" customFormat="1">
      <c r="A21" s="193"/>
      <c r="B21" s="194"/>
      <c r="C21" s="194"/>
      <c r="D21" s="194"/>
      <c r="E21" s="194"/>
      <c r="F21" s="194"/>
      <c r="G21" s="186"/>
      <c r="H21" s="185"/>
      <c r="I21" s="193"/>
      <c r="J21" s="194"/>
    </row>
    <row r="22" spans="1:12" s="187" customFormat="1">
      <c r="A22" s="193"/>
      <c r="B22" s="194"/>
      <c r="C22" s="194"/>
      <c r="D22" s="194"/>
      <c r="E22" s="194"/>
      <c r="F22" s="194"/>
      <c r="G22" s="196"/>
      <c r="H22" s="196"/>
      <c r="I22" s="193"/>
      <c r="J22" s="194"/>
    </row>
    <row r="23" spans="1:12" s="187" customFormat="1">
      <c r="A23" s="193"/>
      <c r="B23" s="194"/>
      <c r="C23" s="194"/>
      <c r="D23" s="194"/>
      <c r="E23" s="194"/>
      <c r="F23" s="194"/>
      <c r="G23" s="196"/>
      <c r="H23" s="196"/>
      <c r="I23" s="193"/>
      <c r="J23" s="194"/>
    </row>
    <row r="24" spans="1:12" s="187" customFormat="1">
      <c r="A24" s="193"/>
      <c r="B24" s="194"/>
      <c r="C24" s="194"/>
      <c r="D24" s="194"/>
      <c r="E24" s="194"/>
      <c r="F24" s="194"/>
      <c r="G24" s="196"/>
      <c r="H24" s="196"/>
      <c r="I24" s="193"/>
      <c r="J24" s="194"/>
    </row>
    <row r="25" spans="1:12" s="187" customFormat="1">
      <c r="A25" s="193"/>
      <c r="B25" s="194"/>
      <c r="C25" s="194"/>
      <c r="D25" s="194"/>
      <c r="E25" s="194"/>
      <c r="F25" s="194"/>
      <c r="G25" s="196"/>
      <c r="H25" s="196"/>
      <c r="I25" s="193"/>
      <c r="J25" s="194"/>
    </row>
    <row r="26" spans="1:12" s="187" customFormat="1">
      <c r="A26" s="193"/>
      <c r="B26" s="194"/>
      <c r="C26" s="194"/>
      <c r="D26" s="194"/>
      <c r="E26" s="194"/>
      <c r="F26" s="194"/>
      <c r="G26" s="196"/>
      <c r="H26" s="196"/>
      <c r="I26" s="193"/>
      <c r="J26" s="194"/>
    </row>
    <row r="27" spans="1:12">
      <c r="A27" s="68"/>
      <c r="B27" s="69"/>
      <c r="C27" s="69"/>
      <c r="D27" s="69"/>
      <c r="E27" s="69"/>
      <c r="F27" s="69"/>
      <c r="G27" s="119"/>
      <c r="H27" s="120"/>
      <c r="I27" s="68"/>
      <c r="J27" s="69"/>
    </row>
    <row r="28" spans="1:12">
      <c r="A28" s="70"/>
      <c r="B28" s="71">
        <f>SUM(B2:B26)</f>
        <v>10076000</v>
      </c>
      <c r="C28" s="71">
        <f t="shared" ref="C28:J28" si="0">SUM(C2:C26)</f>
        <v>0</v>
      </c>
      <c r="D28" s="71">
        <f t="shared" si="0"/>
        <v>900000</v>
      </c>
      <c r="E28" s="71">
        <f t="shared" si="0"/>
        <v>0</v>
      </c>
      <c r="F28" s="71">
        <f t="shared" si="0"/>
        <v>1752000</v>
      </c>
      <c r="G28" s="71">
        <f t="shared" si="0"/>
        <v>0</v>
      </c>
      <c r="H28" s="71">
        <f>SUM(H2:H26)</f>
        <v>102296600</v>
      </c>
      <c r="I28" s="71">
        <f t="shared" si="0"/>
        <v>0</v>
      </c>
      <c r="J28" s="71">
        <f t="shared" si="0"/>
        <v>0</v>
      </c>
      <c r="K28" s="72"/>
      <c r="L28" s="72">
        <f>SUM(B28:K28)</f>
        <v>115024600</v>
      </c>
    </row>
    <row r="29" spans="1:12">
      <c r="B29" s="77"/>
      <c r="C29" t="s">
        <v>317</v>
      </c>
      <c r="D29" s="77"/>
      <c r="E29" s="77"/>
      <c r="F29" s="77"/>
      <c r="L29" s="72">
        <f>L28-Sheet16!N114</f>
        <v>0</v>
      </c>
    </row>
    <row r="30" spans="1:12">
      <c r="A30" t="s">
        <v>563</v>
      </c>
      <c r="B30" s="77">
        <f>8406000-1000000</f>
        <v>7406000</v>
      </c>
      <c r="D30" s="72"/>
    </row>
    <row r="31" spans="1:12">
      <c r="B31" s="72">
        <f>B8+B9+B10</f>
        <v>1670000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133"/>
  <sheetViews>
    <sheetView workbookViewId="0"/>
  </sheetViews>
  <sheetFormatPr defaultRowHeight="15"/>
  <cols>
    <col min="3" max="3" width="69.140625" customWidth="1"/>
    <col min="4" max="4" width="13.5703125" customWidth="1"/>
    <col min="5" max="5" width="11" customWidth="1"/>
    <col min="6" max="6" width="6.42578125" customWidth="1"/>
    <col min="7" max="7" width="7.7109375" customWidth="1"/>
    <col min="8" max="8" width="12" bestFit="1" customWidth="1"/>
    <col min="12" max="12" width="74.28515625" bestFit="1" customWidth="1"/>
    <col min="13" max="13" width="12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589</v>
      </c>
      <c r="B2" s="2"/>
      <c r="C2" s="3"/>
      <c r="D2" s="3"/>
      <c r="E2" s="3"/>
      <c r="F2" s="3"/>
      <c r="G2" s="3"/>
      <c r="H2" s="3"/>
      <c r="J2" s="1" t="s">
        <v>589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f>40388422</f>
        <v>40388422</v>
      </c>
      <c r="E4" s="6"/>
      <c r="F4" s="6"/>
      <c r="G4" s="6"/>
      <c r="H4" s="6"/>
      <c r="J4" s="4"/>
      <c r="K4" s="5"/>
      <c r="L4" s="6" t="s">
        <v>2</v>
      </c>
      <c r="M4" s="7">
        <f>40388422</f>
        <v>40388422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>
        <v>199500000</v>
      </c>
      <c r="E5" s="6"/>
      <c r="F5" s="6"/>
      <c r="G5" s="6"/>
      <c r="H5" s="6"/>
      <c r="J5" s="4"/>
      <c r="K5" s="5"/>
      <c r="L5" s="6" t="s">
        <v>590</v>
      </c>
      <c r="M5" s="7">
        <v>199500000</v>
      </c>
      <c r="N5" s="6"/>
      <c r="O5" s="6"/>
      <c r="P5" s="6"/>
      <c r="Q5" s="6"/>
    </row>
    <row r="6" spans="1:17">
      <c r="A6" s="4"/>
      <c r="B6" s="5"/>
      <c r="C6" s="6" t="s">
        <v>3</v>
      </c>
      <c r="D6" s="8">
        <v>290765</v>
      </c>
      <c r="E6" s="6"/>
      <c r="F6" s="6"/>
      <c r="G6" s="6"/>
      <c r="H6" s="6"/>
      <c r="J6" s="4"/>
      <c r="K6" s="5"/>
      <c r="L6" s="6" t="s">
        <v>3</v>
      </c>
      <c r="M6" s="8">
        <v>290765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1189810.5900000334</v>
      </c>
      <c r="E7" s="6"/>
      <c r="F7" s="6"/>
      <c r="G7" s="6"/>
      <c r="H7" s="6"/>
      <c r="J7" s="4"/>
      <c r="K7" s="5"/>
      <c r="L7" s="6" t="s">
        <v>4</v>
      </c>
      <c r="M7" s="115">
        <v>1189810.5900000334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148357</v>
      </c>
      <c r="E10" s="6"/>
      <c r="F10" s="6"/>
      <c r="G10" s="6"/>
      <c r="H10" s="6"/>
      <c r="J10" s="4"/>
      <c r="K10" s="5"/>
      <c r="L10" s="6" t="s">
        <v>7</v>
      </c>
      <c r="M10" s="6">
        <v>148357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588</v>
      </c>
      <c r="B12" s="532"/>
      <c r="C12" s="532"/>
      <c r="D12" s="532"/>
      <c r="E12" s="532"/>
      <c r="F12" s="532"/>
      <c r="G12" s="533"/>
      <c r="H12" s="10">
        <f>SUM(D4:D10)</f>
        <v>245961243.10333335</v>
      </c>
      <c r="J12" s="531" t="s">
        <v>588</v>
      </c>
      <c r="K12" s="532"/>
      <c r="L12" s="532"/>
      <c r="M12" s="532"/>
      <c r="N12" s="532"/>
      <c r="O12" s="532"/>
      <c r="P12" s="533"/>
      <c r="Q12" s="10">
        <f>SUM(M4:M10)</f>
        <v>245961243.10333335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222" t="s">
        <v>14</v>
      </c>
      <c r="F15" s="222" t="s">
        <v>15</v>
      </c>
      <c r="G15" s="222" t="s">
        <v>16</v>
      </c>
      <c r="H15" s="222" t="s">
        <v>17</v>
      </c>
      <c r="J15" s="536"/>
      <c r="K15" s="537"/>
      <c r="L15" s="538"/>
      <c r="M15" s="538"/>
      <c r="N15" s="228" t="s">
        <v>14</v>
      </c>
      <c r="O15" s="228" t="s">
        <v>15</v>
      </c>
      <c r="P15" s="228" t="s">
        <v>16</v>
      </c>
      <c r="Q15" s="228" t="s">
        <v>17</v>
      </c>
    </row>
    <row r="16" spans="1:17">
      <c r="A16" s="12"/>
      <c r="B16" s="19" t="s">
        <v>568</v>
      </c>
      <c r="C16" s="14" t="s">
        <v>566</v>
      </c>
      <c r="D16" s="77">
        <v>1300000</v>
      </c>
      <c r="E16" s="168"/>
      <c r="F16" s="168"/>
      <c r="G16" s="168"/>
      <c r="H16" s="168"/>
      <c r="J16" s="12"/>
      <c r="K16" s="19" t="s">
        <v>568</v>
      </c>
      <c r="L16" s="14" t="s">
        <v>566</v>
      </c>
      <c r="M16" s="77">
        <v>1300000</v>
      </c>
      <c r="N16" s="168"/>
      <c r="O16" s="168"/>
      <c r="P16" s="168"/>
      <c r="Q16" s="168"/>
    </row>
    <row r="17" spans="1:17">
      <c r="A17" s="12"/>
      <c r="B17" s="19" t="s">
        <v>568</v>
      </c>
      <c r="C17" s="14" t="s">
        <v>567</v>
      </c>
      <c r="D17" s="167">
        <v>100000</v>
      </c>
      <c r="E17" s="16"/>
      <c r="F17" s="16"/>
      <c r="G17" s="16"/>
      <c r="H17" s="16"/>
      <c r="J17" s="12"/>
      <c r="K17" s="19" t="s">
        <v>568</v>
      </c>
      <c r="L17" s="14" t="s">
        <v>567</v>
      </c>
      <c r="M17" s="167">
        <v>100000</v>
      </c>
      <c r="N17" s="16"/>
      <c r="O17" s="16"/>
      <c r="P17" s="16"/>
      <c r="Q17" s="16"/>
    </row>
    <row r="18" spans="1:17">
      <c r="A18" s="12"/>
      <c r="B18" s="19"/>
      <c r="C18" s="14"/>
      <c r="D18" s="15"/>
      <c r="E18" s="16"/>
      <c r="F18" s="16"/>
      <c r="G18" s="16"/>
      <c r="H18" s="16"/>
      <c r="J18" s="12"/>
      <c r="K18" s="19"/>
      <c r="L18" s="14"/>
      <c r="M18" s="15"/>
      <c r="N18" s="16"/>
      <c r="O18" s="16"/>
      <c r="P18" s="16"/>
      <c r="Q18" s="16"/>
    </row>
    <row r="19" spans="1:17" ht="15" hidden="1" customHeight="1">
      <c r="A19" s="12"/>
      <c r="B19" s="19"/>
      <c r="C19" s="14"/>
      <c r="D19" s="15"/>
      <c r="E19" s="16"/>
      <c r="F19" s="16"/>
      <c r="G19" s="16"/>
      <c r="H19" s="16"/>
      <c r="J19" s="12"/>
      <c r="K19" s="19"/>
      <c r="L19" s="14"/>
      <c r="M19" s="15"/>
      <c r="N19" s="16"/>
      <c r="O19" s="16"/>
      <c r="P19" s="16"/>
      <c r="Q19" s="16"/>
    </row>
    <row r="20" spans="1:17" ht="15" hidden="1" customHeight="1">
      <c r="A20" s="12"/>
      <c r="B20" s="19"/>
      <c r="C20" s="14"/>
      <c r="D20" s="15"/>
      <c r="E20" s="16"/>
      <c r="F20" s="16"/>
      <c r="G20" s="16"/>
      <c r="H20" s="16"/>
      <c r="J20" s="12"/>
      <c r="K20" s="19"/>
      <c r="L20" s="14"/>
      <c r="M20" s="15"/>
      <c r="N20" s="16"/>
      <c r="O20" s="16"/>
      <c r="P20" s="16"/>
      <c r="Q20" s="16"/>
    </row>
    <row r="21" spans="1:17" ht="15" hidden="1" customHeight="1">
      <c r="A21" s="12"/>
      <c r="B21" s="19"/>
      <c r="C21" s="14"/>
      <c r="D21" s="15"/>
      <c r="E21" s="16"/>
      <c r="F21" s="16"/>
      <c r="G21" s="16"/>
      <c r="H21" s="16"/>
      <c r="J21" s="12"/>
      <c r="K21" s="19"/>
      <c r="L21" s="14"/>
      <c r="M21" s="15"/>
      <c r="N21" s="16"/>
      <c r="O21" s="16"/>
      <c r="P21" s="16"/>
      <c r="Q21" s="16"/>
    </row>
    <row r="22" spans="1:17" ht="15" hidden="1" customHeight="1">
      <c r="A22" s="12"/>
      <c r="B22" s="19"/>
      <c r="C22" s="14"/>
      <c r="D22" s="15"/>
      <c r="E22" s="16"/>
      <c r="F22" s="16"/>
      <c r="G22" s="16"/>
      <c r="H22" s="16"/>
      <c r="J22" s="12"/>
      <c r="K22" s="19"/>
      <c r="L22" s="14"/>
      <c r="M22" s="15"/>
      <c r="N22" s="16"/>
      <c r="O22" s="16"/>
      <c r="P22" s="16"/>
      <c r="Q22" s="16"/>
    </row>
    <row r="23" spans="1:17" ht="15" hidden="1" customHeight="1">
      <c r="A23" s="12"/>
      <c r="B23" s="19"/>
      <c r="C23" s="14"/>
      <c r="D23" s="15"/>
      <c r="E23" s="16"/>
      <c r="F23" s="16"/>
      <c r="G23" s="16"/>
      <c r="H23" s="16"/>
      <c r="J23" s="12"/>
      <c r="K23" s="19"/>
      <c r="L23" s="14"/>
      <c r="M23" s="15"/>
      <c r="N23" s="16"/>
      <c r="O23" s="16"/>
      <c r="P23" s="16"/>
      <c r="Q23" s="16"/>
    </row>
    <row r="24" spans="1:17" ht="15" hidden="1" customHeight="1">
      <c r="A24" s="12"/>
      <c r="B24" s="19"/>
      <c r="C24" s="14"/>
      <c r="D24" s="15"/>
      <c r="E24" s="16"/>
      <c r="F24" s="16"/>
      <c r="G24" s="16"/>
      <c r="H24" s="16"/>
      <c r="J24" s="12"/>
      <c r="K24" s="19"/>
      <c r="L24" s="14"/>
      <c r="M24" s="15"/>
      <c r="N24" s="16"/>
      <c r="O24" s="16"/>
      <c r="P24" s="16"/>
      <c r="Q24" s="16"/>
    </row>
    <row r="25" spans="1:17" ht="15" hidden="1" customHeight="1">
      <c r="A25" s="12"/>
      <c r="B25" s="19"/>
      <c r="C25" s="14"/>
      <c r="D25" s="15"/>
      <c r="E25" s="16"/>
      <c r="F25" s="16"/>
      <c r="G25" s="16"/>
      <c r="H25" s="16"/>
      <c r="J25" s="12"/>
      <c r="K25" s="19"/>
      <c r="L25" s="14"/>
      <c r="M25" s="15"/>
      <c r="N25" s="16"/>
      <c r="O25" s="16"/>
      <c r="P25" s="16"/>
      <c r="Q25" s="16"/>
    </row>
    <row r="26" spans="1:17" ht="15" hidden="1" customHeight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7" ht="15" hidden="1" customHeight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7" ht="15" hidden="1" customHeight="1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222" t="s">
        <v>20</v>
      </c>
      <c r="D29" s="10">
        <f>SUM(D16:D26)</f>
        <v>1400000</v>
      </c>
      <c r="E29" s="10"/>
      <c r="F29" s="10"/>
      <c r="G29" s="10"/>
      <c r="H29" s="10"/>
      <c r="J29" s="18"/>
      <c r="K29" s="19"/>
      <c r="L29" s="228" t="s">
        <v>20</v>
      </c>
      <c r="M29" s="10">
        <f>SUM(M16:M26)</f>
        <v>1400000</v>
      </c>
      <c r="N29" s="10"/>
      <c r="O29" s="10"/>
      <c r="P29" s="10"/>
      <c r="Q29" s="10"/>
    </row>
    <row r="30" spans="1:17">
      <c r="A30" s="20"/>
      <c r="B30" s="223"/>
      <c r="C30" s="152" t="s">
        <v>21</v>
      </c>
      <c r="D30" s="150"/>
      <c r="E30" s="150"/>
      <c r="F30" s="150"/>
      <c r="G30" s="151"/>
      <c r="H30" s="21">
        <f>+D29</f>
        <v>1400000</v>
      </c>
      <c r="J30" s="20"/>
      <c r="K30" s="226"/>
      <c r="L30" s="152" t="s">
        <v>21</v>
      </c>
      <c r="M30" s="150"/>
      <c r="N30" s="150"/>
      <c r="O30" s="150"/>
      <c r="P30" s="151"/>
      <c r="Q30" s="21">
        <f>+M29</f>
        <v>1400000</v>
      </c>
    </row>
    <row r="31" spans="1:17">
      <c r="A31" s="526" t="s">
        <v>22</v>
      </c>
      <c r="B31" s="526"/>
      <c r="C31" s="526"/>
      <c r="D31" s="526"/>
      <c r="E31" s="526">
        <f>+H30</f>
        <v>1400000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1400000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7">
      <c r="A33" s="12"/>
      <c r="B33" s="13" t="s">
        <v>577</v>
      </c>
      <c r="C33" s="15" t="s">
        <v>594</v>
      </c>
      <c r="D33" s="22">
        <v>150000</v>
      </c>
      <c r="E33" s="22"/>
      <c r="F33" s="22"/>
      <c r="G33" s="16"/>
      <c r="H33" s="16"/>
      <c r="J33" s="12"/>
      <c r="K33" s="13" t="s">
        <v>577</v>
      </c>
      <c r="L33" s="15" t="s">
        <v>594</v>
      </c>
      <c r="M33" s="22">
        <v>150000</v>
      </c>
      <c r="N33" s="22"/>
      <c r="O33" s="22"/>
      <c r="P33" s="16"/>
      <c r="Q33" s="16"/>
    </row>
    <row r="34" spans="1:17">
      <c r="A34" s="12"/>
      <c r="B34" s="13" t="s">
        <v>577</v>
      </c>
      <c r="C34" s="15" t="s">
        <v>578</v>
      </c>
      <c r="D34" s="22">
        <v>1330000</v>
      </c>
      <c r="E34" s="22"/>
      <c r="F34" s="22"/>
      <c r="G34" s="16"/>
      <c r="H34" s="16"/>
      <c r="J34" s="12"/>
      <c r="K34" s="13" t="s">
        <v>577</v>
      </c>
      <c r="L34" s="15" t="s">
        <v>578</v>
      </c>
      <c r="M34" s="22">
        <v>1330000</v>
      </c>
      <c r="N34" s="22"/>
      <c r="O34" s="22"/>
      <c r="P34" s="16"/>
      <c r="Q34" s="16"/>
    </row>
    <row r="35" spans="1:17">
      <c r="A35" s="12"/>
      <c r="B35" s="13" t="s">
        <v>579</v>
      </c>
      <c r="C35" s="15" t="s">
        <v>575</v>
      </c>
      <c r="D35" s="23">
        <v>300000</v>
      </c>
      <c r="E35" s="22"/>
      <c r="F35" s="22"/>
      <c r="G35" s="16"/>
      <c r="H35" s="16"/>
      <c r="J35" s="12"/>
      <c r="K35" s="13" t="s">
        <v>579</v>
      </c>
      <c r="L35" s="15" t="s">
        <v>575</v>
      </c>
      <c r="M35" s="23">
        <v>300000</v>
      </c>
      <c r="N35" s="22"/>
      <c r="O35" s="22"/>
      <c r="P35" s="16"/>
      <c r="Q35" s="16"/>
    </row>
    <row r="36" spans="1:17">
      <c r="A36" s="12"/>
      <c r="B36" s="13" t="s">
        <v>571</v>
      </c>
      <c r="C36" s="15" t="s">
        <v>572</v>
      </c>
      <c r="D36" s="23">
        <v>115000</v>
      </c>
      <c r="E36" s="22"/>
      <c r="F36" s="22"/>
      <c r="G36" s="16"/>
      <c r="H36" s="16"/>
      <c r="J36" s="12"/>
      <c r="K36" s="13" t="s">
        <v>571</v>
      </c>
      <c r="L36" s="15" t="s">
        <v>572</v>
      </c>
      <c r="M36" s="23">
        <v>115000</v>
      </c>
      <c r="N36" s="22"/>
      <c r="O36" s="22"/>
      <c r="P36" s="16"/>
      <c r="Q36" s="16"/>
    </row>
    <row r="37" spans="1:17">
      <c r="A37" s="12"/>
      <c r="B37" s="13" t="s">
        <v>571</v>
      </c>
      <c r="C37" s="15" t="s">
        <v>573</v>
      </c>
      <c r="D37" s="23">
        <v>155000</v>
      </c>
      <c r="E37" s="22"/>
      <c r="F37" s="22"/>
      <c r="G37" s="16"/>
      <c r="H37" s="16"/>
      <c r="J37" s="12"/>
      <c r="K37" s="13" t="s">
        <v>571</v>
      </c>
      <c r="L37" s="15" t="s">
        <v>573</v>
      </c>
      <c r="M37" s="23">
        <v>155000</v>
      </c>
      <c r="N37" s="22"/>
      <c r="O37" s="22"/>
      <c r="P37" s="16"/>
      <c r="Q37" s="16"/>
    </row>
    <row r="38" spans="1:17">
      <c r="A38" s="12"/>
      <c r="B38" s="13" t="s">
        <v>580</v>
      </c>
      <c r="C38" s="15" t="s">
        <v>581</v>
      </c>
      <c r="D38" s="23">
        <v>1060000</v>
      </c>
      <c r="E38" s="22"/>
      <c r="F38" s="22"/>
      <c r="G38" s="16"/>
      <c r="H38" s="16"/>
      <c r="J38" s="12"/>
      <c r="K38" s="13" t="s">
        <v>580</v>
      </c>
      <c r="L38" s="15" t="s">
        <v>595</v>
      </c>
      <c r="M38" s="23">
        <v>1060000</v>
      </c>
      <c r="N38" s="22"/>
      <c r="O38" s="22"/>
      <c r="P38" s="16"/>
      <c r="Q38" s="16"/>
    </row>
    <row r="39" spans="1:17">
      <c r="A39" s="12"/>
      <c r="B39" s="13" t="s">
        <v>580</v>
      </c>
      <c r="C39" s="15" t="s">
        <v>150</v>
      </c>
      <c r="D39" s="23">
        <v>150000</v>
      </c>
      <c r="E39" s="22"/>
      <c r="F39" s="22"/>
      <c r="G39" s="16"/>
      <c r="H39" s="16"/>
      <c r="J39" s="12"/>
      <c r="K39" s="13" t="s">
        <v>580</v>
      </c>
      <c r="L39" s="15" t="s">
        <v>150</v>
      </c>
      <c r="M39" s="23">
        <v>150000</v>
      </c>
      <c r="N39" s="22"/>
      <c r="O39" s="22"/>
      <c r="P39" s="16"/>
      <c r="Q39" s="16"/>
    </row>
    <row r="40" spans="1:17">
      <c r="A40" s="12"/>
      <c r="B40" s="13" t="s">
        <v>580</v>
      </c>
      <c r="C40" s="15" t="s">
        <v>582</v>
      </c>
      <c r="D40" s="23">
        <v>45000</v>
      </c>
      <c r="E40" s="22"/>
      <c r="F40" s="22"/>
      <c r="G40" s="16"/>
      <c r="H40" s="16"/>
      <c r="J40" s="12"/>
      <c r="K40" s="13" t="s">
        <v>580</v>
      </c>
      <c r="L40" s="15" t="s">
        <v>582</v>
      </c>
      <c r="M40" s="23">
        <v>45000</v>
      </c>
      <c r="N40" s="22"/>
      <c r="O40" s="22"/>
      <c r="P40" s="16"/>
      <c r="Q40" s="16"/>
    </row>
    <row r="41" spans="1:17">
      <c r="A41" s="12"/>
      <c r="B41" s="13" t="s">
        <v>591</v>
      </c>
      <c r="C41" s="15" t="s">
        <v>592</v>
      </c>
      <c r="D41" s="23">
        <v>1500000</v>
      </c>
      <c r="E41" s="22"/>
      <c r="F41" s="22"/>
      <c r="G41" s="16"/>
      <c r="H41" s="16"/>
      <c r="J41" s="12"/>
      <c r="K41" s="13" t="s">
        <v>591</v>
      </c>
      <c r="L41" s="15" t="s">
        <v>592</v>
      </c>
      <c r="M41" s="23">
        <v>1500000</v>
      </c>
      <c r="N41" s="22"/>
      <c r="O41" s="22"/>
      <c r="P41" s="16"/>
      <c r="Q41" s="16"/>
    </row>
    <row r="42" spans="1:17">
      <c r="A42" s="12"/>
      <c r="B42" s="13" t="s">
        <v>591</v>
      </c>
      <c r="C42" s="15" t="s">
        <v>593</v>
      </c>
      <c r="D42" s="23">
        <v>340000</v>
      </c>
      <c r="E42" s="22"/>
      <c r="F42" s="22"/>
      <c r="G42" s="16"/>
      <c r="H42" s="16"/>
      <c r="J42" s="12"/>
      <c r="K42" s="13" t="s">
        <v>591</v>
      </c>
      <c r="L42" s="15" t="s">
        <v>593</v>
      </c>
      <c r="M42" s="23">
        <v>340000</v>
      </c>
      <c r="N42" s="22"/>
      <c r="O42" s="22"/>
      <c r="P42" s="16"/>
      <c r="Q42" s="16"/>
    </row>
    <row r="43" spans="1:17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7" ht="15" hidden="1" customHeight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 ht="15" hidden="1" customHeight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7" ht="15" hidden="1" customHeight="1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7" ht="15" hidden="1" customHeight="1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7">
      <c r="A48" s="25"/>
      <c r="B48" s="19"/>
      <c r="C48" s="26" t="s">
        <v>24</v>
      </c>
      <c r="D48" s="27">
        <f>SUM(D33:D47)</f>
        <v>5145000</v>
      </c>
      <c r="E48" s="27"/>
      <c r="F48" s="27"/>
      <c r="G48" s="27"/>
      <c r="H48" s="27"/>
      <c r="J48" s="25"/>
      <c r="K48" s="19"/>
      <c r="L48" s="26" t="s">
        <v>24</v>
      </c>
      <c r="M48" s="27">
        <f>SUM(M33:M47)</f>
        <v>5145000</v>
      </c>
      <c r="N48" s="27"/>
      <c r="O48" s="27"/>
      <c r="P48" s="27"/>
      <c r="Q48" s="27"/>
    </row>
    <row r="49" spans="1:17">
      <c r="A49" s="20"/>
      <c r="B49" s="19"/>
      <c r="C49" s="222" t="s">
        <v>21</v>
      </c>
      <c r="D49" s="10"/>
      <c r="E49" s="530">
        <f>D48</f>
        <v>5145000</v>
      </c>
      <c r="F49" s="530"/>
      <c r="G49" s="530"/>
      <c r="H49" s="530"/>
      <c r="J49" s="20"/>
      <c r="K49" s="19"/>
      <c r="L49" s="228" t="s">
        <v>21</v>
      </c>
      <c r="M49" s="10"/>
      <c r="N49" s="530">
        <f>M48</f>
        <v>5145000</v>
      </c>
      <c r="O49" s="530"/>
      <c r="P49" s="530"/>
      <c r="Q49" s="530"/>
    </row>
    <row r="50" spans="1:17" ht="15" hidden="1" customHeight="1">
      <c r="A50" s="524" t="s">
        <v>349</v>
      </c>
      <c r="B50" s="524"/>
      <c r="C50" s="524"/>
      <c r="D50" s="524"/>
      <c r="E50" s="524"/>
      <c r="F50" s="524"/>
      <c r="G50" s="524"/>
      <c r="H50" s="524"/>
      <c r="J50" s="524" t="s">
        <v>349</v>
      </c>
      <c r="K50" s="524"/>
      <c r="L50" s="524"/>
      <c r="M50" s="524"/>
      <c r="N50" s="524"/>
      <c r="O50" s="524"/>
      <c r="P50" s="524"/>
      <c r="Q50" s="524"/>
    </row>
    <row r="51" spans="1:17" ht="15" hidden="1" customHeight="1">
      <c r="A51" s="28"/>
      <c r="B51" s="23" t="s">
        <v>447</v>
      </c>
      <c r="C51" s="23" t="s">
        <v>445</v>
      </c>
      <c r="D51" s="23"/>
      <c r="E51" s="28"/>
      <c r="F51" s="28"/>
      <c r="G51" s="28"/>
      <c r="H51" s="28"/>
      <c r="J51" s="28"/>
      <c r="K51" s="23" t="s">
        <v>447</v>
      </c>
      <c r="L51" s="23" t="s">
        <v>445</v>
      </c>
      <c r="M51" s="23"/>
      <c r="N51" s="28"/>
      <c r="O51" s="28"/>
      <c r="P51" s="28"/>
      <c r="Q51" s="28"/>
    </row>
    <row r="52" spans="1:17" ht="15" hidden="1" customHeight="1">
      <c r="A52" s="28"/>
      <c r="B52" s="23" t="s">
        <v>447</v>
      </c>
      <c r="C52" s="23" t="s">
        <v>446</v>
      </c>
      <c r="D52" s="23"/>
      <c r="E52" s="28"/>
      <c r="F52" s="28"/>
      <c r="G52" s="28"/>
      <c r="H52" s="28"/>
      <c r="J52" s="28"/>
      <c r="K52" s="23" t="s">
        <v>447</v>
      </c>
      <c r="L52" s="23" t="s">
        <v>446</v>
      </c>
      <c r="M52" s="23"/>
      <c r="N52" s="28"/>
      <c r="O52" s="28"/>
      <c r="P52" s="28"/>
      <c r="Q52" s="28"/>
    </row>
    <row r="53" spans="1:17" ht="15" hidden="1" customHeight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t="15" hidden="1" customHeight="1">
      <c r="A54" s="28"/>
      <c r="B54" s="23"/>
      <c r="C54" s="23"/>
      <c r="D54" s="23"/>
      <c r="E54" s="28"/>
      <c r="F54" s="28"/>
      <c r="G54" s="28"/>
      <c r="H54" s="28"/>
      <c r="J54" s="28"/>
      <c r="K54" s="23"/>
      <c r="L54" s="23"/>
      <c r="M54" s="23"/>
      <c r="N54" s="28"/>
      <c r="O54" s="28"/>
      <c r="P54" s="28"/>
      <c r="Q54" s="28"/>
    </row>
    <row r="55" spans="1:17" ht="15" hidden="1" customHeight="1">
      <c r="A55" s="28"/>
      <c r="B55" s="23"/>
      <c r="C55" s="23"/>
      <c r="D55" s="23"/>
      <c r="E55" s="28"/>
      <c r="F55" s="28"/>
      <c r="G55" s="28"/>
      <c r="H55" s="28"/>
      <c r="J55" s="28"/>
      <c r="K55" s="23"/>
      <c r="L55" s="23"/>
      <c r="M55" s="23"/>
      <c r="N55" s="28"/>
      <c r="O55" s="28"/>
      <c r="P55" s="28"/>
      <c r="Q55" s="28"/>
    </row>
    <row r="56" spans="1:17" ht="15" hidden="1" customHeight="1">
      <c r="A56" s="28"/>
      <c r="B56" s="23"/>
      <c r="C56" s="23"/>
      <c r="D56" s="23"/>
      <c r="E56" s="28"/>
      <c r="F56" s="28"/>
      <c r="G56" s="28"/>
      <c r="H56" s="28"/>
      <c r="J56" s="28"/>
      <c r="K56" s="23"/>
      <c r="L56" s="23"/>
      <c r="M56" s="23"/>
      <c r="N56" s="28"/>
      <c r="O56" s="28"/>
      <c r="P56" s="28"/>
      <c r="Q56" s="28"/>
    </row>
    <row r="57" spans="1:17" ht="15" hidden="1" customHeight="1">
      <c r="A57" s="12"/>
      <c r="B57" s="13"/>
      <c r="C57" s="26" t="s">
        <v>448</v>
      </c>
      <c r="D57" s="27">
        <f>SUM(D51:D55)</f>
        <v>0</v>
      </c>
      <c r="E57" s="27">
        <v>0</v>
      </c>
      <c r="F57" s="27">
        <v>0</v>
      </c>
      <c r="G57" s="27"/>
      <c r="H57" s="27"/>
      <c r="J57" s="12"/>
      <c r="K57" s="13"/>
      <c r="L57" s="26" t="s">
        <v>448</v>
      </c>
      <c r="M57" s="27">
        <f>SUM(M51:M55)</f>
        <v>0</v>
      </c>
      <c r="N57" s="27">
        <v>0</v>
      </c>
      <c r="O57" s="27">
        <v>0</v>
      </c>
      <c r="P57" s="27"/>
      <c r="Q57" s="27"/>
    </row>
    <row r="58" spans="1:17" ht="15" hidden="1" customHeight="1">
      <c r="A58" s="20"/>
      <c r="B58" s="19"/>
      <c r="C58" s="222" t="s">
        <v>21</v>
      </c>
      <c r="D58" s="10"/>
      <c r="E58" s="530">
        <f>D57</f>
        <v>0</v>
      </c>
      <c r="F58" s="530"/>
      <c r="G58" s="530"/>
      <c r="H58" s="530"/>
      <c r="J58" s="20"/>
      <c r="K58" s="19"/>
      <c r="L58" s="228" t="s">
        <v>21</v>
      </c>
      <c r="M58" s="10"/>
      <c r="N58" s="530">
        <f>M57</f>
        <v>0</v>
      </c>
      <c r="O58" s="530"/>
      <c r="P58" s="530"/>
      <c r="Q58" s="530"/>
    </row>
    <row r="59" spans="1:17" ht="15" hidden="1" customHeight="1">
      <c r="A59" s="524" t="s">
        <v>255</v>
      </c>
      <c r="B59" s="524"/>
      <c r="C59" s="524"/>
      <c r="D59" s="524"/>
      <c r="E59" s="524"/>
      <c r="F59" s="524"/>
      <c r="G59" s="524"/>
      <c r="H59" s="524"/>
      <c r="J59" s="524" t="s">
        <v>255</v>
      </c>
      <c r="K59" s="524"/>
      <c r="L59" s="524"/>
      <c r="M59" s="524"/>
      <c r="N59" s="524"/>
      <c r="O59" s="524"/>
      <c r="P59" s="524"/>
      <c r="Q59" s="524"/>
    </row>
    <row r="60" spans="1:17" ht="15" hidden="1" customHeight="1">
      <c r="A60" s="28"/>
      <c r="B60" s="23" t="s">
        <v>536</v>
      </c>
      <c r="C60" s="23" t="s">
        <v>553</v>
      </c>
      <c r="D60" s="23"/>
      <c r="E60" s="28"/>
      <c r="F60" s="28"/>
      <c r="G60" s="28"/>
      <c r="H60" s="28"/>
      <c r="J60" s="28"/>
      <c r="K60" s="23" t="s">
        <v>536</v>
      </c>
      <c r="L60" s="23" t="s">
        <v>553</v>
      </c>
      <c r="M60" s="23"/>
      <c r="N60" s="28"/>
      <c r="O60" s="28"/>
      <c r="P60" s="28"/>
      <c r="Q60" s="28"/>
    </row>
    <row r="61" spans="1:17" ht="15" hidden="1" customHeight="1">
      <c r="A61" s="28"/>
      <c r="B61" s="23"/>
      <c r="C61" s="23"/>
      <c r="D61" s="23"/>
      <c r="E61" s="28"/>
      <c r="F61" s="28"/>
      <c r="G61" s="28"/>
      <c r="H61" s="28"/>
      <c r="J61" s="28"/>
      <c r="K61" s="23"/>
      <c r="L61" s="23"/>
      <c r="M61" s="23"/>
      <c r="N61" s="28"/>
      <c r="O61" s="28"/>
      <c r="P61" s="28"/>
      <c r="Q61" s="28"/>
    </row>
    <row r="62" spans="1:17" ht="15" hidden="1" customHeight="1">
      <c r="A62" s="28"/>
      <c r="B62" s="23"/>
      <c r="C62" s="23"/>
      <c r="D62" s="23"/>
      <c r="E62" s="28"/>
      <c r="F62" s="28"/>
      <c r="G62" s="28"/>
      <c r="H62" s="28"/>
      <c r="J62" s="28"/>
      <c r="K62" s="23"/>
      <c r="L62" s="23"/>
      <c r="M62" s="23"/>
      <c r="N62" s="28"/>
      <c r="O62" s="28"/>
      <c r="P62" s="28"/>
      <c r="Q62" s="28"/>
    </row>
    <row r="63" spans="1:17" ht="15" hidden="1" customHeight="1">
      <c r="A63" s="12"/>
      <c r="B63" s="13"/>
      <c r="C63" s="26" t="s">
        <v>270</v>
      </c>
      <c r="D63" s="27">
        <f>SUM(D60:D61)</f>
        <v>0</v>
      </c>
      <c r="E63" s="27">
        <v>0</v>
      </c>
      <c r="F63" s="27">
        <v>0</v>
      </c>
      <c r="G63" s="27"/>
      <c r="H63" s="27"/>
      <c r="J63" s="12"/>
      <c r="K63" s="13"/>
      <c r="L63" s="26" t="s">
        <v>270</v>
      </c>
      <c r="M63" s="27">
        <f>SUM(M60:M61)</f>
        <v>0</v>
      </c>
      <c r="N63" s="27">
        <v>0</v>
      </c>
      <c r="O63" s="27">
        <v>0</v>
      </c>
      <c r="P63" s="27"/>
      <c r="Q63" s="27"/>
    </row>
    <row r="64" spans="1:17" ht="15" hidden="1" customHeight="1">
      <c r="A64" s="20"/>
      <c r="B64" s="19"/>
      <c r="C64" s="222" t="s">
        <v>21</v>
      </c>
      <c r="D64" s="10"/>
      <c r="E64" s="530">
        <f>D63</f>
        <v>0</v>
      </c>
      <c r="F64" s="530"/>
      <c r="G64" s="530"/>
      <c r="H64" s="530"/>
      <c r="J64" s="20"/>
      <c r="K64" s="19"/>
      <c r="L64" s="228" t="s">
        <v>21</v>
      </c>
      <c r="M64" s="10"/>
      <c r="N64" s="530">
        <f>M63</f>
        <v>0</v>
      </c>
      <c r="O64" s="530"/>
      <c r="P64" s="530"/>
      <c r="Q64" s="530"/>
    </row>
    <row r="65" spans="1:17">
      <c r="A65" s="524" t="s">
        <v>54</v>
      </c>
      <c r="B65" s="524"/>
      <c r="C65" s="524"/>
      <c r="D65" s="524"/>
      <c r="E65" s="524"/>
      <c r="F65" s="524"/>
      <c r="G65" s="524"/>
      <c r="H65" s="524"/>
      <c r="J65" s="524" t="s">
        <v>54</v>
      </c>
      <c r="K65" s="524"/>
      <c r="L65" s="524"/>
      <c r="M65" s="524"/>
      <c r="N65" s="524"/>
      <c r="O65" s="524"/>
      <c r="P65" s="524"/>
      <c r="Q65" s="524"/>
    </row>
    <row r="66" spans="1:17">
      <c r="A66" s="28"/>
      <c r="B66" s="19" t="s">
        <v>569</v>
      </c>
      <c r="C66" s="23" t="s">
        <v>570</v>
      </c>
      <c r="D66" s="23">
        <v>24320000</v>
      </c>
      <c r="E66" s="28"/>
      <c r="F66" s="28"/>
      <c r="G66" s="28"/>
      <c r="H66" s="28"/>
      <c r="J66" s="28"/>
      <c r="K66" s="19" t="s">
        <v>569</v>
      </c>
      <c r="L66" s="23" t="s">
        <v>570</v>
      </c>
      <c r="M66" s="23">
        <v>23000000</v>
      </c>
      <c r="N66" s="28"/>
      <c r="O66" s="28"/>
      <c r="P66" s="28"/>
      <c r="Q66" s="28"/>
    </row>
    <row r="67" spans="1:17">
      <c r="A67" s="28"/>
      <c r="B67" s="19" t="s">
        <v>583</v>
      </c>
      <c r="C67" s="23" t="s">
        <v>564</v>
      </c>
      <c r="D67" s="23">
        <v>5365000</v>
      </c>
      <c r="E67" s="28"/>
      <c r="F67" s="28"/>
      <c r="G67" s="28"/>
      <c r="H67" s="28"/>
      <c r="J67" s="28"/>
      <c r="K67" s="19" t="s">
        <v>583</v>
      </c>
      <c r="L67" s="23" t="s">
        <v>564</v>
      </c>
      <c r="M67" s="23">
        <v>5365000</v>
      </c>
      <c r="N67" s="28"/>
      <c r="O67" s="28"/>
      <c r="P67" s="28"/>
      <c r="Q67" s="28"/>
    </row>
    <row r="68" spans="1:17">
      <c r="A68" s="28"/>
      <c r="B68" s="19" t="s">
        <v>583</v>
      </c>
      <c r="C68" s="23" t="s">
        <v>542</v>
      </c>
      <c r="D68" s="23">
        <v>30000000</v>
      </c>
      <c r="E68" s="28"/>
      <c r="F68" s="28"/>
      <c r="G68" s="28"/>
      <c r="H68" s="28"/>
      <c r="J68" s="28"/>
      <c r="K68" s="19" t="s">
        <v>583</v>
      </c>
      <c r="L68" s="23" t="s">
        <v>542</v>
      </c>
      <c r="M68" s="23">
        <v>30000000</v>
      </c>
      <c r="N68" s="28"/>
      <c r="O68" s="28"/>
      <c r="P68" s="28"/>
      <c r="Q68" s="28"/>
    </row>
    <row r="69" spans="1:17">
      <c r="A69" s="12"/>
      <c r="B69" s="19" t="s">
        <v>583</v>
      </c>
      <c r="C69" s="24" t="s">
        <v>263</v>
      </c>
      <c r="D69" s="23">
        <v>1540000</v>
      </c>
      <c r="E69" s="222"/>
      <c r="F69" s="222"/>
      <c r="G69" s="222"/>
      <c r="H69" s="222"/>
      <c r="J69" s="12"/>
      <c r="K69" s="19" t="s">
        <v>583</v>
      </c>
      <c r="L69" s="24" t="s">
        <v>263</v>
      </c>
      <c r="M69" s="23">
        <v>1540000</v>
      </c>
      <c r="N69" s="228"/>
      <c r="O69" s="228"/>
      <c r="P69" s="228"/>
      <c r="Q69" s="228"/>
    </row>
    <row r="70" spans="1:17">
      <c r="A70" s="12"/>
      <c r="B70" s="19" t="s">
        <v>583</v>
      </c>
      <c r="C70" s="24" t="s">
        <v>410</v>
      </c>
      <c r="D70" s="23">
        <v>900000</v>
      </c>
      <c r="E70" s="222"/>
      <c r="F70" s="222"/>
      <c r="G70" s="222"/>
      <c r="H70" s="222"/>
      <c r="J70" s="12"/>
      <c r="K70" s="19" t="s">
        <v>583</v>
      </c>
      <c r="L70" s="24" t="s">
        <v>410</v>
      </c>
      <c r="M70" s="23">
        <v>900000</v>
      </c>
      <c r="N70" s="228"/>
      <c r="O70" s="228"/>
      <c r="P70" s="228"/>
      <c r="Q70" s="228"/>
    </row>
    <row r="71" spans="1:17">
      <c r="A71" s="12"/>
      <c r="B71" s="19" t="s">
        <v>583</v>
      </c>
      <c r="C71" s="24" t="s">
        <v>499</v>
      </c>
      <c r="D71" s="23">
        <v>720000</v>
      </c>
      <c r="E71" s="222"/>
      <c r="F71" s="222"/>
      <c r="G71" s="222"/>
      <c r="H71" s="222"/>
      <c r="J71" s="12"/>
      <c r="K71" s="19" t="s">
        <v>583</v>
      </c>
      <c r="L71" s="24" t="s">
        <v>499</v>
      </c>
      <c r="M71" s="23">
        <v>720000</v>
      </c>
      <c r="N71" s="228"/>
      <c r="O71" s="228"/>
      <c r="P71" s="228"/>
      <c r="Q71" s="228"/>
    </row>
    <row r="72" spans="1:17">
      <c r="A72" s="12"/>
      <c r="B72" s="19" t="s">
        <v>583</v>
      </c>
      <c r="C72" s="24" t="s">
        <v>543</v>
      </c>
      <c r="D72" s="23">
        <v>300000</v>
      </c>
      <c r="E72" s="222"/>
      <c r="F72" s="222"/>
      <c r="G72" s="222"/>
      <c r="H72" s="222"/>
      <c r="J72" s="12"/>
      <c r="K72" s="19" t="s">
        <v>583</v>
      </c>
      <c r="L72" s="24" t="s">
        <v>543</v>
      </c>
      <c r="M72" s="23">
        <v>300000</v>
      </c>
      <c r="N72" s="228"/>
      <c r="O72" s="228"/>
      <c r="P72" s="228"/>
      <c r="Q72" s="228"/>
    </row>
    <row r="73" spans="1:17">
      <c r="A73" s="12"/>
      <c r="B73" s="19" t="s">
        <v>583</v>
      </c>
      <c r="C73" s="24" t="s">
        <v>565</v>
      </c>
      <c r="D73" s="23">
        <v>1500000</v>
      </c>
      <c r="E73" s="222"/>
      <c r="F73" s="222"/>
      <c r="G73" s="222"/>
      <c r="H73" s="222"/>
      <c r="J73" s="12"/>
      <c r="K73" s="19" t="s">
        <v>583</v>
      </c>
      <c r="L73" s="24" t="s">
        <v>565</v>
      </c>
      <c r="M73" s="23">
        <v>1500000</v>
      </c>
      <c r="N73" s="228"/>
      <c r="O73" s="228"/>
      <c r="P73" s="228"/>
      <c r="Q73" s="228"/>
    </row>
    <row r="74" spans="1:17">
      <c r="A74" s="12"/>
      <c r="B74" s="19" t="s">
        <v>584</v>
      </c>
      <c r="C74" s="24" t="s">
        <v>585</v>
      </c>
      <c r="D74" s="23">
        <f>3000000+67200000</f>
        <v>70200000</v>
      </c>
      <c r="E74" s="222"/>
      <c r="F74" s="222"/>
      <c r="G74" s="222"/>
      <c r="H74" s="222"/>
      <c r="J74" s="12"/>
      <c r="K74" s="19" t="s">
        <v>584</v>
      </c>
      <c r="L74" s="24" t="s">
        <v>585</v>
      </c>
      <c r="M74" s="23">
        <f>3000000+67200000</f>
        <v>70200000</v>
      </c>
      <c r="N74" s="228"/>
      <c r="O74" s="228"/>
      <c r="P74" s="228"/>
      <c r="Q74" s="228"/>
    </row>
    <row r="75" spans="1:17">
      <c r="A75" s="12"/>
      <c r="B75" s="19"/>
      <c r="C75" s="24"/>
      <c r="D75" s="23"/>
      <c r="E75" s="222"/>
      <c r="F75" s="222"/>
      <c r="G75" s="222"/>
      <c r="H75" s="222"/>
      <c r="J75" s="12"/>
      <c r="K75" s="19"/>
      <c r="L75" s="24"/>
      <c r="M75" s="23"/>
      <c r="N75" s="228"/>
      <c r="O75" s="228"/>
      <c r="P75" s="228"/>
      <c r="Q75" s="228"/>
    </row>
    <row r="76" spans="1:17" ht="15" hidden="1" customHeight="1">
      <c r="A76" s="12"/>
      <c r="B76" s="19"/>
      <c r="C76" s="24"/>
      <c r="D76" s="23"/>
      <c r="E76" s="222"/>
      <c r="F76" s="222"/>
      <c r="G76" s="222"/>
      <c r="H76" s="222"/>
      <c r="J76" s="12"/>
      <c r="K76" s="19"/>
      <c r="L76" s="24"/>
      <c r="M76" s="23"/>
      <c r="N76" s="228"/>
      <c r="O76" s="228"/>
      <c r="P76" s="228"/>
      <c r="Q76" s="228"/>
    </row>
    <row r="77" spans="1:17" ht="15" hidden="1" customHeight="1">
      <c r="A77" s="12"/>
      <c r="B77" s="19"/>
      <c r="C77" s="24"/>
      <c r="D77" s="23"/>
      <c r="E77" s="222"/>
      <c r="F77" s="222"/>
      <c r="G77" s="222"/>
      <c r="H77" s="222"/>
      <c r="J77" s="12"/>
      <c r="K77" s="19"/>
      <c r="L77" s="24"/>
      <c r="M77" s="23"/>
      <c r="N77" s="228"/>
      <c r="O77" s="228"/>
      <c r="P77" s="228"/>
      <c r="Q77" s="228"/>
    </row>
    <row r="78" spans="1:17" ht="15" hidden="1" customHeight="1">
      <c r="A78" s="12"/>
      <c r="B78" s="19"/>
      <c r="C78" s="24"/>
      <c r="D78" s="23"/>
      <c r="E78" s="222"/>
      <c r="F78" s="222"/>
      <c r="G78" s="222"/>
      <c r="H78" s="222"/>
      <c r="J78" s="12"/>
      <c r="K78" s="19"/>
      <c r="L78" s="24"/>
      <c r="M78" s="23"/>
      <c r="N78" s="228"/>
      <c r="O78" s="228"/>
      <c r="P78" s="228"/>
      <c r="Q78" s="228"/>
    </row>
    <row r="79" spans="1:17" ht="15" hidden="1" customHeight="1">
      <c r="A79" s="12"/>
      <c r="B79" s="19"/>
      <c r="C79" s="24"/>
      <c r="D79" s="23"/>
      <c r="E79" s="222"/>
      <c r="F79" s="222"/>
      <c r="G79" s="222"/>
      <c r="H79" s="222"/>
      <c r="J79" s="12"/>
      <c r="K79" s="19"/>
      <c r="L79" s="24"/>
      <c r="M79" s="23"/>
      <c r="N79" s="228"/>
      <c r="O79" s="228"/>
      <c r="P79" s="228"/>
      <c r="Q79" s="228"/>
    </row>
    <row r="80" spans="1:17">
      <c r="A80" s="12"/>
      <c r="B80" s="13"/>
      <c r="C80" s="26" t="s">
        <v>55</v>
      </c>
      <c r="D80" s="27">
        <f>SUM(D66:D78)</f>
        <v>134845000</v>
      </c>
      <c r="E80" s="27">
        <v>0</v>
      </c>
      <c r="F80" s="27">
        <v>0</v>
      </c>
      <c r="G80" s="27"/>
      <c r="H80" s="27"/>
      <c r="J80" s="12"/>
      <c r="K80" s="13"/>
      <c r="L80" s="26" t="s">
        <v>55</v>
      </c>
      <c r="M80" s="27">
        <f>SUM(M66:M78)</f>
        <v>133525000</v>
      </c>
      <c r="N80" s="27">
        <v>0</v>
      </c>
      <c r="O80" s="27">
        <v>0</v>
      </c>
      <c r="P80" s="27"/>
      <c r="Q80" s="27"/>
    </row>
    <row r="81" spans="1:17">
      <c r="A81" s="20"/>
      <c r="B81" s="19"/>
      <c r="C81" s="222" t="s">
        <v>21</v>
      </c>
      <c r="D81" s="10"/>
      <c r="E81" s="530">
        <f>D80</f>
        <v>134845000</v>
      </c>
      <c r="F81" s="530"/>
      <c r="G81" s="530"/>
      <c r="H81" s="530"/>
      <c r="J81" s="20"/>
      <c r="K81" s="19"/>
      <c r="L81" s="228" t="s">
        <v>21</v>
      </c>
      <c r="M81" s="10"/>
      <c r="N81" s="530">
        <f>M80</f>
        <v>133525000</v>
      </c>
      <c r="O81" s="530"/>
      <c r="P81" s="530"/>
      <c r="Q81" s="530"/>
    </row>
    <row r="82" spans="1:17" ht="15" hidden="1" customHeight="1">
      <c r="A82" s="524" t="s">
        <v>453</v>
      </c>
      <c r="B82" s="524"/>
      <c r="C82" s="524"/>
      <c r="D82" s="524"/>
      <c r="E82" s="524"/>
      <c r="F82" s="524"/>
      <c r="G82" s="524"/>
      <c r="H82" s="524"/>
      <c r="J82" s="524" t="s">
        <v>453</v>
      </c>
      <c r="K82" s="524"/>
      <c r="L82" s="524"/>
      <c r="M82" s="524"/>
      <c r="N82" s="524"/>
      <c r="O82" s="524"/>
      <c r="P82" s="524"/>
      <c r="Q82" s="524"/>
    </row>
    <row r="83" spans="1:17" ht="15" hidden="1" customHeight="1">
      <c r="A83" s="28"/>
      <c r="B83" s="23"/>
      <c r="C83" s="23"/>
      <c r="D83" s="23"/>
      <c r="E83" s="28"/>
      <c r="F83" s="28"/>
      <c r="G83" s="28"/>
      <c r="H83" s="28"/>
      <c r="J83" s="28"/>
      <c r="K83" s="23"/>
      <c r="L83" s="23"/>
      <c r="M83" s="23"/>
      <c r="N83" s="28"/>
      <c r="O83" s="28"/>
      <c r="P83" s="28"/>
      <c r="Q83" s="28"/>
    </row>
    <row r="84" spans="1:17" ht="15" hidden="1" customHeight="1">
      <c r="A84" s="28"/>
      <c r="B84" s="23"/>
      <c r="C84" s="23"/>
      <c r="D84" s="23"/>
      <c r="E84" s="28"/>
      <c r="F84" s="28"/>
      <c r="G84" s="28"/>
      <c r="H84" s="28"/>
      <c r="J84" s="28"/>
      <c r="K84" s="23"/>
      <c r="L84" s="23"/>
      <c r="M84" s="23"/>
      <c r="N84" s="28"/>
      <c r="O84" s="28"/>
      <c r="P84" s="28"/>
      <c r="Q84" s="28"/>
    </row>
    <row r="85" spans="1:17" ht="15" hidden="1" customHeight="1">
      <c r="A85" s="12"/>
      <c r="B85" s="19"/>
      <c r="C85" s="24"/>
      <c r="D85" s="23"/>
      <c r="E85" s="222"/>
      <c r="F85" s="222"/>
      <c r="G85" s="222"/>
      <c r="H85" s="222"/>
      <c r="J85" s="12"/>
      <c r="K85" s="19"/>
      <c r="L85" s="24"/>
      <c r="M85" s="23"/>
      <c r="N85" s="228"/>
      <c r="O85" s="228"/>
      <c r="P85" s="228"/>
      <c r="Q85" s="228"/>
    </row>
    <row r="86" spans="1:17" ht="15" hidden="1" customHeight="1">
      <c r="A86" s="12"/>
      <c r="B86" s="13"/>
      <c r="C86" s="26" t="s">
        <v>196</v>
      </c>
      <c r="D86" s="27">
        <f>SUM(D83:D85)</f>
        <v>0</v>
      </c>
      <c r="E86" s="27">
        <v>0</v>
      </c>
      <c r="F86" s="27">
        <v>0</v>
      </c>
      <c r="G86" s="27"/>
      <c r="H86" s="27"/>
      <c r="J86" s="12"/>
      <c r="K86" s="13"/>
      <c r="L86" s="26" t="s">
        <v>196</v>
      </c>
      <c r="M86" s="27">
        <f>SUM(M83:M85)</f>
        <v>0</v>
      </c>
      <c r="N86" s="27">
        <v>0</v>
      </c>
      <c r="O86" s="27">
        <v>0</v>
      </c>
      <c r="P86" s="27"/>
      <c r="Q86" s="27"/>
    </row>
    <row r="87" spans="1:17" ht="15" hidden="1" customHeight="1">
      <c r="A87" s="20"/>
      <c r="B87" s="19"/>
      <c r="C87" s="222" t="s">
        <v>21</v>
      </c>
      <c r="D87" s="10"/>
      <c r="E87" s="530">
        <f>D86</f>
        <v>0</v>
      </c>
      <c r="F87" s="530"/>
      <c r="G87" s="530"/>
      <c r="H87" s="530"/>
      <c r="J87" s="20"/>
      <c r="K87" s="19"/>
      <c r="L87" s="228" t="s">
        <v>21</v>
      </c>
      <c r="M87" s="10"/>
      <c r="N87" s="530">
        <f>M86</f>
        <v>0</v>
      </c>
      <c r="O87" s="530"/>
      <c r="P87" s="530"/>
      <c r="Q87" s="530"/>
    </row>
    <row r="88" spans="1:17">
      <c r="A88" s="527" t="s">
        <v>26</v>
      </c>
      <c r="B88" s="528"/>
      <c r="C88" s="528"/>
      <c r="D88" s="528"/>
      <c r="E88" s="528"/>
      <c r="F88" s="528"/>
      <c r="G88" s="528"/>
      <c r="H88" s="529"/>
      <c r="J88" s="527" t="s">
        <v>26</v>
      </c>
      <c r="K88" s="528"/>
      <c r="L88" s="528"/>
      <c r="M88" s="528"/>
      <c r="N88" s="528"/>
      <c r="O88" s="528"/>
      <c r="P88" s="528"/>
      <c r="Q88" s="529"/>
    </row>
    <row r="89" spans="1:17">
      <c r="A89" s="12"/>
      <c r="B89" s="19" t="s">
        <v>586</v>
      </c>
      <c r="C89" s="24" t="s">
        <v>587</v>
      </c>
      <c r="D89" s="23">
        <v>1700000</v>
      </c>
      <c r="E89" s="22"/>
      <c r="F89" s="22"/>
      <c r="G89" s="16"/>
      <c r="H89" s="16"/>
      <c r="J89" s="12"/>
      <c r="K89" s="19" t="s">
        <v>586</v>
      </c>
      <c r="L89" s="24" t="s">
        <v>587</v>
      </c>
      <c r="M89" s="23"/>
      <c r="N89" s="22"/>
      <c r="O89" s="22"/>
      <c r="P89" s="16"/>
      <c r="Q89" s="16"/>
    </row>
    <row r="90" spans="1:17">
      <c r="A90" s="12"/>
      <c r="B90" s="19" t="s">
        <v>586</v>
      </c>
      <c r="C90" s="24" t="s">
        <v>574</v>
      </c>
      <c r="D90" s="23">
        <v>5000</v>
      </c>
      <c r="E90" s="22"/>
      <c r="F90" s="22"/>
      <c r="G90" s="16"/>
      <c r="H90" s="16"/>
      <c r="J90" s="12"/>
      <c r="K90" s="19" t="s">
        <v>586</v>
      </c>
      <c r="L90" s="24" t="s">
        <v>574</v>
      </c>
      <c r="M90" s="23"/>
      <c r="N90" s="22"/>
      <c r="O90" s="22"/>
      <c r="P90" s="16"/>
      <c r="Q90" s="16"/>
    </row>
    <row r="91" spans="1:17">
      <c r="A91" s="12"/>
      <c r="B91" s="19"/>
      <c r="C91" s="23"/>
      <c r="D91" s="23"/>
      <c r="E91" s="22"/>
      <c r="F91" s="22"/>
      <c r="G91" s="16"/>
      <c r="H91" s="16"/>
      <c r="J91" s="12"/>
      <c r="K91" s="19"/>
      <c r="L91" s="23"/>
      <c r="M91" s="23"/>
      <c r="N91" s="22"/>
      <c r="O91" s="22"/>
      <c r="P91" s="16"/>
      <c r="Q91" s="16"/>
    </row>
    <row r="92" spans="1:17" ht="15" hidden="1" customHeight="1">
      <c r="A92" s="12"/>
      <c r="B92" s="19"/>
      <c r="C92" s="24"/>
      <c r="D92" s="23"/>
      <c r="E92" s="22"/>
      <c r="F92" s="22"/>
      <c r="G92" s="16"/>
      <c r="H92" s="16"/>
      <c r="J92" s="12"/>
      <c r="K92" s="19"/>
      <c r="L92" s="24"/>
      <c r="M92" s="23"/>
      <c r="N92" s="22"/>
      <c r="O92" s="22"/>
      <c r="P92" s="16"/>
      <c r="Q92" s="16"/>
    </row>
    <row r="93" spans="1:17" ht="15" hidden="1" customHeight="1">
      <c r="A93" s="12"/>
      <c r="B93" s="19"/>
      <c r="C93" s="24"/>
      <c r="D93" s="23"/>
      <c r="E93" s="22"/>
      <c r="F93" s="22"/>
      <c r="G93" s="16"/>
      <c r="H93" s="16"/>
      <c r="J93" s="12"/>
      <c r="K93" s="19"/>
      <c r="L93" s="24"/>
      <c r="M93" s="23"/>
      <c r="N93" s="22"/>
      <c r="O93" s="22"/>
      <c r="P93" s="16"/>
      <c r="Q93" s="16"/>
    </row>
    <row r="94" spans="1:17" ht="15" hidden="1" customHeight="1">
      <c r="A94" s="12"/>
      <c r="B94" s="19"/>
      <c r="C94" s="24"/>
      <c r="D94" s="23"/>
      <c r="E94" s="22"/>
      <c r="F94" s="22"/>
      <c r="G94" s="16"/>
      <c r="H94" s="16"/>
      <c r="J94" s="12"/>
      <c r="K94" s="19"/>
      <c r="L94" s="24"/>
      <c r="M94" s="23"/>
      <c r="N94" s="22"/>
      <c r="O94" s="22"/>
      <c r="P94" s="16"/>
      <c r="Q94" s="16"/>
    </row>
    <row r="95" spans="1:17" ht="15" hidden="1" customHeight="1">
      <c r="A95" s="12"/>
      <c r="B95" s="19"/>
      <c r="C95" s="23"/>
      <c r="D95" s="23"/>
      <c r="E95" s="22"/>
      <c r="F95" s="22"/>
      <c r="G95" s="16"/>
      <c r="H95" s="16"/>
      <c r="J95" s="12"/>
      <c r="K95" s="19"/>
      <c r="L95" s="23"/>
      <c r="M95" s="23"/>
      <c r="N95" s="22"/>
      <c r="O95" s="22"/>
      <c r="P95" s="16"/>
      <c r="Q95" s="16"/>
    </row>
    <row r="96" spans="1:17" ht="15" hidden="1" customHeight="1">
      <c r="A96" s="12"/>
      <c r="B96" s="19"/>
      <c r="C96" s="23"/>
      <c r="D96" s="23"/>
      <c r="E96" s="22"/>
      <c r="F96" s="22"/>
      <c r="G96" s="16"/>
      <c r="H96" s="16"/>
      <c r="J96" s="12"/>
      <c r="K96" s="19"/>
      <c r="L96" s="23"/>
      <c r="M96" s="23"/>
      <c r="N96" s="22"/>
      <c r="O96" s="22"/>
      <c r="P96" s="16"/>
      <c r="Q96" s="16"/>
    </row>
    <row r="97" spans="1:17" ht="15" hidden="1" customHeight="1">
      <c r="A97" s="12"/>
      <c r="B97" s="19"/>
      <c r="C97" s="23"/>
      <c r="D97" s="23"/>
      <c r="E97" s="22"/>
      <c r="F97" s="22"/>
      <c r="G97" s="16"/>
      <c r="H97" s="16"/>
      <c r="J97" s="12"/>
      <c r="K97" s="19"/>
      <c r="L97" s="23"/>
      <c r="M97" s="23"/>
      <c r="N97" s="22"/>
      <c r="O97" s="22"/>
      <c r="P97" s="16"/>
      <c r="Q97" s="16"/>
    </row>
    <row r="98" spans="1:17" ht="15" hidden="1" customHeight="1">
      <c r="A98" s="12"/>
      <c r="B98" s="19"/>
      <c r="C98" s="24"/>
      <c r="D98" s="23"/>
      <c r="E98" s="22"/>
      <c r="F98" s="22"/>
      <c r="G98" s="16"/>
      <c r="H98" s="16"/>
      <c r="J98" s="12"/>
      <c r="K98" s="19"/>
      <c r="L98" s="24"/>
      <c r="M98" s="23"/>
      <c r="N98" s="22"/>
      <c r="O98" s="22"/>
      <c r="P98" s="16"/>
      <c r="Q98" s="16"/>
    </row>
    <row r="99" spans="1:17" ht="15" hidden="1" customHeight="1">
      <c r="A99" s="12"/>
      <c r="B99" s="19"/>
      <c r="C99" s="24"/>
      <c r="D99" s="23"/>
      <c r="E99" s="22"/>
      <c r="F99" s="22"/>
      <c r="G99" s="16"/>
      <c r="H99" s="16"/>
      <c r="J99" s="12"/>
      <c r="K99" s="19"/>
      <c r="L99" s="24"/>
      <c r="M99" s="23"/>
      <c r="N99" s="22"/>
      <c r="O99" s="22"/>
      <c r="P99" s="16"/>
      <c r="Q99" s="16"/>
    </row>
    <row r="100" spans="1:17">
      <c r="A100" s="25"/>
      <c r="B100" s="19"/>
      <c r="C100" s="26" t="s">
        <v>31</v>
      </c>
      <c r="D100" s="27">
        <f>SUM(D89:D99)</f>
        <v>1705000</v>
      </c>
      <c r="E100" s="27"/>
      <c r="F100" s="27"/>
      <c r="G100" s="27"/>
      <c r="H100" s="27"/>
      <c r="J100" s="25"/>
      <c r="K100" s="19"/>
      <c r="L100" s="26" t="s">
        <v>31</v>
      </c>
      <c r="M100" s="27">
        <f>SUM(M89:M99)</f>
        <v>0</v>
      </c>
      <c r="N100" s="27"/>
      <c r="O100" s="27"/>
      <c r="P100" s="27"/>
      <c r="Q100" s="27"/>
    </row>
    <row r="101" spans="1:17">
      <c r="A101" s="20"/>
      <c r="B101" s="19"/>
      <c r="C101" s="222" t="s">
        <v>21</v>
      </c>
      <c r="D101" s="10"/>
      <c r="E101" s="530">
        <f>D100</f>
        <v>1705000</v>
      </c>
      <c r="F101" s="530"/>
      <c r="G101" s="530"/>
      <c r="H101" s="530"/>
      <c r="J101" s="20"/>
      <c r="K101" s="19"/>
      <c r="L101" s="228" t="s">
        <v>21</v>
      </c>
      <c r="M101" s="10"/>
      <c r="N101" s="530">
        <f>M100</f>
        <v>0</v>
      </c>
      <c r="O101" s="530"/>
      <c r="P101" s="530"/>
      <c r="Q101" s="530"/>
    </row>
    <row r="102" spans="1:17">
      <c r="A102" s="527" t="s">
        <v>32</v>
      </c>
      <c r="B102" s="528"/>
      <c r="C102" s="528"/>
      <c r="D102" s="528"/>
      <c r="E102" s="528"/>
      <c r="F102" s="528"/>
      <c r="G102" s="528"/>
      <c r="H102" s="529"/>
      <c r="J102" s="527" t="s">
        <v>32</v>
      </c>
      <c r="K102" s="528"/>
      <c r="L102" s="528"/>
      <c r="M102" s="528"/>
      <c r="N102" s="528"/>
      <c r="O102" s="528"/>
      <c r="P102" s="528"/>
      <c r="Q102" s="529"/>
    </row>
    <row r="103" spans="1:17">
      <c r="A103" s="12"/>
      <c r="B103" s="13"/>
      <c r="C103" s="22"/>
      <c r="D103" s="22"/>
      <c r="E103" s="222"/>
      <c r="F103" s="222"/>
      <c r="G103" s="222"/>
      <c r="H103" s="222"/>
      <c r="J103" s="12"/>
      <c r="K103" s="13"/>
      <c r="L103" s="22"/>
      <c r="M103" s="22"/>
      <c r="N103" s="228"/>
      <c r="O103" s="228"/>
      <c r="P103" s="228"/>
      <c r="Q103" s="228"/>
    </row>
    <row r="104" spans="1:17">
      <c r="A104" s="12"/>
      <c r="B104" s="13"/>
      <c r="C104" s="22"/>
      <c r="D104" s="22"/>
      <c r="E104" s="222"/>
      <c r="F104" s="222"/>
      <c r="G104" s="222"/>
      <c r="H104" s="222"/>
      <c r="J104" s="12"/>
      <c r="K104" s="13"/>
      <c r="L104" s="22"/>
      <c r="M104" s="22"/>
      <c r="N104" s="228"/>
      <c r="O104" s="228"/>
      <c r="P104" s="228"/>
      <c r="Q104" s="228"/>
    </row>
    <row r="105" spans="1:17">
      <c r="A105" s="12"/>
      <c r="B105" s="13"/>
      <c r="C105" s="22"/>
      <c r="D105" s="22"/>
      <c r="E105" s="222"/>
      <c r="F105" s="222"/>
      <c r="G105" s="222"/>
      <c r="H105" s="222"/>
      <c r="J105" s="12"/>
      <c r="K105" s="13"/>
      <c r="L105" s="22"/>
      <c r="M105" s="22"/>
      <c r="N105" s="228"/>
      <c r="O105" s="228"/>
      <c r="P105" s="228"/>
      <c r="Q105" s="228"/>
    </row>
    <row r="106" spans="1:17">
      <c r="A106" s="12"/>
      <c r="B106" s="13"/>
      <c r="C106" s="22"/>
      <c r="D106" s="29"/>
      <c r="E106" s="222"/>
      <c r="F106" s="222"/>
      <c r="G106" s="222"/>
      <c r="H106" s="222"/>
      <c r="J106" s="12"/>
      <c r="K106" s="13"/>
      <c r="L106" s="22"/>
      <c r="M106" s="29"/>
      <c r="N106" s="228"/>
      <c r="O106" s="228"/>
      <c r="P106" s="228"/>
      <c r="Q106" s="228"/>
    </row>
    <row r="107" spans="1:17" ht="15" hidden="1" customHeight="1">
      <c r="A107" s="12"/>
      <c r="B107" s="13"/>
      <c r="C107" s="22"/>
      <c r="D107" s="29"/>
      <c r="E107" s="222"/>
      <c r="F107" s="222"/>
      <c r="G107" s="222"/>
      <c r="H107" s="222"/>
      <c r="J107" s="12"/>
      <c r="K107" s="13"/>
      <c r="L107" s="22"/>
      <c r="M107" s="29"/>
      <c r="N107" s="228"/>
      <c r="O107" s="228"/>
      <c r="P107" s="228"/>
      <c r="Q107" s="228"/>
    </row>
    <row r="108" spans="1:17" ht="15" hidden="1" customHeight="1">
      <c r="A108" s="12"/>
      <c r="B108" s="13"/>
      <c r="C108" s="22"/>
      <c r="D108" s="29"/>
      <c r="E108" s="222"/>
      <c r="F108" s="222"/>
      <c r="G108" s="222"/>
      <c r="H108" s="222"/>
      <c r="J108" s="12"/>
      <c r="K108" s="13"/>
      <c r="L108" s="22"/>
      <c r="M108" s="29"/>
      <c r="N108" s="228"/>
      <c r="O108" s="228"/>
      <c r="P108" s="228"/>
      <c r="Q108" s="228"/>
    </row>
    <row r="109" spans="1:17" ht="15" hidden="1" customHeight="1">
      <c r="A109" s="12"/>
      <c r="B109" s="13"/>
      <c r="C109" s="22"/>
      <c r="D109" s="29"/>
      <c r="E109" s="222"/>
      <c r="F109" s="222"/>
      <c r="G109" s="222"/>
      <c r="H109" s="222"/>
      <c r="J109" s="12"/>
      <c r="K109" s="13"/>
      <c r="L109" s="22"/>
      <c r="M109" s="29"/>
      <c r="N109" s="228"/>
      <c r="O109" s="228"/>
      <c r="P109" s="228"/>
      <c r="Q109" s="228"/>
    </row>
    <row r="110" spans="1:17" ht="15" hidden="1" customHeight="1">
      <c r="A110" s="12"/>
      <c r="B110" s="13"/>
      <c r="C110" s="22"/>
      <c r="D110" s="29"/>
      <c r="E110" s="222"/>
      <c r="F110" s="222"/>
      <c r="G110" s="222"/>
      <c r="H110" s="222"/>
      <c r="J110" s="12"/>
      <c r="K110" s="13"/>
      <c r="L110" s="22"/>
      <c r="M110" s="29"/>
      <c r="N110" s="228"/>
      <c r="O110" s="228"/>
      <c r="P110" s="228"/>
      <c r="Q110" s="228"/>
    </row>
    <row r="111" spans="1:17" ht="15" hidden="1" customHeight="1">
      <c r="A111" s="12"/>
      <c r="B111" s="13"/>
      <c r="C111" s="22"/>
      <c r="D111" s="29"/>
      <c r="E111" s="222"/>
      <c r="F111" s="222"/>
      <c r="G111" s="222"/>
      <c r="H111" s="222"/>
      <c r="J111" s="12"/>
      <c r="K111" s="13"/>
      <c r="L111" s="22"/>
      <c r="M111" s="29"/>
      <c r="N111" s="228"/>
      <c r="O111" s="228"/>
      <c r="P111" s="228"/>
      <c r="Q111" s="228"/>
    </row>
    <row r="112" spans="1:17">
      <c r="A112" s="12"/>
      <c r="B112" s="13"/>
      <c r="C112" s="26" t="s">
        <v>34</v>
      </c>
      <c r="D112" s="27">
        <f>SUM(D103:D106)</f>
        <v>0</v>
      </c>
      <c r="E112" s="27">
        <v>0</v>
      </c>
      <c r="F112" s="27">
        <v>0</v>
      </c>
      <c r="G112" s="27"/>
      <c r="H112" s="27"/>
      <c r="J112" s="12"/>
      <c r="K112" s="13"/>
      <c r="L112" s="26" t="s">
        <v>34</v>
      </c>
      <c r="M112" s="27">
        <f>SUM(M103:M106)</f>
        <v>0</v>
      </c>
      <c r="N112" s="27">
        <v>0</v>
      </c>
      <c r="O112" s="27">
        <v>0</v>
      </c>
      <c r="P112" s="27"/>
      <c r="Q112" s="27"/>
    </row>
    <row r="113" spans="1:17">
      <c r="A113" s="20"/>
      <c r="B113" s="19"/>
      <c r="C113" s="222" t="s">
        <v>21</v>
      </c>
      <c r="D113" s="10"/>
      <c r="E113" s="531">
        <f>D112</f>
        <v>0</v>
      </c>
      <c r="F113" s="532"/>
      <c r="G113" s="532"/>
      <c r="H113" s="533"/>
      <c r="J113" s="20"/>
      <c r="K113" s="19"/>
      <c r="L113" s="228" t="s">
        <v>21</v>
      </c>
      <c r="M113" s="10"/>
      <c r="N113" s="531">
        <f>M112</f>
        <v>0</v>
      </c>
      <c r="O113" s="532"/>
      <c r="P113" s="532"/>
      <c r="Q113" s="533"/>
    </row>
    <row r="114" spans="1:17">
      <c r="A114" s="525" t="s">
        <v>35</v>
      </c>
      <c r="B114" s="525"/>
      <c r="C114" s="525"/>
      <c r="D114" s="220"/>
      <c r="E114" s="526">
        <f>E49+E58+E101+E113+E81+E87+E64</f>
        <v>141695000</v>
      </c>
      <c r="F114" s="526"/>
      <c r="G114" s="526"/>
      <c r="H114" s="526"/>
      <c r="J114" s="525" t="s">
        <v>35</v>
      </c>
      <c r="K114" s="525"/>
      <c r="L114" s="525"/>
      <c r="M114" s="224"/>
      <c r="N114" s="526">
        <f>N49+N58+N101+N113+N81+N87+N64</f>
        <v>138670000</v>
      </c>
      <c r="O114" s="526"/>
      <c r="P114" s="526"/>
      <c r="Q114" s="526"/>
    </row>
    <row r="115" spans="1:17">
      <c r="A115" s="522" t="s">
        <v>36</v>
      </c>
      <c r="B115" s="522"/>
      <c r="C115" s="522"/>
      <c r="D115" s="219"/>
      <c r="E115" s="523">
        <f>+E31+E114</f>
        <v>143095000</v>
      </c>
      <c r="F115" s="523"/>
      <c r="G115" s="523"/>
      <c r="H115" s="523"/>
      <c r="J115" s="522" t="s">
        <v>36</v>
      </c>
      <c r="K115" s="522"/>
      <c r="L115" s="522"/>
      <c r="M115" s="227"/>
      <c r="N115" s="523">
        <f>+N31+N114</f>
        <v>140070000</v>
      </c>
      <c r="O115" s="523"/>
      <c r="P115" s="523"/>
      <c r="Q115" s="523"/>
    </row>
    <row r="116" spans="1:17">
      <c r="A116" s="524" t="s">
        <v>32</v>
      </c>
      <c r="B116" s="524"/>
      <c r="C116" s="524"/>
      <c r="D116" s="524"/>
      <c r="E116" s="524"/>
      <c r="F116" s="524"/>
      <c r="G116" s="524"/>
      <c r="H116" s="524"/>
      <c r="J116" s="524" t="s">
        <v>32</v>
      </c>
      <c r="K116" s="524"/>
      <c r="L116" s="524"/>
      <c r="M116" s="524"/>
      <c r="N116" s="524"/>
      <c r="O116" s="524"/>
      <c r="P116" s="524"/>
      <c r="Q116" s="524"/>
    </row>
    <row r="117" spans="1:17">
      <c r="A117" s="33"/>
      <c r="B117" s="13"/>
      <c r="C117" s="22"/>
      <c r="D117" s="22"/>
      <c r="E117" s="22"/>
      <c r="F117" s="22"/>
      <c r="G117" s="16"/>
      <c r="H117" s="16"/>
      <c r="J117" s="33"/>
      <c r="K117" s="13"/>
      <c r="L117" s="22"/>
      <c r="M117" s="22"/>
      <c r="N117" s="22"/>
      <c r="O117" s="22"/>
      <c r="P117" s="16"/>
      <c r="Q117" s="16"/>
    </row>
    <row r="118" spans="1:17">
      <c r="A118" s="33"/>
      <c r="B118" s="13"/>
      <c r="C118" s="22"/>
      <c r="D118" s="22"/>
      <c r="E118" s="22"/>
      <c r="F118" s="22"/>
      <c r="G118" s="16"/>
      <c r="H118" s="16"/>
      <c r="J118" s="33"/>
      <c r="K118" s="13"/>
      <c r="L118" s="22"/>
      <c r="M118" s="22"/>
      <c r="N118" s="22"/>
      <c r="O118" s="22"/>
      <c r="P118" s="16"/>
      <c r="Q118" s="16"/>
    </row>
    <row r="119" spans="1:17">
      <c r="A119" s="33"/>
      <c r="B119" s="13"/>
      <c r="C119" s="22"/>
      <c r="D119" s="22"/>
      <c r="E119" s="22"/>
      <c r="F119" s="22"/>
      <c r="G119" s="16"/>
      <c r="H119" s="16"/>
      <c r="J119" s="33"/>
      <c r="K119" s="13"/>
      <c r="L119" s="22"/>
      <c r="M119" s="22"/>
      <c r="N119" s="22"/>
      <c r="O119" s="22"/>
      <c r="P119" s="16"/>
      <c r="Q119" s="16"/>
    </row>
    <row r="120" spans="1:17">
      <c r="A120" s="20"/>
      <c r="B120" s="13"/>
      <c r="C120" s="22"/>
      <c r="D120" s="22"/>
      <c r="E120" s="22"/>
      <c r="F120" s="16"/>
      <c r="G120" s="16"/>
      <c r="H120" s="16"/>
      <c r="J120" s="20"/>
      <c r="K120" s="13"/>
      <c r="L120" s="22"/>
      <c r="M120" s="22"/>
      <c r="N120" s="22"/>
      <c r="O120" s="16"/>
      <c r="P120" s="16"/>
      <c r="Q120" s="16"/>
    </row>
    <row r="121" spans="1:17">
      <c r="A121" s="20"/>
      <c r="B121" s="13"/>
      <c r="C121" s="22"/>
      <c r="D121" s="22"/>
      <c r="E121" s="22"/>
      <c r="F121" s="16"/>
      <c r="G121" s="16"/>
      <c r="H121" s="16"/>
      <c r="J121" s="20"/>
      <c r="K121" s="13"/>
      <c r="L121" s="22"/>
      <c r="M121" s="22"/>
      <c r="N121" s="22"/>
      <c r="O121" s="16"/>
      <c r="P121" s="16"/>
      <c r="Q121" s="16"/>
    </row>
    <row r="122" spans="1:17">
      <c r="A122" s="525" t="s">
        <v>37</v>
      </c>
      <c r="B122" s="525"/>
      <c r="C122" s="525"/>
      <c r="D122" s="220">
        <f>SUM(D117:D121)</f>
        <v>0</v>
      </c>
      <c r="E122" s="526"/>
      <c r="F122" s="526"/>
      <c r="G122" s="526"/>
      <c r="H122" s="526"/>
      <c r="J122" s="525" t="s">
        <v>37</v>
      </c>
      <c r="K122" s="525"/>
      <c r="L122" s="525"/>
      <c r="M122" s="224">
        <f>SUM(M117:M121)</f>
        <v>0</v>
      </c>
      <c r="N122" s="526"/>
      <c r="O122" s="526"/>
      <c r="P122" s="526"/>
      <c r="Q122" s="526"/>
    </row>
    <row r="123" spans="1:17">
      <c r="A123" s="34" t="s">
        <v>38</v>
      </c>
      <c r="B123" s="35"/>
      <c r="C123" s="220"/>
      <c r="D123" s="220"/>
      <c r="E123" s="221"/>
      <c r="F123" s="221"/>
      <c r="G123" s="526"/>
      <c r="H123" s="526"/>
      <c r="J123" s="34" t="s">
        <v>38</v>
      </c>
      <c r="K123" s="35"/>
      <c r="L123" s="224"/>
      <c r="M123" s="224"/>
      <c r="N123" s="225"/>
      <c r="O123" s="225"/>
      <c r="P123" s="526"/>
      <c r="Q123" s="526"/>
    </row>
    <row r="124" spans="1:17">
      <c r="A124" s="37"/>
      <c r="B124" s="38"/>
      <c r="C124" s="39"/>
      <c r="D124" s="39"/>
      <c r="E124" s="39"/>
      <c r="F124" s="39"/>
      <c r="G124" s="39"/>
      <c r="H124" s="39"/>
      <c r="J124" s="37"/>
      <c r="K124" s="38"/>
      <c r="L124" s="39"/>
      <c r="M124" s="39"/>
      <c r="N124" s="39"/>
      <c r="O124" s="39"/>
      <c r="P124" s="39"/>
      <c r="Q124" s="39"/>
    </row>
    <row r="125" spans="1:17">
      <c r="A125" s="519" t="s">
        <v>13</v>
      </c>
      <c r="B125" s="520"/>
      <c r="C125" s="520"/>
      <c r="D125" s="520"/>
      <c r="E125" s="521"/>
      <c r="F125" s="39"/>
      <c r="G125" s="39"/>
      <c r="H125" s="40"/>
      <c r="J125" s="519" t="s">
        <v>13</v>
      </c>
      <c r="K125" s="520"/>
      <c r="L125" s="520"/>
      <c r="M125" s="520"/>
      <c r="N125" s="521"/>
      <c r="O125" s="39"/>
      <c r="P125" s="39"/>
      <c r="Q125" s="40"/>
    </row>
    <row r="126" spans="1:17">
      <c r="A126" s="41" t="s">
        <v>39</v>
      </c>
      <c r="B126" s="42" t="s">
        <v>40</v>
      </c>
      <c r="C126" s="43" t="s">
        <v>41</v>
      </c>
      <c r="D126" s="43" t="s">
        <v>42</v>
      </c>
      <c r="E126" s="43" t="s">
        <v>43</v>
      </c>
      <c r="F126" s="39"/>
      <c r="G126" s="39"/>
      <c r="H126" s="39"/>
      <c r="J126" s="41" t="s">
        <v>39</v>
      </c>
      <c r="K126" s="42" t="s">
        <v>40</v>
      </c>
      <c r="L126" s="43" t="s">
        <v>41</v>
      </c>
      <c r="M126" s="43" t="s">
        <v>42</v>
      </c>
      <c r="N126" s="43" t="s">
        <v>43</v>
      </c>
      <c r="O126" s="39"/>
      <c r="P126" s="39"/>
      <c r="Q126" s="39"/>
    </row>
    <row r="127" spans="1:17">
      <c r="A127" s="41"/>
      <c r="B127" s="44"/>
      <c r="C127" s="45"/>
      <c r="D127" s="46"/>
      <c r="E127" s="46"/>
      <c r="F127" s="39"/>
      <c r="G127" s="39"/>
      <c r="H127" s="39"/>
      <c r="J127" s="41"/>
      <c r="K127" s="44"/>
      <c r="L127" s="45"/>
      <c r="M127" s="46"/>
      <c r="N127" s="46"/>
      <c r="O127" s="39"/>
      <c r="P127" s="39"/>
      <c r="Q127" s="39"/>
    </row>
    <row r="128" spans="1:17">
      <c r="A128" s="41"/>
      <c r="B128" s="44"/>
      <c r="C128" s="45"/>
      <c r="D128" s="46"/>
      <c r="E128" s="46"/>
      <c r="F128" s="39"/>
      <c r="G128" s="39"/>
      <c r="H128" s="39"/>
      <c r="J128" s="41"/>
      <c r="K128" s="44"/>
      <c r="L128" s="45"/>
      <c r="M128" s="46"/>
      <c r="N128" s="46"/>
      <c r="O128" s="39"/>
      <c r="P128" s="39"/>
      <c r="Q128" s="39"/>
    </row>
    <row r="129" spans="1:17">
      <c r="A129" s="41"/>
      <c r="B129" s="44"/>
      <c r="C129" s="45"/>
      <c r="D129" s="46"/>
      <c r="E129" s="46"/>
      <c r="F129" s="39"/>
      <c r="G129" s="39"/>
      <c r="H129" s="39"/>
      <c r="J129" s="41"/>
      <c r="K129" s="44"/>
      <c r="L129" s="45"/>
      <c r="M129" s="46"/>
      <c r="N129" s="46"/>
      <c r="O129" s="39"/>
      <c r="P129" s="39"/>
      <c r="Q129" s="39"/>
    </row>
    <row r="130" spans="1:17">
      <c r="A130" s="41"/>
      <c r="B130" s="44"/>
      <c r="C130" s="47"/>
      <c r="D130" s="46"/>
      <c r="E130" s="46"/>
      <c r="F130" s="39"/>
      <c r="G130" s="39"/>
      <c r="H130" s="39"/>
      <c r="J130" s="41"/>
      <c r="K130" s="44"/>
      <c r="L130" s="47"/>
      <c r="M130" s="46"/>
      <c r="N130" s="46"/>
      <c r="O130" s="39"/>
      <c r="P130" s="39"/>
      <c r="Q130" s="39"/>
    </row>
    <row r="131" spans="1:17">
      <c r="A131" s="41"/>
      <c r="B131" s="44"/>
      <c r="C131" s="46"/>
      <c r="D131" s="48"/>
      <c r="E131" s="46"/>
      <c r="F131" s="39"/>
      <c r="G131" s="39"/>
      <c r="H131" s="39"/>
      <c r="J131" s="41"/>
      <c r="K131" s="44"/>
      <c r="L131" s="46"/>
      <c r="M131" s="48"/>
      <c r="N131" s="46"/>
      <c r="O131" s="39"/>
      <c r="P131" s="39"/>
      <c r="Q131" s="39"/>
    </row>
    <row r="132" spans="1:17">
      <c r="A132" s="49"/>
      <c r="B132" s="50"/>
      <c r="C132" s="51" t="s">
        <v>44</v>
      </c>
      <c r="D132" s="51">
        <f>SUM(D127:D131)</f>
        <v>0</v>
      </c>
      <c r="E132" s="52"/>
      <c r="F132" s="39"/>
      <c r="G132" s="39"/>
      <c r="H132" s="39"/>
      <c r="J132" s="49"/>
      <c r="K132" s="50"/>
      <c r="L132" s="51" t="s">
        <v>44</v>
      </c>
      <c r="M132" s="51">
        <f>SUM(M127:M131)</f>
        <v>0</v>
      </c>
      <c r="N132" s="52"/>
      <c r="O132" s="39"/>
      <c r="P132" s="39"/>
      <c r="Q132" s="39"/>
    </row>
    <row r="133" spans="1:17">
      <c r="A133" s="53"/>
      <c r="B133" s="54"/>
      <c r="C133" s="55"/>
      <c r="D133" s="116"/>
      <c r="E133" s="3"/>
      <c r="F133" s="39"/>
      <c r="G133" s="39"/>
      <c r="H133" s="39"/>
      <c r="J133" s="53"/>
      <c r="K133" s="54"/>
      <c r="L133" s="55"/>
      <c r="M133" s="116"/>
      <c r="N133" s="3"/>
      <c r="O133" s="39"/>
      <c r="P133" s="39"/>
      <c r="Q133" s="39"/>
    </row>
  </sheetData>
  <mergeCells count="66">
    <mergeCell ref="J116:Q116"/>
    <mergeCell ref="J122:L122"/>
    <mergeCell ref="N122:Q122"/>
    <mergeCell ref="P123:Q123"/>
    <mergeCell ref="J125:N125"/>
    <mergeCell ref="N113:Q113"/>
    <mergeCell ref="J114:L114"/>
    <mergeCell ref="N114:Q114"/>
    <mergeCell ref="J115:L115"/>
    <mergeCell ref="N115:Q115"/>
    <mergeCell ref="J82:Q82"/>
    <mergeCell ref="N87:Q87"/>
    <mergeCell ref="J88:Q88"/>
    <mergeCell ref="N101:Q101"/>
    <mergeCell ref="J102:Q102"/>
    <mergeCell ref="N58:Q58"/>
    <mergeCell ref="J59:Q59"/>
    <mergeCell ref="N64:Q64"/>
    <mergeCell ref="J65:Q65"/>
    <mergeCell ref="N81:Q81"/>
    <mergeCell ref="J31:M31"/>
    <mergeCell ref="N31:Q31"/>
    <mergeCell ref="J32:Q32"/>
    <mergeCell ref="N49:Q49"/>
    <mergeCell ref="J50:Q50"/>
    <mergeCell ref="J3:Q3"/>
    <mergeCell ref="J12:P12"/>
    <mergeCell ref="J13:Q13"/>
    <mergeCell ref="J14:J15"/>
    <mergeCell ref="K14:K15"/>
    <mergeCell ref="L14:L15"/>
    <mergeCell ref="M14:M15"/>
    <mergeCell ref="N14:Q14"/>
    <mergeCell ref="A3:H3"/>
    <mergeCell ref="A12:G12"/>
    <mergeCell ref="A13:H13"/>
    <mergeCell ref="A14:A15"/>
    <mergeCell ref="B14:B15"/>
    <mergeCell ref="C14:C15"/>
    <mergeCell ref="D14:D15"/>
    <mergeCell ref="E14:H14"/>
    <mergeCell ref="E87:H87"/>
    <mergeCell ref="A31:D31"/>
    <mergeCell ref="E31:H31"/>
    <mergeCell ref="A32:H32"/>
    <mergeCell ref="E49:H49"/>
    <mergeCell ref="A50:H50"/>
    <mergeCell ref="E58:H58"/>
    <mergeCell ref="A59:H59"/>
    <mergeCell ref="E64:H64"/>
    <mergeCell ref="A65:H65"/>
    <mergeCell ref="E81:H81"/>
    <mergeCell ref="A82:H82"/>
    <mergeCell ref="A88:H88"/>
    <mergeCell ref="E101:H101"/>
    <mergeCell ref="A102:H102"/>
    <mergeCell ref="E113:H113"/>
    <mergeCell ref="A114:C114"/>
    <mergeCell ref="E114:H114"/>
    <mergeCell ref="A125:E125"/>
    <mergeCell ref="A115:C115"/>
    <mergeCell ref="E115:H115"/>
    <mergeCell ref="A116:H116"/>
    <mergeCell ref="A122:C122"/>
    <mergeCell ref="E122:H122"/>
    <mergeCell ref="G123:H123"/>
  </mergeCells>
  <pageMargins left="0.11811023622047245" right="0.11811023622047245" top="0.11811023622047245" bottom="0.11811023622047245" header="0.12" footer="0.11811023622047245"/>
  <pageSetup paperSize="9" scale="70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30"/>
  <sheetViews>
    <sheetView workbookViewId="0"/>
  </sheetViews>
  <sheetFormatPr defaultRowHeight="15"/>
  <cols>
    <col min="1" max="1" width="42.140625" bestFit="1" customWidth="1"/>
    <col min="2" max="2" width="11.5703125" bestFit="1" customWidth="1"/>
    <col min="3" max="3" width="25" bestFit="1" customWidth="1"/>
    <col min="4" max="4" width="10.5703125" bestFit="1" customWidth="1"/>
    <col min="5" max="5" width="78" bestFit="1" customWidth="1"/>
    <col min="6" max="6" width="10.5703125" bestFit="1" customWidth="1"/>
    <col min="7" max="7" width="59.85546875" bestFit="1" customWidth="1"/>
    <col min="8" max="8" width="12.5703125" bestFit="1" customWidth="1"/>
    <col min="12" max="12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84" customFormat="1">
      <c r="A2" s="23" t="s">
        <v>573</v>
      </c>
      <c r="B2" s="23">
        <v>155000</v>
      </c>
      <c r="C2" s="24" t="s">
        <v>572</v>
      </c>
      <c r="D2" s="23">
        <v>115000</v>
      </c>
      <c r="E2" s="15" t="s">
        <v>578</v>
      </c>
      <c r="F2" s="22">
        <v>1330000</v>
      </c>
      <c r="G2" s="14" t="s">
        <v>566</v>
      </c>
      <c r="H2" s="15">
        <v>1300000</v>
      </c>
      <c r="I2" s="77"/>
      <c r="J2" s="30"/>
    </row>
    <row r="3" spans="1:10" s="184" customFormat="1">
      <c r="A3" s="24" t="s">
        <v>570</v>
      </c>
      <c r="B3" s="23">
        <v>23000000</v>
      </c>
      <c r="C3" s="24" t="s">
        <v>150</v>
      </c>
      <c r="D3" s="23">
        <v>150000</v>
      </c>
      <c r="E3" s="15" t="s">
        <v>581</v>
      </c>
      <c r="F3" s="23">
        <v>1060000</v>
      </c>
      <c r="G3" s="14" t="s">
        <v>567</v>
      </c>
      <c r="H3" s="15">
        <v>100000</v>
      </c>
      <c r="I3" s="183"/>
      <c r="J3" s="30"/>
    </row>
    <row r="4" spans="1:10" s="184" customFormat="1">
      <c r="A4" s="24" t="s">
        <v>564</v>
      </c>
      <c r="B4" s="23">
        <v>5365000</v>
      </c>
      <c r="C4" s="183" t="s">
        <v>574</v>
      </c>
      <c r="D4" s="30">
        <v>5000</v>
      </c>
      <c r="E4" s="15" t="s">
        <v>582</v>
      </c>
      <c r="F4" s="23">
        <v>45000</v>
      </c>
      <c r="G4" s="15" t="s">
        <v>576</v>
      </c>
      <c r="H4" s="23">
        <v>150000</v>
      </c>
      <c r="I4" s="183"/>
      <c r="J4" s="30"/>
    </row>
    <row r="5" spans="1:10" s="184" customFormat="1">
      <c r="A5" s="24" t="s">
        <v>263</v>
      </c>
      <c r="B5" s="23">
        <v>1540000</v>
      </c>
      <c r="C5" s="30" t="s">
        <v>410</v>
      </c>
      <c r="D5" s="185">
        <v>900000</v>
      </c>
      <c r="E5" s="23"/>
      <c r="F5" s="23"/>
      <c r="G5" s="183" t="s">
        <v>575</v>
      </c>
      <c r="H5" s="23">
        <v>300000</v>
      </c>
      <c r="I5" s="183"/>
      <c r="J5" s="183"/>
    </row>
    <row r="6" spans="1:10" s="187" customFormat="1">
      <c r="A6" s="24" t="s">
        <v>596</v>
      </c>
      <c r="B6" s="23">
        <v>300000</v>
      </c>
      <c r="C6" s="186"/>
      <c r="D6" s="185"/>
      <c r="E6" s="183"/>
      <c r="F6" s="30"/>
      <c r="G6" s="15" t="s">
        <v>592</v>
      </c>
      <c r="H6" s="23">
        <v>1500000</v>
      </c>
      <c r="I6" s="183"/>
      <c r="J6" s="183"/>
    </row>
    <row r="7" spans="1:10" s="187" customFormat="1">
      <c r="A7" s="22" t="s">
        <v>565</v>
      </c>
      <c r="B7" s="22">
        <v>1500000</v>
      </c>
      <c r="C7" s="30"/>
      <c r="D7" s="188"/>
      <c r="E7" s="183"/>
      <c r="F7" s="30"/>
      <c r="G7" s="15" t="s">
        <v>593</v>
      </c>
      <c r="H7" s="23">
        <v>340000</v>
      </c>
      <c r="I7" s="183"/>
      <c r="J7" s="183"/>
    </row>
    <row r="8" spans="1:10" s="187" customFormat="1">
      <c r="A8" s="22"/>
      <c r="B8" s="22"/>
      <c r="C8" s="30"/>
      <c r="D8" s="188"/>
      <c r="E8" s="30"/>
      <c r="F8" s="188"/>
      <c r="G8" s="23" t="s">
        <v>542</v>
      </c>
      <c r="H8" s="23">
        <v>30000000</v>
      </c>
      <c r="I8" s="30"/>
      <c r="J8" s="188"/>
    </row>
    <row r="9" spans="1:10" s="187" customFormat="1" hidden="1">
      <c r="A9" s="22"/>
      <c r="B9" s="29"/>
      <c r="C9" s="30"/>
      <c r="D9" s="188"/>
      <c r="E9" s="185"/>
      <c r="F9" s="189"/>
      <c r="G9" s="23" t="s">
        <v>499</v>
      </c>
      <c r="H9" s="23">
        <v>720000</v>
      </c>
      <c r="I9" s="30"/>
      <c r="J9" s="188"/>
    </row>
    <row r="10" spans="1:10" s="187" customFormat="1" hidden="1">
      <c r="A10" s="22"/>
      <c r="B10" s="29"/>
      <c r="C10" s="190"/>
      <c r="D10" s="190"/>
      <c r="E10" s="185"/>
      <c r="F10" s="189"/>
      <c r="G10" s="23" t="s">
        <v>585</v>
      </c>
      <c r="H10" s="23">
        <v>70200000</v>
      </c>
      <c r="I10" s="30"/>
      <c r="J10" s="188"/>
    </row>
    <row r="11" spans="1:10" s="187" customFormat="1" hidden="1">
      <c r="A11" s="23"/>
      <c r="B11" s="23"/>
      <c r="C11" s="190"/>
      <c r="D11" s="190"/>
      <c r="E11" s="185"/>
      <c r="F11" s="189"/>
      <c r="G11" s="23" t="s">
        <v>587</v>
      </c>
      <c r="H11" s="23"/>
      <c r="I11" s="30"/>
      <c r="J11" s="188"/>
    </row>
    <row r="12" spans="1:10" s="187" customFormat="1" hidden="1">
      <c r="A12" s="186"/>
      <c r="B12" s="185"/>
      <c r="C12" s="190"/>
      <c r="D12" s="190"/>
      <c r="E12" s="185"/>
      <c r="F12" s="189"/>
      <c r="G12" s="24"/>
      <c r="H12" s="23"/>
      <c r="I12" s="30"/>
      <c r="J12" s="188"/>
    </row>
    <row r="13" spans="1:10" s="187" customFormat="1" hidden="1">
      <c r="A13" s="186"/>
      <c r="B13" s="185"/>
      <c r="C13" s="190"/>
      <c r="D13" s="190"/>
      <c r="E13" s="185"/>
      <c r="F13" s="189"/>
      <c r="G13" s="23"/>
      <c r="H13" s="23"/>
      <c r="I13" s="191"/>
      <c r="J13" s="192"/>
    </row>
    <row r="14" spans="1:10" s="187" customFormat="1" hidden="1">
      <c r="A14" s="193"/>
      <c r="B14" s="194"/>
      <c r="C14" s="194"/>
      <c r="D14" s="194"/>
      <c r="E14" s="194"/>
      <c r="F14" s="194"/>
      <c r="G14" s="23"/>
      <c r="H14" s="23"/>
      <c r="I14" s="193"/>
      <c r="J14" s="194"/>
    </row>
    <row r="15" spans="1:10" s="187" customFormat="1" hidden="1">
      <c r="A15" s="193"/>
      <c r="B15" s="194"/>
      <c r="C15" s="194"/>
      <c r="D15" s="194"/>
      <c r="E15" s="194"/>
      <c r="F15" s="194"/>
      <c r="G15" s="23"/>
      <c r="H15" s="23"/>
      <c r="I15" s="193"/>
      <c r="J15" s="194"/>
    </row>
    <row r="16" spans="1:10" s="187" customFormat="1" hidden="1">
      <c r="A16" s="193"/>
      <c r="B16" s="194"/>
      <c r="C16" s="194"/>
      <c r="D16" s="194"/>
      <c r="E16" s="194"/>
      <c r="F16" s="194"/>
      <c r="G16" s="22"/>
      <c r="H16" s="22"/>
      <c r="I16" s="193"/>
      <c r="J16" s="194"/>
    </row>
    <row r="17" spans="1:12" s="187" customFormat="1" hidden="1">
      <c r="A17" s="193"/>
      <c r="B17" s="194"/>
      <c r="C17" s="194"/>
      <c r="D17" s="194"/>
      <c r="E17" s="194"/>
      <c r="F17" s="194"/>
      <c r="G17" s="15"/>
      <c r="H17" s="23"/>
      <c r="I17" s="193"/>
      <c r="J17" s="194"/>
    </row>
    <row r="18" spans="1:12" s="187" customFormat="1" hidden="1">
      <c r="A18" s="193"/>
      <c r="B18" s="194"/>
      <c r="C18" s="194"/>
      <c r="D18" s="194"/>
      <c r="E18" s="194"/>
      <c r="F18" s="194"/>
      <c r="G18" s="22"/>
      <c r="H18" s="22"/>
      <c r="I18" s="193"/>
      <c r="J18" s="194"/>
    </row>
    <row r="19" spans="1:12" s="187" customFormat="1" hidden="1">
      <c r="A19" s="193"/>
      <c r="B19" s="194"/>
      <c r="C19" s="194"/>
      <c r="D19" s="194"/>
      <c r="E19" s="194"/>
      <c r="F19" s="194"/>
      <c r="G19" s="24"/>
      <c r="H19" s="23"/>
      <c r="I19" s="193"/>
      <c r="J19" s="194"/>
    </row>
    <row r="20" spans="1:12" s="187" customFormat="1" hidden="1">
      <c r="A20" s="193"/>
      <c r="B20" s="194"/>
      <c r="C20" s="194"/>
      <c r="D20" s="194"/>
      <c r="E20" s="194"/>
      <c r="F20" s="194"/>
      <c r="G20" s="186"/>
      <c r="H20" s="185"/>
      <c r="I20" s="193"/>
      <c r="J20" s="194"/>
    </row>
    <row r="21" spans="1:12" s="187" customFormat="1" hidden="1">
      <c r="A21" s="193"/>
      <c r="B21" s="194"/>
      <c r="C21" s="194"/>
      <c r="D21" s="194"/>
      <c r="E21" s="194"/>
      <c r="F21" s="194"/>
      <c r="G21" s="186"/>
      <c r="H21" s="185"/>
      <c r="I21" s="193"/>
      <c r="J21" s="194"/>
    </row>
    <row r="22" spans="1:12" s="187" customFormat="1" hidden="1">
      <c r="A22" s="193"/>
      <c r="B22" s="194"/>
      <c r="C22" s="194"/>
      <c r="D22" s="194"/>
      <c r="E22" s="194"/>
      <c r="F22" s="194"/>
      <c r="G22" s="196"/>
      <c r="H22" s="196"/>
      <c r="I22" s="193"/>
      <c r="J22" s="194"/>
    </row>
    <row r="23" spans="1:12" s="187" customFormat="1" hidden="1">
      <c r="A23" s="193"/>
      <c r="B23" s="194"/>
      <c r="C23" s="194"/>
      <c r="D23" s="194"/>
      <c r="E23" s="194"/>
      <c r="F23" s="194"/>
      <c r="G23" s="196"/>
      <c r="H23" s="196"/>
      <c r="I23" s="193"/>
      <c r="J23" s="194"/>
    </row>
    <row r="24" spans="1:12" s="187" customFormat="1" hidden="1">
      <c r="A24" s="193"/>
      <c r="B24" s="194"/>
      <c r="C24" s="194"/>
      <c r="D24" s="194"/>
      <c r="E24" s="194"/>
      <c r="F24" s="194"/>
      <c r="G24" s="196"/>
      <c r="H24" s="196"/>
      <c r="I24" s="193"/>
      <c r="J24" s="194"/>
    </row>
    <row r="25" spans="1:12" s="187" customFormat="1" hidden="1">
      <c r="A25" s="193"/>
      <c r="B25" s="194"/>
      <c r="C25" s="194"/>
      <c r="D25" s="194"/>
      <c r="E25" s="194"/>
      <c r="F25" s="194"/>
      <c r="G25" s="196"/>
      <c r="H25" s="196"/>
      <c r="I25" s="193"/>
      <c r="J25" s="194"/>
    </row>
    <row r="26" spans="1:12" s="187" customFormat="1" hidden="1">
      <c r="A26" s="193"/>
      <c r="B26" s="194"/>
      <c r="C26" s="194"/>
      <c r="D26" s="194"/>
      <c r="E26" s="194"/>
      <c r="F26" s="194"/>
      <c r="G26" s="196"/>
      <c r="H26" s="196"/>
      <c r="I26" s="193"/>
      <c r="J26" s="194"/>
    </row>
    <row r="27" spans="1:12" hidden="1">
      <c r="A27" s="68"/>
      <c r="B27" s="69"/>
      <c r="C27" s="69"/>
      <c r="D27" s="69"/>
      <c r="E27" s="69"/>
      <c r="F27" s="69"/>
      <c r="G27" s="119"/>
      <c r="H27" s="120"/>
      <c r="I27" s="68"/>
      <c r="J27" s="69"/>
    </row>
    <row r="28" spans="1:12">
      <c r="A28" s="70"/>
      <c r="B28" s="71">
        <f>SUM(B2:B26)</f>
        <v>31860000</v>
      </c>
      <c r="C28" s="71">
        <f t="shared" ref="C28:J28" si="0">SUM(C2:C26)</f>
        <v>0</v>
      </c>
      <c r="D28" s="71">
        <f t="shared" si="0"/>
        <v>1170000</v>
      </c>
      <c r="E28" s="71">
        <f t="shared" si="0"/>
        <v>0</v>
      </c>
      <c r="F28" s="71">
        <f t="shared" si="0"/>
        <v>2435000</v>
      </c>
      <c r="G28" s="71">
        <f t="shared" si="0"/>
        <v>0</v>
      </c>
      <c r="H28" s="71">
        <f>SUM(H2:H26)</f>
        <v>104610000</v>
      </c>
      <c r="I28" s="71">
        <f t="shared" si="0"/>
        <v>0</v>
      </c>
      <c r="J28" s="71">
        <f t="shared" si="0"/>
        <v>0</v>
      </c>
      <c r="K28" s="72"/>
      <c r="L28" s="72">
        <f>SUM(B28:K28)</f>
        <v>140075000</v>
      </c>
    </row>
    <row r="29" spans="1:12">
      <c r="B29" s="77"/>
      <c r="C29" t="s">
        <v>317</v>
      </c>
      <c r="D29" s="77">
        <v>100000</v>
      </c>
      <c r="E29" s="77"/>
      <c r="F29" s="77"/>
      <c r="L29" s="72">
        <f>L28-Sheet20!N115</f>
        <v>5000</v>
      </c>
    </row>
    <row r="30" spans="1:12">
      <c r="D30" s="72">
        <f>D28-D29</f>
        <v>1070000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U134"/>
  <sheetViews>
    <sheetView workbookViewId="0"/>
  </sheetViews>
  <sheetFormatPr defaultRowHeight="15"/>
  <cols>
    <col min="1" max="1" width="7" customWidth="1"/>
    <col min="2" max="2" width="8.5703125" customWidth="1"/>
    <col min="3" max="3" width="71.85546875" customWidth="1"/>
    <col min="4" max="4" width="12.140625" customWidth="1"/>
    <col min="5" max="5" width="5.7109375" customWidth="1"/>
    <col min="6" max="6" width="6.5703125" customWidth="1"/>
    <col min="7" max="7" width="8" customWidth="1"/>
    <col min="8" max="8" width="12.5703125" customWidth="1"/>
    <col min="12" max="12" width="81.5703125" bestFit="1" customWidth="1"/>
    <col min="13" max="13" width="12" bestFit="1" customWidth="1"/>
    <col min="14" max="14" width="10" bestFit="1" customWidth="1"/>
    <col min="17" max="17" width="10" bestFit="1" customWidth="1"/>
    <col min="19" max="19" width="12.57031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638</v>
      </c>
      <c r="B2" s="2"/>
      <c r="C2" s="3"/>
      <c r="D2" s="3"/>
      <c r="E2" s="3"/>
      <c r="F2" s="3"/>
      <c r="G2" s="3"/>
      <c r="H2" s="3"/>
      <c r="J2" s="1" t="s">
        <v>638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0</v>
      </c>
      <c r="E4" s="6"/>
      <c r="F4" s="6"/>
      <c r="G4" s="6"/>
      <c r="H4" s="6"/>
      <c r="J4" s="4"/>
      <c r="K4" s="5"/>
      <c r="L4" s="6" t="s">
        <v>2</v>
      </c>
      <c r="M4" s="7">
        <v>0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/>
      <c r="E5" s="6"/>
      <c r="F5" s="6"/>
      <c r="G5" s="6"/>
      <c r="H5" s="6"/>
      <c r="J5" s="4"/>
      <c r="K5" s="5"/>
      <c r="L5" s="6" t="s">
        <v>590</v>
      </c>
      <c r="M5" s="7"/>
      <c r="N5" s="6"/>
      <c r="O5" s="6"/>
      <c r="P5" s="6"/>
      <c r="Q5" s="6"/>
    </row>
    <row r="6" spans="1:17">
      <c r="A6" s="4"/>
      <c r="B6" s="5"/>
      <c r="C6" s="6" t="s">
        <v>3</v>
      </c>
      <c r="D6" s="8">
        <v>290765</v>
      </c>
      <c r="E6" s="6"/>
      <c r="F6" s="6"/>
      <c r="G6" s="6"/>
      <c r="H6" s="6"/>
      <c r="J6" s="4"/>
      <c r="K6" s="5"/>
      <c r="L6" s="6" t="s">
        <v>3</v>
      </c>
      <c r="M6" s="8">
        <v>290765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1189810.5900000334</v>
      </c>
      <c r="E7" s="6"/>
      <c r="F7" s="6"/>
      <c r="G7" s="6"/>
      <c r="H7" s="6"/>
      <c r="J7" s="4"/>
      <c r="K7" s="5"/>
      <c r="L7" s="6" t="s">
        <v>4</v>
      </c>
      <c r="M7" s="115">
        <v>1189810.5900000334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/>
      <c r="E10" s="6"/>
      <c r="F10" s="6"/>
      <c r="G10" s="6"/>
      <c r="H10" s="6"/>
      <c r="J10" s="4"/>
      <c r="K10" s="5"/>
      <c r="L10" s="6" t="s">
        <v>7</v>
      </c>
      <c r="M10" s="6"/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639</v>
      </c>
      <c r="B12" s="532"/>
      <c r="C12" s="532"/>
      <c r="D12" s="532"/>
      <c r="E12" s="532"/>
      <c r="F12" s="532"/>
      <c r="G12" s="533"/>
      <c r="H12" s="10">
        <f>SUM(D4:D10)</f>
        <v>5924464.1033333614</v>
      </c>
      <c r="J12" s="531" t="s">
        <v>639</v>
      </c>
      <c r="K12" s="532"/>
      <c r="L12" s="532"/>
      <c r="M12" s="532"/>
      <c r="N12" s="532"/>
      <c r="O12" s="532"/>
      <c r="P12" s="533"/>
      <c r="Q12" s="10">
        <f>SUM(M4:M10)</f>
        <v>5924464.1033333614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232" t="s">
        <v>14</v>
      </c>
      <c r="F15" s="232" t="s">
        <v>15</v>
      </c>
      <c r="G15" s="232" t="s">
        <v>16</v>
      </c>
      <c r="H15" s="232" t="s">
        <v>17</v>
      </c>
      <c r="J15" s="536"/>
      <c r="K15" s="537"/>
      <c r="L15" s="538"/>
      <c r="M15" s="538"/>
      <c r="N15" s="238" t="s">
        <v>14</v>
      </c>
      <c r="O15" s="238" t="s">
        <v>15</v>
      </c>
      <c r="P15" s="238" t="s">
        <v>16</v>
      </c>
      <c r="Q15" s="238" t="s">
        <v>17</v>
      </c>
    </row>
    <row r="16" spans="1:17">
      <c r="A16" s="12"/>
      <c r="B16" s="19" t="s">
        <v>597</v>
      </c>
      <c r="C16" s="14" t="s">
        <v>598</v>
      </c>
      <c r="D16" s="77">
        <v>189990</v>
      </c>
      <c r="E16" s="168"/>
      <c r="F16" s="168"/>
      <c r="G16" s="168"/>
      <c r="H16" s="168"/>
      <c r="J16" s="12">
        <v>46129</v>
      </c>
      <c r="K16" s="19" t="s">
        <v>597</v>
      </c>
      <c r="L16" s="14" t="s">
        <v>598</v>
      </c>
      <c r="M16" s="77">
        <v>189990</v>
      </c>
      <c r="N16" s="168"/>
      <c r="O16" s="168"/>
      <c r="P16" s="168"/>
      <c r="Q16" s="168"/>
    </row>
    <row r="17" spans="1:17">
      <c r="A17" s="12"/>
      <c r="B17" s="19" t="s">
        <v>597</v>
      </c>
      <c r="C17" s="14" t="s">
        <v>223</v>
      </c>
      <c r="D17" s="167">
        <v>300000</v>
      </c>
      <c r="E17" s="16"/>
      <c r="F17" s="16"/>
      <c r="G17" s="16"/>
      <c r="H17" s="16"/>
      <c r="J17" s="12">
        <v>46129</v>
      </c>
      <c r="K17" s="19" t="s">
        <v>597</v>
      </c>
      <c r="L17" s="14" t="s">
        <v>223</v>
      </c>
      <c r="M17" s="167">
        <v>300000</v>
      </c>
      <c r="N17" s="16"/>
      <c r="O17" s="16"/>
      <c r="P17" s="16"/>
      <c r="Q17" s="16"/>
    </row>
    <row r="18" spans="1:17">
      <c r="A18" s="12"/>
      <c r="B18" s="19" t="s">
        <v>597</v>
      </c>
      <c r="C18" s="14" t="s">
        <v>494</v>
      </c>
      <c r="D18" s="15">
        <v>32000</v>
      </c>
      <c r="E18" s="16"/>
      <c r="F18" s="16"/>
      <c r="G18" s="16"/>
      <c r="H18" s="16"/>
      <c r="J18" s="12">
        <v>46129</v>
      </c>
      <c r="K18" s="19" t="s">
        <v>597</v>
      </c>
      <c r="L18" s="14" t="s">
        <v>494</v>
      </c>
      <c r="M18" s="15">
        <v>32000</v>
      </c>
      <c r="N18" s="16"/>
      <c r="O18" s="16"/>
      <c r="P18" s="16"/>
      <c r="Q18" s="16"/>
    </row>
    <row r="19" spans="1:17">
      <c r="A19" s="12"/>
      <c r="B19" s="19" t="s">
        <v>597</v>
      </c>
      <c r="C19" s="14" t="s">
        <v>599</v>
      </c>
      <c r="D19" s="15">
        <v>20000</v>
      </c>
      <c r="E19" s="16"/>
      <c r="F19" s="16"/>
      <c r="G19" s="16"/>
      <c r="H19" s="16"/>
      <c r="J19" s="12">
        <v>46129</v>
      </c>
      <c r="K19" s="19" t="s">
        <v>597</v>
      </c>
      <c r="L19" s="14" t="s">
        <v>599</v>
      </c>
      <c r="M19" s="15">
        <v>20000</v>
      </c>
      <c r="N19" s="16"/>
      <c r="O19" s="16"/>
      <c r="P19" s="16"/>
      <c r="Q19" s="16"/>
    </row>
    <row r="20" spans="1:17">
      <c r="A20" s="12"/>
      <c r="B20" s="19"/>
      <c r="C20" s="14"/>
      <c r="D20" s="15"/>
      <c r="E20" s="16"/>
      <c r="F20" s="16"/>
      <c r="G20" s="16"/>
      <c r="H20" s="16"/>
      <c r="J20" s="12"/>
      <c r="K20" s="19"/>
      <c r="L20" s="14"/>
      <c r="M20" s="15"/>
      <c r="N20" s="16"/>
      <c r="O20" s="16"/>
      <c r="P20" s="16"/>
      <c r="Q20" s="16"/>
    </row>
    <row r="21" spans="1:17" hidden="1">
      <c r="A21" s="12"/>
      <c r="B21" s="19"/>
      <c r="C21" s="14"/>
      <c r="D21" s="15"/>
      <c r="E21" s="16"/>
      <c r="F21" s="16"/>
      <c r="G21" s="16"/>
      <c r="H21" s="16"/>
      <c r="J21" s="12"/>
      <c r="K21" s="19"/>
      <c r="L21" s="14"/>
      <c r="M21" s="15"/>
      <c r="N21" s="16"/>
      <c r="O21" s="16"/>
      <c r="P21" s="16"/>
      <c r="Q21" s="16"/>
    </row>
    <row r="22" spans="1:17" hidden="1">
      <c r="A22" s="12"/>
      <c r="B22" s="19"/>
      <c r="C22" s="14"/>
      <c r="D22" s="15"/>
      <c r="E22" s="16"/>
      <c r="F22" s="16"/>
      <c r="G22" s="16"/>
      <c r="H22" s="16"/>
      <c r="J22" s="12"/>
      <c r="K22" s="19"/>
      <c r="L22" s="14"/>
      <c r="M22" s="15"/>
      <c r="N22" s="16"/>
      <c r="O22" s="16"/>
      <c r="P22" s="16"/>
      <c r="Q22" s="16"/>
    </row>
    <row r="23" spans="1:17" hidden="1">
      <c r="A23" s="12"/>
      <c r="B23" s="19"/>
      <c r="C23" s="14"/>
      <c r="D23" s="15"/>
      <c r="E23" s="16"/>
      <c r="F23" s="16"/>
      <c r="G23" s="16"/>
      <c r="H23" s="16"/>
      <c r="J23" s="12"/>
      <c r="K23" s="19"/>
      <c r="L23" s="14"/>
      <c r="M23" s="15"/>
      <c r="N23" s="16"/>
      <c r="O23" s="16"/>
      <c r="P23" s="16"/>
      <c r="Q23" s="16"/>
    </row>
    <row r="24" spans="1:17" hidden="1">
      <c r="A24" s="12"/>
      <c r="B24" s="19"/>
      <c r="C24" s="14"/>
      <c r="D24" s="15"/>
      <c r="E24" s="16"/>
      <c r="F24" s="16"/>
      <c r="G24" s="16"/>
      <c r="H24" s="16"/>
      <c r="J24" s="12"/>
      <c r="K24" s="19"/>
      <c r="L24" s="14"/>
      <c r="M24" s="15"/>
      <c r="N24" s="16"/>
      <c r="O24" s="16"/>
      <c r="P24" s="16"/>
      <c r="Q24" s="16"/>
    </row>
    <row r="25" spans="1:17" hidden="1">
      <c r="A25" s="12"/>
      <c r="B25" s="19"/>
      <c r="C25" s="14"/>
      <c r="D25" s="15"/>
      <c r="E25" s="16"/>
      <c r="F25" s="16"/>
      <c r="G25" s="16"/>
      <c r="H25" s="16"/>
      <c r="J25" s="12"/>
      <c r="K25" s="19"/>
      <c r="L25" s="14"/>
      <c r="M25" s="15"/>
      <c r="N25" s="16"/>
      <c r="O25" s="16"/>
      <c r="P25" s="16"/>
      <c r="Q25" s="16"/>
    </row>
    <row r="26" spans="1:17" hidden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7" hidden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7" hidden="1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232" t="s">
        <v>20</v>
      </c>
      <c r="D29" s="10">
        <f>SUM(D16:D26)</f>
        <v>541990</v>
      </c>
      <c r="E29" s="10"/>
      <c r="F29" s="10"/>
      <c r="G29" s="10"/>
      <c r="H29" s="10"/>
      <c r="J29" s="18"/>
      <c r="K29" s="19"/>
      <c r="L29" s="238" t="s">
        <v>20</v>
      </c>
      <c r="M29" s="10">
        <f>SUM(M16:M26)</f>
        <v>541990</v>
      </c>
      <c r="N29" s="10"/>
      <c r="O29" s="10"/>
      <c r="P29" s="10"/>
      <c r="Q29" s="10"/>
    </row>
    <row r="30" spans="1:17">
      <c r="A30" s="20"/>
      <c r="B30" s="233"/>
      <c r="C30" s="152" t="s">
        <v>21</v>
      </c>
      <c r="D30" s="150"/>
      <c r="E30" s="150"/>
      <c r="F30" s="150"/>
      <c r="G30" s="151"/>
      <c r="H30" s="21">
        <f>+D29</f>
        <v>541990</v>
      </c>
      <c r="J30" s="20"/>
      <c r="K30" s="236"/>
      <c r="L30" s="152" t="s">
        <v>21</v>
      </c>
      <c r="M30" s="150"/>
      <c r="N30" s="150"/>
      <c r="O30" s="150"/>
      <c r="P30" s="151"/>
      <c r="Q30" s="21">
        <f>+M29</f>
        <v>541990</v>
      </c>
    </row>
    <row r="31" spans="1:17">
      <c r="A31" s="526" t="s">
        <v>22</v>
      </c>
      <c r="B31" s="526"/>
      <c r="C31" s="526"/>
      <c r="D31" s="526"/>
      <c r="E31" s="526">
        <f>+H30</f>
        <v>541990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541990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7">
      <c r="A33" s="12"/>
      <c r="B33" s="13" t="s">
        <v>600</v>
      </c>
      <c r="C33" s="15" t="s">
        <v>605</v>
      </c>
      <c r="D33" s="22">
        <v>150000</v>
      </c>
      <c r="E33" s="22"/>
      <c r="F33" s="22"/>
      <c r="G33" s="16"/>
      <c r="H33" s="16"/>
      <c r="J33" s="12">
        <v>46129</v>
      </c>
      <c r="K33" s="13" t="s">
        <v>600</v>
      </c>
      <c r="L33" s="15" t="s">
        <v>605</v>
      </c>
      <c r="M33" s="22">
        <v>150000</v>
      </c>
      <c r="N33" s="22"/>
      <c r="O33" s="22"/>
      <c r="P33" s="16"/>
      <c r="Q33" s="16"/>
    </row>
    <row r="34" spans="1:17">
      <c r="A34" s="12"/>
      <c r="B34" s="13" t="s">
        <v>600</v>
      </c>
      <c r="C34" s="15" t="s">
        <v>601</v>
      </c>
      <c r="D34" s="22">
        <v>150000</v>
      </c>
      <c r="E34" s="22"/>
      <c r="F34" s="22"/>
      <c r="G34" s="16"/>
      <c r="H34" s="16"/>
      <c r="J34" s="12">
        <v>46129</v>
      </c>
      <c r="K34" s="13" t="s">
        <v>600</v>
      </c>
      <c r="L34" s="15" t="s">
        <v>601</v>
      </c>
      <c r="M34" s="22">
        <v>150000</v>
      </c>
      <c r="N34" s="22"/>
      <c r="O34" s="22"/>
      <c r="P34" s="16"/>
      <c r="Q34" s="16"/>
    </row>
    <row r="35" spans="1:17">
      <c r="A35" s="12"/>
      <c r="B35" s="13" t="s">
        <v>602</v>
      </c>
      <c r="C35" s="15" t="s">
        <v>603</v>
      </c>
      <c r="D35" s="23">
        <v>200000</v>
      </c>
      <c r="E35" s="22"/>
      <c r="F35" s="22"/>
      <c r="G35" s="16"/>
      <c r="H35" s="16"/>
      <c r="J35" s="12">
        <v>46129</v>
      </c>
      <c r="K35" s="13" t="s">
        <v>602</v>
      </c>
      <c r="L35" s="15" t="s">
        <v>603</v>
      </c>
      <c r="M35" s="23">
        <v>200000</v>
      </c>
      <c r="N35" s="22"/>
      <c r="O35" s="22"/>
      <c r="P35" s="16"/>
      <c r="Q35" s="16"/>
    </row>
    <row r="36" spans="1:17">
      <c r="A36" s="12"/>
      <c r="B36" s="13" t="s">
        <v>604</v>
      </c>
      <c r="C36" s="15" t="s">
        <v>606</v>
      </c>
      <c r="D36" s="23">
        <v>200000</v>
      </c>
      <c r="E36" s="22"/>
      <c r="F36" s="22"/>
      <c r="G36" s="16"/>
      <c r="H36" s="16"/>
      <c r="J36" s="12">
        <v>46129</v>
      </c>
      <c r="K36" s="13" t="s">
        <v>604</v>
      </c>
      <c r="L36" s="15" t="s">
        <v>606</v>
      </c>
      <c r="M36" s="23">
        <v>200000</v>
      </c>
      <c r="N36" s="22"/>
      <c r="O36" s="22"/>
      <c r="P36" s="16"/>
      <c r="Q36" s="16"/>
    </row>
    <row r="37" spans="1:17" ht="15.75" customHeight="1">
      <c r="A37" s="12"/>
      <c r="B37" s="13" t="s">
        <v>607</v>
      </c>
      <c r="C37" s="15" t="s">
        <v>608</v>
      </c>
      <c r="D37" s="23">
        <v>1393000</v>
      </c>
      <c r="E37" s="22"/>
      <c r="F37" s="22"/>
      <c r="G37" s="16"/>
      <c r="H37" s="16"/>
      <c r="J37" s="12">
        <v>46129</v>
      </c>
      <c r="K37" s="13" t="s">
        <v>641</v>
      </c>
      <c r="L37" s="15" t="s">
        <v>642</v>
      </c>
      <c r="M37" s="23">
        <v>720000</v>
      </c>
      <c r="N37" s="22"/>
      <c r="O37" s="22"/>
      <c r="P37" s="16"/>
      <c r="Q37" s="16"/>
    </row>
    <row r="38" spans="1:17">
      <c r="A38" s="12"/>
      <c r="B38" s="13" t="s">
        <v>610</v>
      </c>
      <c r="C38" s="15" t="s">
        <v>609</v>
      </c>
      <c r="D38" s="23">
        <v>649000</v>
      </c>
      <c r="E38" s="22"/>
      <c r="F38" s="22"/>
      <c r="G38" s="16"/>
      <c r="H38" s="16"/>
      <c r="J38" s="12">
        <v>46129</v>
      </c>
      <c r="K38" s="13" t="s">
        <v>607</v>
      </c>
      <c r="L38" s="15" t="s">
        <v>608</v>
      </c>
      <c r="M38" s="23">
        <v>1393000</v>
      </c>
      <c r="N38" s="22"/>
      <c r="O38" s="22"/>
      <c r="P38" s="16"/>
      <c r="Q38" s="16"/>
    </row>
    <row r="39" spans="1:17">
      <c r="A39" s="12"/>
      <c r="B39" s="13" t="s">
        <v>626</v>
      </c>
      <c r="C39" s="15" t="s">
        <v>627</v>
      </c>
      <c r="D39" s="23">
        <v>1115000</v>
      </c>
      <c r="E39" s="22"/>
      <c r="F39" s="22"/>
      <c r="G39" s="16"/>
      <c r="H39" s="16"/>
      <c r="J39" s="12">
        <v>46129</v>
      </c>
      <c r="K39" s="13" t="s">
        <v>610</v>
      </c>
      <c r="L39" s="15" t="s">
        <v>609</v>
      </c>
      <c r="M39" s="23">
        <v>649000</v>
      </c>
      <c r="N39" s="22"/>
      <c r="O39" s="22"/>
      <c r="P39" s="16"/>
      <c r="Q39" s="16"/>
    </row>
    <row r="40" spans="1:17">
      <c r="A40" s="12"/>
      <c r="B40" s="13"/>
      <c r="C40" s="15"/>
      <c r="D40" s="23"/>
      <c r="E40" s="22"/>
      <c r="F40" s="22"/>
      <c r="G40" s="16"/>
      <c r="H40" s="16"/>
      <c r="J40" s="12">
        <v>46129</v>
      </c>
      <c r="K40" s="13" t="s">
        <v>626</v>
      </c>
      <c r="L40" s="15" t="s">
        <v>627</v>
      </c>
      <c r="M40" s="23">
        <v>1115000</v>
      </c>
      <c r="N40" s="22"/>
      <c r="O40" s="22"/>
      <c r="P40" s="16"/>
      <c r="Q40" s="16"/>
    </row>
    <row r="41" spans="1:17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7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7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7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7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7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7">
      <c r="A48" s="25"/>
      <c r="B48" s="19"/>
      <c r="C48" s="26" t="s">
        <v>24</v>
      </c>
      <c r="D48" s="27">
        <f>SUM(D33:D47)</f>
        <v>3857000</v>
      </c>
      <c r="E48" s="27"/>
      <c r="F48" s="27"/>
      <c r="G48" s="27"/>
      <c r="H48" s="27"/>
      <c r="J48" s="25"/>
      <c r="K48" s="19"/>
      <c r="L48" s="26" t="s">
        <v>24</v>
      </c>
      <c r="M48" s="27">
        <f>SUM(M33:M47)</f>
        <v>4577000</v>
      </c>
      <c r="N48" s="27"/>
      <c r="O48" s="27"/>
      <c r="P48" s="27"/>
      <c r="Q48" s="27"/>
    </row>
    <row r="49" spans="1:17">
      <c r="A49" s="20"/>
      <c r="B49" s="19"/>
      <c r="C49" s="232" t="s">
        <v>21</v>
      </c>
      <c r="D49" s="10"/>
      <c r="E49" s="530">
        <f>D48</f>
        <v>3857000</v>
      </c>
      <c r="F49" s="530"/>
      <c r="G49" s="530"/>
      <c r="H49" s="530"/>
      <c r="J49" s="20"/>
      <c r="K49" s="19"/>
      <c r="L49" s="238" t="s">
        <v>21</v>
      </c>
      <c r="M49" s="10"/>
      <c r="N49" s="530">
        <f>M48</f>
        <v>4577000</v>
      </c>
      <c r="O49" s="530"/>
      <c r="P49" s="530"/>
      <c r="Q49" s="530"/>
    </row>
    <row r="50" spans="1:17" hidden="1">
      <c r="A50" s="524" t="s">
        <v>349</v>
      </c>
      <c r="B50" s="524"/>
      <c r="C50" s="524"/>
      <c r="D50" s="524"/>
      <c r="E50" s="524"/>
      <c r="F50" s="524"/>
      <c r="G50" s="524"/>
      <c r="H50" s="524"/>
      <c r="J50" s="524" t="s">
        <v>349</v>
      </c>
      <c r="K50" s="524"/>
      <c r="L50" s="524"/>
      <c r="M50" s="524"/>
      <c r="N50" s="524"/>
      <c r="O50" s="524"/>
      <c r="P50" s="524"/>
      <c r="Q50" s="524"/>
    </row>
    <row r="51" spans="1:17" hidden="1">
      <c r="A51" s="28"/>
      <c r="B51" s="23" t="s">
        <v>447</v>
      </c>
      <c r="C51" s="23" t="s">
        <v>445</v>
      </c>
      <c r="D51" s="23"/>
      <c r="E51" s="28"/>
      <c r="F51" s="28"/>
      <c r="G51" s="28"/>
      <c r="H51" s="28"/>
      <c r="J51" s="28"/>
      <c r="K51" s="23" t="s">
        <v>447</v>
      </c>
      <c r="L51" s="23" t="s">
        <v>445</v>
      </c>
      <c r="M51" s="23"/>
      <c r="N51" s="28"/>
      <c r="O51" s="28"/>
      <c r="P51" s="28"/>
      <c r="Q51" s="28"/>
    </row>
    <row r="52" spans="1:17" hidden="1">
      <c r="A52" s="28"/>
      <c r="B52" s="23" t="s">
        <v>447</v>
      </c>
      <c r="C52" s="23" t="s">
        <v>446</v>
      </c>
      <c r="D52" s="23"/>
      <c r="E52" s="28"/>
      <c r="F52" s="28"/>
      <c r="G52" s="28"/>
      <c r="H52" s="28"/>
      <c r="J52" s="28"/>
      <c r="K52" s="23" t="s">
        <v>447</v>
      </c>
      <c r="L52" s="23" t="s">
        <v>446</v>
      </c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idden="1">
      <c r="A54" s="28"/>
      <c r="B54" s="23"/>
      <c r="C54" s="23"/>
      <c r="D54" s="23"/>
      <c r="E54" s="28"/>
      <c r="F54" s="28"/>
      <c r="G54" s="28"/>
      <c r="H54" s="28"/>
      <c r="J54" s="28"/>
      <c r="K54" s="23"/>
      <c r="L54" s="23"/>
      <c r="M54" s="23"/>
      <c r="N54" s="28"/>
      <c r="O54" s="28"/>
      <c r="P54" s="28"/>
      <c r="Q54" s="28"/>
    </row>
    <row r="55" spans="1:17" hidden="1">
      <c r="A55" s="28"/>
      <c r="B55" s="23"/>
      <c r="C55" s="23"/>
      <c r="D55" s="23"/>
      <c r="E55" s="28"/>
      <c r="F55" s="28"/>
      <c r="G55" s="28"/>
      <c r="H55" s="28"/>
      <c r="J55" s="28"/>
      <c r="K55" s="23"/>
      <c r="L55" s="23"/>
      <c r="M55" s="23"/>
      <c r="N55" s="28"/>
      <c r="O55" s="28"/>
      <c r="P55" s="28"/>
      <c r="Q55" s="28"/>
    </row>
    <row r="56" spans="1:17" hidden="1">
      <c r="A56" s="28"/>
      <c r="B56" s="23"/>
      <c r="C56" s="23"/>
      <c r="D56" s="23"/>
      <c r="E56" s="28"/>
      <c r="F56" s="28"/>
      <c r="G56" s="28"/>
      <c r="H56" s="28"/>
      <c r="J56" s="28"/>
      <c r="K56" s="23"/>
      <c r="L56" s="23"/>
      <c r="M56" s="23"/>
      <c r="N56" s="28"/>
      <c r="O56" s="28"/>
      <c r="P56" s="28"/>
      <c r="Q56" s="28"/>
    </row>
    <row r="57" spans="1:17" hidden="1">
      <c r="A57" s="12"/>
      <c r="B57" s="13"/>
      <c r="C57" s="26" t="s">
        <v>448</v>
      </c>
      <c r="D57" s="27">
        <f>SUM(D51:D55)</f>
        <v>0</v>
      </c>
      <c r="E57" s="27">
        <v>0</v>
      </c>
      <c r="F57" s="27">
        <v>0</v>
      </c>
      <c r="G57" s="27"/>
      <c r="H57" s="27"/>
      <c r="J57" s="12"/>
      <c r="K57" s="13"/>
      <c r="L57" s="26" t="s">
        <v>448</v>
      </c>
      <c r="M57" s="27">
        <f>SUM(M51:M55)</f>
        <v>0</v>
      </c>
      <c r="N57" s="27">
        <v>0</v>
      </c>
      <c r="O57" s="27">
        <v>0</v>
      </c>
      <c r="P57" s="27"/>
      <c r="Q57" s="27"/>
    </row>
    <row r="58" spans="1:17" hidden="1">
      <c r="A58" s="20"/>
      <c r="B58" s="19"/>
      <c r="C58" s="232" t="s">
        <v>21</v>
      </c>
      <c r="D58" s="10"/>
      <c r="E58" s="530">
        <f>D57</f>
        <v>0</v>
      </c>
      <c r="F58" s="530"/>
      <c r="G58" s="530"/>
      <c r="H58" s="530"/>
      <c r="J58" s="20"/>
      <c r="K58" s="19"/>
      <c r="L58" s="238" t="s">
        <v>21</v>
      </c>
      <c r="M58" s="10"/>
      <c r="N58" s="530">
        <f>M57</f>
        <v>0</v>
      </c>
      <c r="O58" s="530"/>
      <c r="P58" s="530"/>
      <c r="Q58" s="530"/>
    </row>
    <row r="59" spans="1:17" hidden="1">
      <c r="A59" s="524" t="s">
        <v>255</v>
      </c>
      <c r="B59" s="524"/>
      <c r="C59" s="524"/>
      <c r="D59" s="524"/>
      <c r="E59" s="524"/>
      <c r="F59" s="524"/>
      <c r="G59" s="524"/>
      <c r="H59" s="524"/>
      <c r="J59" s="524" t="s">
        <v>255</v>
      </c>
      <c r="K59" s="524"/>
      <c r="L59" s="524"/>
      <c r="M59" s="524"/>
      <c r="N59" s="524"/>
      <c r="O59" s="524"/>
      <c r="P59" s="524"/>
      <c r="Q59" s="524"/>
    </row>
    <row r="60" spans="1:17" hidden="1">
      <c r="A60" s="28"/>
      <c r="B60" s="23" t="s">
        <v>536</v>
      </c>
      <c r="C60" s="23" t="s">
        <v>553</v>
      </c>
      <c r="D60" s="23"/>
      <c r="E60" s="28"/>
      <c r="F60" s="28"/>
      <c r="G60" s="28"/>
      <c r="H60" s="28"/>
      <c r="J60" s="28"/>
      <c r="K60" s="23" t="s">
        <v>536</v>
      </c>
      <c r="L60" s="23" t="s">
        <v>553</v>
      </c>
      <c r="M60" s="23"/>
      <c r="N60" s="28"/>
      <c r="O60" s="28"/>
      <c r="P60" s="28"/>
      <c r="Q60" s="28"/>
    </row>
    <row r="61" spans="1:17" hidden="1">
      <c r="A61" s="28"/>
      <c r="B61" s="23"/>
      <c r="C61" s="23"/>
      <c r="D61" s="23"/>
      <c r="E61" s="28"/>
      <c r="F61" s="28"/>
      <c r="G61" s="28"/>
      <c r="H61" s="28"/>
      <c r="J61" s="28"/>
      <c r="K61" s="23"/>
      <c r="L61" s="23"/>
      <c r="M61" s="23"/>
      <c r="N61" s="28"/>
      <c r="O61" s="28"/>
      <c r="P61" s="28"/>
      <c r="Q61" s="28"/>
    </row>
    <row r="62" spans="1:17" hidden="1">
      <c r="A62" s="28"/>
      <c r="B62" s="23"/>
      <c r="C62" s="23"/>
      <c r="D62" s="23"/>
      <c r="E62" s="28"/>
      <c r="F62" s="28"/>
      <c r="G62" s="28"/>
      <c r="H62" s="28"/>
      <c r="J62" s="28"/>
      <c r="K62" s="23"/>
      <c r="L62" s="23"/>
      <c r="M62" s="23"/>
      <c r="N62" s="28"/>
      <c r="O62" s="28"/>
      <c r="P62" s="28"/>
      <c r="Q62" s="28"/>
    </row>
    <row r="63" spans="1:17" hidden="1">
      <c r="A63" s="12"/>
      <c r="B63" s="13"/>
      <c r="C63" s="26" t="s">
        <v>270</v>
      </c>
      <c r="D63" s="27">
        <f>SUM(D60:D61)</f>
        <v>0</v>
      </c>
      <c r="E63" s="27">
        <v>0</v>
      </c>
      <c r="F63" s="27">
        <v>0</v>
      </c>
      <c r="G63" s="27"/>
      <c r="H63" s="27"/>
      <c r="J63" s="12"/>
      <c r="K63" s="13"/>
      <c r="L63" s="26" t="s">
        <v>270</v>
      </c>
      <c r="M63" s="27">
        <f>SUM(M60:M61)</f>
        <v>0</v>
      </c>
      <c r="N63" s="27">
        <v>0</v>
      </c>
      <c r="O63" s="27">
        <v>0</v>
      </c>
      <c r="P63" s="27"/>
      <c r="Q63" s="27"/>
    </row>
    <row r="64" spans="1:17" hidden="1">
      <c r="A64" s="20"/>
      <c r="B64" s="19"/>
      <c r="C64" s="232" t="s">
        <v>21</v>
      </c>
      <c r="D64" s="10"/>
      <c r="E64" s="530">
        <f>D63</f>
        <v>0</v>
      </c>
      <c r="F64" s="530"/>
      <c r="G64" s="530"/>
      <c r="H64" s="530"/>
      <c r="J64" s="20"/>
      <c r="K64" s="19"/>
      <c r="L64" s="238" t="s">
        <v>21</v>
      </c>
      <c r="M64" s="10"/>
      <c r="N64" s="530">
        <f>M63</f>
        <v>0</v>
      </c>
      <c r="O64" s="530"/>
      <c r="P64" s="530"/>
      <c r="Q64" s="530"/>
    </row>
    <row r="65" spans="1:19">
      <c r="A65" s="524" t="s">
        <v>54</v>
      </c>
      <c r="B65" s="524"/>
      <c r="C65" s="524"/>
      <c r="D65" s="524"/>
      <c r="E65" s="524"/>
      <c r="F65" s="524"/>
      <c r="G65" s="524"/>
      <c r="H65" s="524"/>
      <c r="J65" s="524" t="s">
        <v>54</v>
      </c>
      <c r="K65" s="524"/>
      <c r="L65" s="524"/>
      <c r="M65" s="524"/>
      <c r="N65" s="524"/>
      <c r="O65" s="524"/>
      <c r="P65" s="524"/>
      <c r="Q65" s="524"/>
    </row>
    <row r="66" spans="1:19">
      <c r="A66" s="28"/>
      <c r="B66" s="19" t="s">
        <v>611</v>
      </c>
      <c r="C66" s="23" t="s">
        <v>612</v>
      </c>
      <c r="D66" s="23">
        <v>400000</v>
      </c>
      <c r="E66" s="28"/>
      <c r="F66" s="28"/>
      <c r="G66" s="28"/>
      <c r="H66" s="28"/>
      <c r="J66" s="12">
        <v>46129</v>
      </c>
      <c r="K66" s="19" t="s">
        <v>611</v>
      </c>
      <c r="L66" s="23" t="s">
        <v>612</v>
      </c>
      <c r="M66" s="23">
        <v>400000</v>
      </c>
      <c r="N66" s="28"/>
      <c r="O66" s="28"/>
      <c r="P66" s="28"/>
      <c r="Q66" s="28"/>
    </row>
    <row r="67" spans="1:19">
      <c r="A67" s="28"/>
      <c r="B67" s="19" t="s">
        <v>613</v>
      </c>
      <c r="C67" s="23" t="s">
        <v>614</v>
      </c>
      <c r="D67" s="23">
        <v>22570000</v>
      </c>
      <c r="E67" s="28"/>
      <c r="F67" s="28"/>
      <c r="G67" s="28"/>
      <c r="H67" s="28"/>
      <c r="J67" s="12">
        <v>46129</v>
      </c>
      <c r="K67" s="19" t="s">
        <v>613</v>
      </c>
      <c r="L67" s="23" t="s">
        <v>614</v>
      </c>
      <c r="M67" s="23"/>
      <c r="N67" s="28"/>
      <c r="O67" s="28"/>
      <c r="P67" s="28"/>
      <c r="Q67" s="28"/>
      <c r="S67" s="72"/>
    </row>
    <row r="68" spans="1:19">
      <c r="A68" s="28"/>
      <c r="B68" s="19" t="s">
        <v>616</v>
      </c>
      <c r="C68" s="23" t="s">
        <v>615</v>
      </c>
      <c r="D68" s="23">
        <v>6635000</v>
      </c>
      <c r="E68" s="28"/>
      <c r="F68" s="28"/>
      <c r="G68" s="28"/>
      <c r="H68" s="28"/>
      <c r="J68" s="12">
        <v>46129</v>
      </c>
      <c r="K68" s="19" t="s">
        <v>616</v>
      </c>
      <c r="L68" s="23" t="s">
        <v>615</v>
      </c>
      <c r="M68" s="23">
        <v>6635000</v>
      </c>
      <c r="N68" s="28"/>
      <c r="O68" s="28"/>
      <c r="P68" s="28"/>
      <c r="Q68" s="28"/>
    </row>
    <row r="69" spans="1:19">
      <c r="A69" s="12"/>
      <c r="B69" s="19" t="s">
        <v>616</v>
      </c>
      <c r="C69" s="23" t="s">
        <v>618</v>
      </c>
      <c r="D69" s="23">
        <v>30000000</v>
      </c>
      <c r="E69" s="232"/>
      <c r="F69" s="232"/>
      <c r="G69" s="232"/>
      <c r="H69" s="232"/>
      <c r="J69" s="12">
        <v>46129</v>
      </c>
      <c r="K69" s="19" t="s">
        <v>616</v>
      </c>
      <c r="L69" s="23" t="s">
        <v>618</v>
      </c>
      <c r="M69" s="23"/>
      <c r="N69" s="238"/>
      <c r="O69" s="238"/>
      <c r="P69" s="238"/>
      <c r="Q69" s="238"/>
    </row>
    <row r="70" spans="1:19">
      <c r="A70" s="12"/>
      <c r="B70" s="19" t="s">
        <v>616</v>
      </c>
      <c r="C70" s="23" t="s">
        <v>617</v>
      </c>
      <c r="D70" s="23">
        <v>50000000</v>
      </c>
      <c r="E70" s="232"/>
      <c r="F70" s="232"/>
      <c r="G70" s="232"/>
      <c r="H70" s="232"/>
      <c r="J70" s="12">
        <v>46129</v>
      </c>
      <c r="K70" s="19" t="s">
        <v>616</v>
      </c>
      <c r="L70" s="23" t="s">
        <v>617</v>
      </c>
      <c r="M70" s="23"/>
      <c r="N70" s="238"/>
      <c r="O70" s="238"/>
      <c r="P70" s="238"/>
      <c r="Q70" s="238"/>
    </row>
    <row r="71" spans="1:19">
      <c r="A71" s="12"/>
      <c r="B71" s="19" t="s">
        <v>616</v>
      </c>
      <c r="C71" s="24" t="s">
        <v>263</v>
      </c>
      <c r="D71" s="23">
        <v>1540000</v>
      </c>
      <c r="E71" s="232"/>
      <c r="F71" s="232"/>
      <c r="G71" s="232"/>
      <c r="H71" s="232"/>
      <c r="J71" s="12">
        <v>46129</v>
      </c>
      <c r="K71" s="19" t="s">
        <v>616</v>
      </c>
      <c r="L71" s="24" t="s">
        <v>263</v>
      </c>
      <c r="M71" s="23">
        <v>1540000</v>
      </c>
      <c r="N71" s="238"/>
      <c r="O71" s="238"/>
      <c r="P71" s="238"/>
      <c r="Q71" s="238"/>
    </row>
    <row r="72" spans="1:19">
      <c r="A72" s="12"/>
      <c r="B72" s="19" t="s">
        <v>616</v>
      </c>
      <c r="C72" s="24" t="s">
        <v>410</v>
      </c>
      <c r="D72" s="23">
        <v>900000</v>
      </c>
      <c r="E72" s="232"/>
      <c r="F72" s="232"/>
      <c r="G72" s="232"/>
      <c r="H72" s="232"/>
      <c r="J72" s="12">
        <v>46129</v>
      </c>
      <c r="K72" s="19" t="s">
        <v>616</v>
      </c>
      <c r="L72" s="24" t="s">
        <v>410</v>
      </c>
      <c r="M72" s="23">
        <v>900000</v>
      </c>
      <c r="N72" s="238"/>
      <c r="O72" s="238"/>
      <c r="P72" s="238"/>
      <c r="Q72" s="238"/>
    </row>
    <row r="73" spans="1:19">
      <c r="A73" s="12"/>
      <c r="B73" s="19" t="s">
        <v>616</v>
      </c>
      <c r="C73" s="24" t="s">
        <v>619</v>
      </c>
      <c r="D73" s="23">
        <v>300000</v>
      </c>
      <c r="E73" s="232"/>
      <c r="F73" s="232"/>
      <c r="G73" s="232"/>
      <c r="H73" s="232"/>
      <c r="J73" s="12">
        <v>46129</v>
      </c>
      <c r="K73" s="19" t="s">
        <v>616</v>
      </c>
      <c r="L73" s="24" t="s">
        <v>619</v>
      </c>
      <c r="M73" s="23">
        <v>300000</v>
      </c>
      <c r="N73" s="238"/>
      <c r="O73" s="238"/>
      <c r="P73" s="238"/>
      <c r="Q73" s="238"/>
    </row>
    <row r="74" spans="1:19">
      <c r="A74" s="12"/>
      <c r="B74" s="19" t="s">
        <v>616</v>
      </c>
      <c r="C74" s="24" t="s">
        <v>620</v>
      </c>
      <c r="D74" s="23">
        <v>1500000</v>
      </c>
      <c r="E74" s="232"/>
      <c r="F74" s="232"/>
      <c r="G74" s="232"/>
      <c r="H74" s="232"/>
      <c r="J74" s="12">
        <v>46129</v>
      </c>
      <c r="K74" s="19" t="s">
        <v>616</v>
      </c>
      <c r="L74" s="24" t="s">
        <v>620</v>
      </c>
      <c r="M74" s="23">
        <v>1500000</v>
      </c>
      <c r="N74" s="238"/>
      <c r="O74" s="238"/>
      <c r="P74" s="238"/>
      <c r="Q74" s="238"/>
    </row>
    <row r="75" spans="1:19">
      <c r="A75" s="12"/>
      <c r="B75" s="19" t="s">
        <v>616</v>
      </c>
      <c r="C75" s="24" t="s">
        <v>622</v>
      </c>
      <c r="D75" s="23">
        <v>500000</v>
      </c>
      <c r="E75" s="232"/>
      <c r="F75" s="232"/>
      <c r="G75" s="232"/>
      <c r="H75" s="232"/>
      <c r="J75" s="12">
        <v>46129</v>
      </c>
      <c r="K75" s="19" t="s">
        <v>616</v>
      </c>
      <c r="L75" s="24" t="s">
        <v>622</v>
      </c>
      <c r="M75" s="23">
        <v>500000</v>
      </c>
      <c r="N75" s="238"/>
      <c r="O75" s="238"/>
      <c r="P75" s="238"/>
      <c r="Q75" s="238"/>
    </row>
    <row r="76" spans="1:19">
      <c r="A76" s="12"/>
      <c r="B76" s="19" t="s">
        <v>616</v>
      </c>
      <c r="C76" s="24" t="s">
        <v>621</v>
      </c>
      <c r="D76" s="23">
        <v>600000</v>
      </c>
      <c r="E76" s="232"/>
      <c r="F76" s="232"/>
      <c r="G76" s="232"/>
      <c r="H76" s="232"/>
      <c r="J76" s="12">
        <v>46129</v>
      </c>
      <c r="K76" s="19" t="s">
        <v>616</v>
      </c>
      <c r="L76" s="24" t="s">
        <v>621</v>
      </c>
      <c r="M76" s="23">
        <v>600000</v>
      </c>
      <c r="N76" s="238"/>
      <c r="O76" s="238"/>
      <c r="P76" s="238"/>
      <c r="Q76" s="238"/>
    </row>
    <row r="77" spans="1:19">
      <c r="A77" s="12"/>
      <c r="B77" s="19" t="s">
        <v>616</v>
      </c>
      <c r="C77" s="24" t="s">
        <v>623</v>
      </c>
      <c r="D77" s="23">
        <v>1000000</v>
      </c>
      <c r="E77" s="232"/>
      <c r="F77" s="232"/>
      <c r="G77" s="232"/>
      <c r="H77" s="232"/>
      <c r="J77" s="12">
        <v>46129</v>
      </c>
      <c r="K77" s="19" t="s">
        <v>616</v>
      </c>
      <c r="L77" s="24" t="s">
        <v>623</v>
      </c>
      <c r="M77" s="23">
        <v>1000000</v>
      </c>
      <c r="N77" s="238"/>
      <c r="O77" s="238"/>
      <c r="P77" s="238"/>
      <c r="Q77" s="238"/>
    </row>
    <row r="78" spans="1:19" ht="15.75" customHeight="1">
      <c r="A78" s="12"/>
      <c r="B78" s="19" t="s">
        <v>616</v>
      </c>
      <c r="C78" s="24" t="s">
        <v>624</v>
      </c>
      <c r="D78" s="23">
        <v>2250000</v>
      </c>
      <c r="E78" s="232"/>
      <c r="F78" s="232"/>
      <c r="G78" s="232"/>
      <c r="H78" s="232"/>
      <c r="J78" s="12">
        <v>46129</v>
      </c>
      <c r="K78" s="19" t="s">
        <v>616</v>
      </c>
      <c r="L78" s="24" t="s">
        <v>624</v>
      </c>
      <c r="M78" s="23">
        <v>2250000</v>
      </c>
      <c r="N78" s="238"/>
      <c r="O78" s="238"/>
      <c r="P78" s="238"/>
      <c r="Q78" s="238"/>
    </row>
    <row r="79" spans="1:19" ht="15.75" customHeight="1">
      <c r="A79" s="12"/>
      <c r="B79" s="19" t="s">
        <v>616</v>
      </c>
      <c r="C79" s="24" t="s">
        <v>625</v>
      </c>
      <c r="D79" s="23">
        <v>5808539</v>
      </c>
      <c r="E79" s="232"/>
      <c r="F79" s="232"/>
      <c r="G79" s="232"/>
      <c r="H79" s="232"/>
      <c r="J79" s="12">
        <v>46129</v>
      </c>
      <c r="K79" s="19" t="s">
        <v>616</v>
      </c>
      <c r="L79" s="24" t="s">
        <v>625</v>
      </c>
      <c r="M79" s="23">
        <v>5808539</v>
      </c>
      <c r="N79" s="238"/>
      <c r="O79" s="238"/>
      <c r="P79" s="238"/>
      <c r="Q79" s="238"/>
    </row>
    <row r="80" spans="1:19">
      <c r="A80" s="12"/>
      <c r="B80" s="19"/>
      <c r="C80" s="24"/>
      <c r="D80" s="23"/>
      <c r="E80" s="232"/>
      <c r="F80" s="232"/>
      <c r="G80" s="232"/>
      <c r="H80" s="232"/>
      <c r="J80" s="12"/>
      <c r="K80" s="19"/>
      <c r="L80" s="24"/>
      <c r="M80" s="23"/>
      <c r="N80" s="238"/>
      <c r="O80" s="238"/>
      <c r="P80" s="238"/>
      <c r="Q80" s="238"/>
    </row>
    <row r="81" spans="1:21">
      <c r="A81" s="12"/>
      <c r="B81" s="13"/>
      <c r="C81" s="26" t="s">
        <v>55</v>
      </c>
      <c r="D81" s="27">
        <f>SUM(D66:D79)</f>
        <v>124003539</v>
      </c>
      <c r="E81" s="27">
        <v>0</v>
      </c>
      <c r="F81" s="27">
        <v>0</v>
      </c>
      <c r="G81" s="27"/>
      <c r="H81" s="27"/>
      <c r="J81" s="12"/>
      <c r="K81" s="13"/>
      <c r="L81" s="26" t="s">
        <v>55</v>
      </c>
      <c r="M81" s="27">
        <f>SUM(M66:M79)</f>
        <v>21433539</v>
      </c>
      <c r="N81" s="27">
        <v>0</v>
      </c>
      <c r="O81" s="27">
        <v>0</v>
      </c>
      <c r="P81" s="27"/>
      <c r="Q81" s="27"/>
    </row>
    <row r="82" spans="1:21">
      <c r="A82" s="20"/>
      <c r="B82" s="19"/>
      <c r="C82" s="232" t="s">
        <v>21</v>
      </c>
      <c r="D82" s="10"/>
      <c r="E82" s="530">
        <f>D81</f>
        <v>124003539</v>
      </c>
      <c r="F82" s="530"/>
      <c r="G82" s="530"/>
      <c r="H82" s="530"/>
      <c r="J82" s="20"/>
      <c r="K82" s="19"/>
      <c r="L82" s="238" t="s">
        <v>21</v>
      </c>
      <c r="M82" s="10"/>
      <c r="N82" s="530">
        <f>M81</f>
        <v>21433539</v>
      </c>
      <c r="O82" s="530"/>
      <c r="P82" s="530"/>
      <c r="Q82" s="530"/>
    </row>
    <row r="83" spans="1:21" hidden="1">
      <c r="A83" s="524" t="s">
        <v>453</v>
      </c>
      <c r="B83" s="524"/>
      <c r="C83" s="524"/>
      <c r="D83" s="524"/>
      <c r="E83" s="524"/>
      <c r="F83" s="524"/>
      <c r="G83" s="524"/>
      <c r="H83" s="524"/>
      <c r="J83" s="524" t="s">
        <v>453</v>
      </c>
      <c r="K83" s="524"/>
      <c r="L83" s="524"/>
      <c r="M83" s="524"/>
      <c r="N83" s="524"/>
      <c r="O83" s="524"/>
      <c r="P83" s="524"/>
      <c r="Q83" s="524"/>
    </row>
    <row r="84" spans="1:21" hidden="1">
      <c r="A84" s="28"/>
      <c r="B84" s="23"/>
      <c r="C84" s="23"/>
      <c r="D84" s="23"/>
      <c r="E84" s="28"/>
      <c r="F84" s="28"/>
      <c r="G84" s="28"/>
      <c r="H84" s="28"/>
      <c r="J84" s="28"/>
      <c r="K84" s="23"/>
      <c r="L84" s="23"/>
      <c r="M84" s="23"/>
      <c r="N84" s="28"/>
      <c r="O84" s="28"/>
      <c r="P84" s="28"/>
      <c r="Q84" s="28"/>
    </row>
    <row r="85" spans="1:21" hidden="1">
      <c r="A85" s="28"/>
      <c r="B85" s="23"/>
      <c r="C85" s="23"/>
      <c r="D85" s="23"/>
      <c r="E85" s="28"/>
      <c r="F85" s="28"/>
      <c r="G85" s="28"/>
      <c r="H85" s="28"/>
      <c r="J85" s="28"/>
      <c r="K85" s="23"/>
      <c r="L85" s="23"/>
      <c r="M85" s="23"/>
      <c r="N85" s="28"/>
      <c r="O85" s="28"/>
      <c r="P85" s="28"/>
      <c r="Q85" s="28"/>
    </row>
    <row r="86" spans="1:21" hidden="1">
      <c r="A86" s="12"/>
      <c r="B86" s="19"/>
      <c r="C86" s="24"/>
      <c r="D86" s="23"/>
      <c r="E86" s="232"/>
      <c r="F86" s="232"/>
      <c r="G86" s="232"/>
      <c r="H86" s="232"/>
      <c r="J86" s="12"/>
      <c r="K86" s="19"/>
      <c r="L86" s="24"/>
      <c r="M86" s="23"/>
      <c r="N86" s="238"/>
      <c r="O86" s="238"/>
      <c r="P86" s="238"/>
      <c r="Q86" s="238"/>
    </row>
    <row r="87" spans="1:21" hidden="1">
      <c r="A87" s="12"/>
      <c r="B87" s="13"/>
      <c r="C87" s="26" t="s">
        <v>196</v>
      </c>
      <c r="D87" s="27">
        <f>SUM(D84:D86)</f>
        <v>0</v>
      </c>
      <c r="E87" s="27">
        <v>0</v>
      </c>
      <c r="F87" s="27">
        <v>0</v>
      </c>
      <c r="G87" s="27"/>
      <c r="H87" s="27"/>
      <c r="J87" s="12"/>
      <c r="K87" s="13"/>
      <c r="L87" s="26" t="s">
        <v>196</v>
      </c>
      <c r="M87" s="27">
        <f>SUM(M84:M86)</f>
        <v>0</v>
      </c>
      <c r="N87" s="27">
        <v>0</v>
      </c>
      <c r="O87" s="27">
        <v>0</v>
      </c>
      <c r="P87" s="27"/>
      <c r="Q87" s="27"/>
    </row>
    <row r="88" spans="1:21" hidden="1">
      <c r="A88" s="20"/>
      <c r="B88" s="19"/>
      <c r="C88" s="232" t="s">
        <v>21</v>
      </c>
      <c r="D88" s="10"/>
      <c r="E88" s="530">
        <f>D87</f>
        <v>0</v>
      </c>
      <c r="F88" s="530"/>
      <c r="G88" s="530"/>
      <c r="H88" s="530"/>
      <c r="J88" s="20"/>
      <c r="K88" s="19"/>
      <c r="L88" s="238" t="s">
        <v>21</v>
      </c>
      <c r="M88" s="10"/>
      <c r="N88" s="530">
        <f>M87</f>
        <v>0</v>
      </c>
      <c r="O88" s="530"/>
      <c r="P88" s="530"/>
      <c r="Q88" s="530"/>
    </row>
    <row r="89" spans="1:21">
      <c r="A89" s="527" t="s">
        <v>26</v>
      </c>
      <c r="B89" s="528"/>
      <c r="C89" s="528"/>
      <c r="D89" s="528"/>
      <c r="E89" s="528"/>
      <c r="F89" s="528"/>
      <c r="G89" s="528"/>
      <c r="H89" s="529"/>
      <c r="J89" s="527" t="s">
        <v>26</v>
      </c>
      <c r="K89" s="528"/>
      <c r="L89" s="528"/>
      <c r="M89" s="528"/>
      <c r="N89" s="528"/>
      <c r="O89" s="528"/>
      <c r="P89" s="528"/>
      <c r="Q89" s="529"/>
      <c r="U89">
        <v>115000</v>
      </c>
    </row>
    <row r="90" spans="1:21">
      <c r="A90" s="12"/>
      <c r="B90" s="19" t="s">
        <v>586</v>
      </c>
      <c r="C90" s="24" t="s">
        <v>587</v>
      </c>
      <c r="D90" s="23">
        <v>1700000</v>
      </c>
      <c r="E90" s="22"/>
      <c r="F90" s="22"/>
      <c r="G90" s="16"/>
      <c r="H90" s="16"/>
      <c r="J90" s="12">
        <v>46129</v>
      </c>
      <c r="K90" s="19" t="s">
        <v>586</v>
      </c>
      <c r="L90" s="24" t="s">
        <v>587</v>
      </c>
      <c r="M90" s="23">
        <v>1700000</v>
      </c>
      <c r="N90" s="22"/>
      <c r="O90" s="22"/>
      <c r="P90" s="16"/>
      <c r="Q90" s="16"/>
      <c r="U90">
        <f>750000</f>
        <v>750000</v>
      </c>
    </row>
    <row r="91" spans="1:21">
      <c r="A91" s="12"/>
      <c r="B91" s="19" t="s">
        <v>628</v>
      </c>
      <c r="C91" s="24" t="s">
        <v>631</v>
      </c>
      <c r="D91" s="23">
        <v>942500</v>
      </c>
      <c r="E91" s="22"/>
      <c r="F91" s="22"/>
      <c r="G91" s="16"/>
      <c r="H91" s="16"/>
      <c r="J91" s="12">
        <v>46129</v>
      </c>
      <c r="K91" s="19" t="s">
        <v>628</v>
      </c>
      <c r="L91" s="24" t="s">
        <v>631</v>
      </c>
      <c r="M91" s="23">
        <v>942500</v>
      </c>
      <c r="N91" s="22"/>
      <c r="O91" s="22"/>
      <c r="P91" s="16"/>
      <c r="Q91" s="16"/>
    </row>
    <row r="92" spans="1:21">
      <c r="A92" s="12"/>
      <c r="B92" s="19" t="s">
        <v>629</v>
      </c>
      <c r="C92" s="23" t="s">
        <v>630</v>
      </c>
      <c r="D92" s="23">
        <v>389500</v>
      </c>
      <c r="E92" s="22"/>
      <c r="F92" s="22"/>
      <c r="G92" s="16"/>
      <c r="H92" s="16"/>
      <c r="J92" s="12">
        <v>46129</v>
      </c>
      <c r="K92" s="19" t="s">
        <v>629</v>
      </c>
      <c r="L92" s="23" t="s">
        <v>630</v>
      </c>
      <c r="M92" s="23">
        <v>389500</v>
      </c>
      <c r="N92" s="22"/>
      <c r="O92" s="22"/>
      <c r="P92" s="16"/>
      <c r="Q92" s="16"/>
    </row>
    <row r="93" spans="1:21">
      <c r="A93" s="12"/>
      <c r="B93" s="19" t="s">
        <v>632</v>
      </c>
      <c r="C93" s="24" t="s">
        <v>633</v>
      </c>
      <c r="D93" s="23">
        <v>130000</v>
      </c>
      <c r="E93" s="22"/>
      <c r="F93" s="22"/>
      <c r="G93" s="16"/>
      <c r="H93" s="16"/>
      <c r="J93" s="12">
        <v>46129</v>
      </c>
      <c r="K93" s="19" t="s">
        <v>632</v>
      </c>
      <c r="L93" s="24" t="s">
        <v>633</v>
      </c>
      <c r="M93" s="23">
        <v>130000</v>
      </c>
      <c r="N93" s="22"/>
      <c r="O93" s="22"/>
      <c r="P93" s="16"/>
      <c r="Q93" s="16"/>
    </row>
    <row r="94" spans="1:21">
      <c r="A94" s="12"/>
      <c r="B94" s="19" t="s">
        <v>634</v>
      </c>
      <c r="C94" s="24" t="s">
        <v>635</v>
      </c>
      <c r="D94" s="23">
        <v>175000</v>
      </c>
      <c r="E94" s="22"/>
      <c r="F94" s="22"/>
      <c r="G94" s="16"/>
      <c r="H94" s="16"/>
      <c r="J94" s="12">
        <v>46129</v>
      </c>
      <c r="K94" s="19" t="s">
        <v>634</v>
      </c>
      <c r="L94" s="24" t="s">
        <v>635</v>
      </c>
      <c r="M94" s="23">
        <v>175000</v>
      </c>
      <c r="N94" s="22"/>
      <c r="O94" s="22"/>
      <c r="P94" s="16"/>
      <c r="Q94" s="16"/>
    </row>
    <row r="95" spans="1:21">
      <c r="A95" s="12"/>
      <c r="B95" s="19" t="s">
        <v>636</v>
      </c>
      <c r="C95" s="24" t="s">
        <v>637</v>
      </c>
      <c r="D95" s="23">
        <v>150000</v>
      </c>
      <c r="E95" s="22"/>
      <c r="F95" s="22"/>
      <c r="G95" s="16"/>
      <c r="H95" s="16"/>
      <c r="J95" s="12">
        <v>46129</v>
      </c>
      <c r="K95" s="19" t="s">
        <v>636</v>
      </c>
      <c r="L95" s="24" t="s">
        <v>637</v>
      </c>
      <c r="M95" s="23">
        <v>150000</v>
      </c>
      <c r="N95" s="22"/>
      <c r="O95" s="22"/>
      <c r="P95" s="16"/>
      <c r="Q95" s="16"/>
    </row>
    <row r="96" spans="1:21">
      <c r="A96" s="12"/>
      <c r="B96" s="19"/>
      <c r="C96" s="23"/>
      <c r="D96" s="23"/>
      <c r="E96" s="22"/>
      <c r="F96" s="22"/>
      <c r="G96" s="16"/>
      <c r="H96" s="16"/>
      <c r="J96" s="12"/>
      <c r="K96" s="19"/>
      <c r="L96" s="23"/>
      <c r="M96" s="23"/>
      <c r="N96" s="22"/>
      <c r="O96" s="22"/>
      <c r="P96" s="16"/>
      <c r="Q96" s="16"/>
    </row>
    <row r="97" spans="1:17" hidden="1">
      <c r="A97" s="12"/>
      <c r="B97" s="19"/>
      <c r="C97" s="23"/>
      <c r="D97" s="23"/>
      <c r="E97" s="22"/>
      <c r="F97" s="22"/>
      <c r="G97" s="16"/>
      <c r="H97" s="16"/>
      <c r="J97" s="12"/>
      <c r="K97" s="19"/>
      <c r="L97" s="23"/>
      <c r="M97" s="23"/>
      <c r="N97" s="22"/>
      <c r="O97" s="22"/>
      <c r="P97" s="16"/>
      <c r="Q97" s="16"/>
    </row>
    <row r="98" spans="1:17" hidden="1">
      <c r="A98" s="12"/>
      <c r="B98" s="19"/>
      <c r="C98" s="23"/>
      <c r="D98" s="23"/>
      <c r="E98" s="22"/>
      <c r="F98" s="22"/>
      <c r="G98" s="16"/>
      <c r="H98" s="16"/>
      <c r="J98" s="12"/>
      <c r="K98" s="19"/>
      <c r="L98" s="23"/>
      <c r="M98" s="23"/>
      <c r="N98" s="22"/>
      <c r="O98" s="22"/>
      <c r="P98" s="16"/>
      <c r="Q98" s="16"/>
    </row>
    <row r="99" spans="1:17" hidden="1">
      <c r="A99" s="12"/>
      <c r="B99" s="19"/>
      <c r="C99" s="24"/>
      <c r="D99" s="23"/>
      <c r="E99" s="22"/>
      <c r="F99" s="22"/>
      <c r="G99" s="16"/>
      <c r="H99" s="16"/>
      <c r="J99" s="12"/>
      <c r="K99" s="19"/>
      <c r="L99" s="24"/>
      <c r="M99" s="23"/>
      <c r="N99" s="22"/>
      <c r="O99" s="22"/>
      <c r="P99" s="16"/>
      <c r="Q99" s="16"/>
    </row>
    <row r="100" spans="1:17" hidden="1">
      <c r="A100" s="12"/>
      <c r="B100" s="19"/>
      <c r="C100" s="24"/>
      <c r="D100" s="23"/>
      <c r="E100" s="22"/>
      <c r="F100" s="22"/>
      <c r="G100" s="16"/>
      <c r="H100" s="16"/>
      <c r="J100" s="12"/>
      <c r="K100" s="19"/>
      <c r="L100" s="24"/>
      <c r="M100" s="23"/>
      <c r="N100" s="22"/>
      <c r="O100" s="22"/>
      <c r="P100" s="16"/>
      <c r="Q100" s="16"/>
    </row>
    <row r="101" spans="1:17">
      <c r="A101" s="25"/>
      <c r="B101" s="19"/>
      <c r="C101" s="26" t="s">
        <v>31</v>
      </c>
      <c r="D101" s="27">
        <f>SUM(D90:D100)</f>
        <v>3487000</v>
      </c>
      <c r="E101" s="27"/>
      <c r="F101" s="27"/>
      <c r="G101" s="27"/>
      <c r="H101" s="27"/>
      <c r="J101" s="25"/>
      <c r="K101" s="19"/>
      <c r="L101" s="26" t="s">
        <v>31</v>
      </c>
      <c r="M101" s="27">
        <f>SUM(M90:M100)</f>
        <v>3487000</v>
      </c>
      <c r="N101" s="27"/>
      <c r="O101" s="27"/>
      <c r="P101" s="27"/>
      <c r="Q101" s="27"/>
    </row>
    <row r="102" spans="1:17">
      <c r="A102" s="20"/>
      <c r="B102" s="19"/>
      <c r="C102" s="232" t="s">
        <v>21</v>
      </c>
      <c r="D102" s="10"/>
      <c r="E102" s="530">
        <f>D101</f>
        <v>3487000</v>
      </c>
      <c r="F102" s="530"/>
      <c r="G102" s="530"/>
      <c r="H102" s="530"/>
      <c r="J102" s="20"/>
      <c r="K102" s="19"/>
      <c r="L102" s="238" t="s">
        <v>21</v>
      </c>
      <c r="M102" s="10"/>
      <c r="N102" s="530">
        <f>M101</f>
        <v>3487000</v>
      </c>
      <c r="O102" s="530"/>
      <c r="P102" s="530"/>
      <c r="Q102" s="530"/>
    </row>
    <row r="103" spans="1:17">
      <c r="A103" s="527" t="s">
        <v>32</v>
      </c>
      <c r="B103" s="528"/>
      <c r="C103" s="528"/>
      <c r="D103" s="528"/>
      <c r="E103" s="528"/>
      <c r="F103" s="528"/>
      <c r="G103" s="528"/>
      <c r="H103" s="529"/>
      <c r="J103" s="527" t="s">
        <v>32</v>
      </c>
      <c r="K103" s="528"/>
      <c r="L103" s="528"/>
      <c r="M103" s="528"/>
      <c r="N103" s="528"/>
      <c r="O103" s="528"/>
      <c r="P103" s="528"/>
      <c r="Q103" s="529"/>
    </row>
    <row r="104" spans="1:17">
      <c r="A104" s="12"/>
      <c r="B104" s="13"/>
      <c r="C104" s="22"/>
      <c r="D104" s="22"/>
      <c r="E104" s="232"/>
      <c r="F104" s="232"/>
      <c r="G104" s="232"/>
      <c r="H104" s="232"/>
      <c r="J104" s="12"/>
      <c r="K104" s="13"/>
      <c r="L104" s="22"/>
      <c r="M104" s="22"/>
      <c r="N104" s="238"/>
      <c r="O104" s="238"/>
      <c r="P104" s="238"/>
      <c r="Q104" s="238"/>
    </row>
    <row r="105" spans="1:17">
      <c r="A105" s="12"/>
      <c r="B105" s="13"/>
      <c r="C105" s="22"/>
      <c r="D105" s="22"/>
      <c r="E105" s="232"/>
      <c r="F105" s="232"/>
      <c r="G105" s="232"/>
      <c r="H105" s="232"/>
      <c r="J105" s="12"/>
      <c r="K105" s="13"/>
      <c r="L105" s="22"/>
      <c r="M105" s="22"/>
      <c r="N105" s="238"/>
      <c r="O105" s="238"/>
      <c r="P105" s="238"/>
      <c r="Q105" s="238"/>
    </row>
    <row r="106" spans="1:17">
      <c r="A106" s="12"/>
      <c r="B106" s="13"/>
      <c r="C106" s="22"/>
      <c r="D106" s="22"/>
      <c r="E106" s="232"/>
      <c r="F106" s="232"/>
      <c r="G106" s="232"/>
      <c r="H106" s="232"/>
      <c r="J106" s="12"/>
      <c r="K106" s="13"/>
      <c r="L106" s="22"/>
      <c r="M106" s="22"/>
      <c r="N106" s="238"/>
      <c r="O106" s="238"/>
      <c r="P106" s="238"/>
      <c r="Q106" s="238"/>
    </row>
    <row r="107" spans="1:17">
      <c r="A107" s="12"/>
      <c r="B107" s="13"/>
      <c r="C107" s="22"/>
      <c r="D107" s="29"/>
      <c r="E107" s="232"/>
      <c r="F107" s="232"/>
      <c r="G107" s="232"/>
      <c r="H107" s="232"/>
      <c r="J107" s="12"/>
      <c r="K107" s="13"/>
      <c r="L107" s="22"/>
      <c r="M107" s="29"/>
      <c r="N107" s="238"/>
      <c r="O107" s="238"/>
      <c r="P107" s="238"/>
      <c r="Q107" s="238"/>
    </row>
    <row r="108" spans="1:17">
      <c r="A108" s="12"/>
      <c r="B108" s="13"/>
      <c r="C108" s="22"/>
      <c r="D108" s="29"/>
      <c r="E108" s="232"/>
      <c r="F108" s="232"/>
      <c r="G108" s="232"/>
      <c r="H108" s="232"/>
      <c r="J108" s="12"/>
      <c r="K108" s="13"/>
      <c r="L108" s="22"/>
      <c r="M108" s="29"/>
      <c r="N108" s="238"/>
      <c r="O108" s="238"/>
      <c r="P108" s="238"/>
      <c r="Q108" s="238"/>
    </row>
    <row r="109" spans="1:17" hidden="1">
      <c r="A109" s="12"/>
      <c r="B109" s="13"/>
      <c r="C109" s="22"/>
      <c r="D109" s="29"/>
      <c r="E109" s="232"/>
      <c r="F109" s="232"/>
      <c r="G109" s="232"/>
      <c r="H109" s="232"/>
      <c r="J109" s="12"/>
      <c r="K109" s="13"/>
      <c r="L109" s="22"/>
      <c r="M109" s="29"/>
      <c r="N109" s="238"/>
      <c r="O109" s="238"/>
      <c r="P109" s="238"/>
      <c r="Q109" s="238"/>
    </row>
    <row r="110" spans="1:17" hidden="1">
      <c r="A110" s="12"/>
      <c r="B110" s="13"/>
      <c r="C110" s="22"/>
      <c r="D110" s="29"/>
      <c r="E110" s="232"/>
      <c r="F110" s="232"/>
      <c r="G110" s="232"/>
      <c r="H110" s="232"/>
      <c r="J110" s="12"/>
      <c r="K110" s="13"/>
      <c r="L110" s="22"/>
      <c r="M110" s="29"/>
      <c r="N110" s="238"/>
      <c r="O110" s="238"/>
      <c r="P110" s="238"/>
      <c r="Q110" s="238"/>
    </row>
    <row r="111" spans="1:17" hidden="1">
      <c r="A111" s="12"/>
      <c r="B111" s="13"/>
      <c r="C111" s="22"/>
      <c r="D111" s="29"/>
      <c r="E111" s="232"/>
      <c r="F111" s="232"/>
      <c r="G111" s="232"/>
      <c r="H111" s="232"/>
      <c r="J111" s="12"/>
      <c r="K111" s="13"/>
      <c r="L111" s="22"/>
      <c r="M111" s="29"/>
      <c r="N111" s="238"/>
      <c r="O111" s="238"/>
      <c r="P111" s="238"/>
      <c r="Q111" s="238"/>
    </row>
    <row r="112" spans="1:17" hidden="1">
      <c r="A112" s="12"/>
      <c r="B112" s="13"/>
      <c r="C112" s="22"/>
      <c r="D112" s="29"/>
      <c r="E112" s="232"/>
      <c r="F112" s="232"/>
      <c r="G112" s="232"/>
      <c r="H112" s="232"/>
      <c r="J112" s="12"/>
      <c r="K112" s="13"/>
      <c r="L112" s="22"/>
      <c r="M112" s="29"/>
      <c r="N112" s="238"/>
      <c r="O112" s="238"/>
      <c r="P112" s="238"/>
      <c r="Q112" s="238"/>
    </row>
    <row r="113" spans="1:17">
      <c r="A113" s="12"/>
      <c r="B113" s="13"/>
      <c r="C113" s="26" t="s">
        <v>34</v>
      </c>
      <c r="D113" s="27">
        <f>SUM(D104:D107)</f>
        <v>0</v>
      </c>
      <c r="E113" s="27">
        <v>0</v>
      </c>
      <c r="F113" s="27">
        <v>0</v>
      </c>
      <c r="G113" s="27"/>
      <c r="H113" s="27"/>
      <c r="J113" s="12"/>
      <c r="K113" s="13"/>
      <c r="L113" s="26" t="s">
        <v>34</v>
      </c>
      <c r="M113" s="27">
        <f>SUM(M104:M107)</f>
        <v>0</v>
      </c>
      <c r="N113" s="27">
        <v>0</v>
      </c>
      <c r="O113" s="27">
        <v>0</v>
      </c>
      <c r="P113" s="27"/>
      <c r="Q113" s="27"/>
    </row>
    <row r="114" spans="1:17">
      <c r="A114" s="20"/>
      <c r="B114" s="19"/>
      <c r="C114" s="232" t="s">
        <v>21</v>
      </c>
      <c r="D114" s="10"/>
      <c r="E114" s="531">
        <f>D113</f>
        <v>0</v>
      </c>
      <c r="F114" s="532"/>
      <c r="G114" s="532"/>
      <c r="H114" s="533"/>
      <c r="J114" s="20"/>
      <c r="K114" s="19"/>
      <c r="L114" s="238" t="s">
        <v>21</v>
      </c>
      <c r="M114" s="10"/>
      <c r="N114" s="531">
        <f>M113</f>
        <v>0</v>
      </c>
      <c r="O114" s="532"/>
      <c r="P114" s="532"/>
      <c r="Q114" s="533"/>
    </row>
    <row r="115" spans="1:17">
      <c r="A115" s="525" t="s">
        <v>35</v>
      </c>
      <c r="B115" s="525"/>
      <c r="C115" s="525"/>
      <c r="D115" s="230"/>
      <c r="E115" s="526">
        <f>E49+E58+E102+E114+E82+E88+E64</f>
        <v>131347539</v>
      </c>
      <c r="F115" s="526"/>
      <c r="G115" s="526"/>
      <c r="H115" s="526"/>
      <c r="J115" s="525" t="s">
        <v>35</v>
      </c>
      <c r="K115" s="525"/>
      <c r="L115" s="525"/>
      <c r="M115" s="234"/>
      <c r="N115" s="526">
        <f>N49+N58+N102+N114+N82+N88+N64</f>
        <v>29497539</v>
      </c>
      <c r="O115" s="526"/>
      <c r="P115" s="526"/>
      <c r="Q115" s="526"/>
    </row>
    <row r="116" spans="1:17">
      <c r="A116" s="522" t="s">
        <v>36</v>
      </c>
      <c r="B116" s="522"/>
      <c r="C116" s="522"/>
      <c r="D116" s="229"/>
      <c r="E116" s="523">
        <f>+E31+E115</f>
        <v>131889529</v>
      </c>
      <c r="F116" s="523"/>
      <c r="G116" s="523"/>
      <c r="H116" s="523"/>
      <c r="J116" s="522" t="s">
        <v>36</v>
      </c>
      <c r="K116" s="522"/>
      <c r="L116" s="522"/>
      <c r="M116" s="237"/>
      <c r="N116" s="523">
        <f>+N31+N115</f>
        <v>30039529</v>
      </c>
      <c r="O116" s="523"/>
      <c r="P116" s="523"/>
      <c r="Q116" s="523"/>
    </row>
    <row r="117" spans="1:17">
      <c r="A117" s="524" t="s">
        <v>32</v>
      </c>
      <c r="B117" s="524"/>
      <c r="C117" s="524"/>
      <c r="D117" s="524"/>
      <c r="E117" s="524"/>
      <c r="F117" s="524"/>
      <c r="G117" s="524"/>
      <c r="H117" s="524"/>
      <c r="J117" s="524" t="s">
        <v>32</v>
      </c>
      <c r="K117" s="524"/>
      <c r="L117" s="524"/>
      <c r="M117" s="524"/>
      <c r="N117" s="524"/>
      <c r="O117" s="524"/>
      <c r="P117" s="524"/>
      <c r="Q117" s="524"/>
    </row>
    <row r="118" spans="1:17">
      <c r="A118" s="33"/>
      <c r="B118" s="13"/>
      <c r="C118" s="22"/>
      <c r="D118" s="22"/>
      <c r="E118" s="22"/>
      <c r="F118" s="22"/>
      <c r="G118" s="16"/>
      <c r="H118" s="16"/>
      <c r="J118" s="33"/>
      <c r="K118" s="13"/>
      <c r="L118" s="22"/>
      <c r="M118" s="22"/>
      <c r="N118" s="22"/>
      <c r="O118" s="22"/>
      <c r="P118" s="16"/>
      <c r="Q118" s="16"/>
    </row>
    <row r="119" spans="1:17">
      <c r="A119" s="33"/>
      <c r="B119" s="13"/>
      <c r="C119" s="22"/>
      <c r="D119" s="22"/>
      <c r="E119" s="22"/>
      <c r="F119" s="22"/>
      <c r="G119" s="16"/>
      <c r="H119" s="16"/>
      <c r="J119" s="33"/>
      <c r="K119" s="13"/>
      <c r="L119" s="22"/>
      <c r="M119" s="22"/>
      <c r="N119" s="22"/>
      <c r="O119" s="22"/>
      <c r="P119" s="16"/>
      <c r="Q119" s="16"/>
    </row>
    <row r="120" spans="1:17">
      <c r="A120" s="33"/>
      <c r="B120" s="13"/>
      <c r="C120" s="22"/>
      <c r="D120" s="22"/>
      <c r="E120" s="22"/>
      <c r="F120" s="22"/>
      <c r="G120" s="16"/>
      <c r="H120" s="16"/>
      <c r="J120" s="33"/>
      <c r="K120" s="13"/>
      <c r="L120" s="22"/>
      <c r="M120" s="22"/>
      <c r="N120" s="22"/>
      <c r="O120" s="22"/>
      <c r="P120" s="16"/>
      <c r="Q120" s="16"/>
    </row>
    <row r="121" spans="1:17">
      <c r="A121" s="20"/>
      <c r="B121" s="13"/>
      <c r="C121" s="22"/>
      <c r="D121" s="22"/>
      <c r="E121" s="22"/>
      <c r="F121" s="16"/>
      <c r="G121" s="16"/>
      <c r="H121" s="16"/>
      <c r="J121" s="20"/>
      <c r="K121" s="13"/>
      <c r="L121" s="22"/>
      <c r="M121" s="22"/>
      <c r="N121" s="22"/>
      <c r="O121" s="16"/>
      <c r="P121" s="16"/>
      <c r="Q121" s="16"/>
    </row>
    <row r="122" spans="1:17">
      <c r="A122" s="20"/>
      <c r="B122" s="13"/>
      <c r="C122" s="22"/>
      <c r="D122" s="22"/>
      <c r="E122" s="22"/>
      <c r="F122" s="16"/>
      <c r="G122" s="16"/>
      <c r="H122" s="16"/>
      <c r="J122" s="20"/>
      <c r="K122" s="13"/>
      <c r="L122" s="22"/>
      <c r="M122" s="22"/>
      <c r="N122" s="22"/>
      <c r="O122" s="16"/>
      <c r="P122" s="16"/>
      <c r="Q122" s="16"/>
    </row>
    <row r="123" spans="1:17">
      <c r="A123" s="525" t="s">
        <v>37</v>
      </c>
      <c r="B123" s="525"/>
      <c r="C123" s="525"/>
      <c r="D123" s="230">
        <f>SUM(D118:D122)</f>
        <v>0</v>
      </c>
      <c r="E123" s="526"/>
      <c r="F123" s="526"/>
      <c r="G123" s="526"/>
      <c r="H123" s="526"/>
      <c r="J123" s="525" t="s">
        <v>37</v>
      </c>
      <c r="K123" s="525"/>
      <c r="L123" s="525"/>
      <c r="M123" s="234">
        <f>SUM(M118:M122)</f>
        <v>0</v>
      </c>
      <c r="N123" s="526"/>
      <c r="O123" s="526"/>
      <c r="P123" s="526"/>
      <c r="Q123" s="526"/>
    </row>
    <row r="124" spans="1:17">
      <c r="A124" s="34" t="s">
        <v>38</v>
      </c>
      <c r="B124" s="35"/>
      <c r="C124" s="230"/>
      <c r="D124" s="230"/>
      <c r="E124" s="231"/>
      <c r="F124" s="231"/>
      <c r="G124" s="526"/>
      <c r="H124" s="526"/>
      <c r="J124" s="34" t="s">
        <v>38</v>
      </c>
      <c r="K124" s="35"/>
      <c r="L124" s="234"/>
      <c r="M124" s="234"/>
      <c r="N124" s="235"/>
      <c r="O124" s="235"/>
      <c r="P124" s="526"/>
      <c r="Q124" s="526"/>
    </row>
    <row r="125" spans="1:17">
      <c r="A125" s="37"/>
      <c r="B125" s="38"/>
      <c r="C125" s="39"/>
      <c r="D125" s="39"/>
      <c r="E125" s="39"/>
      <c r="F125" s="39"/>
      <c r="G125" s="39"/>
      <c r="H125" s="39"/>
      <c r="J125" s="37"/>
      <c r="K125" s="38"/>
      <c r="L125" s="39"/>
      <c r="M125" s="39"/>
      <c r="N125" s="39"/>
      <c r="O125" s="39"/>
      <c r="P125" s="39"/>
      <c r="Q125" s="39"/>
    </row>
    <row r="126" spans="1:17">
      <c r="A126" s="519" t="s">
        <v>13</v>
      </c>
      <c r="B126" s="520"/>
      <c r="C126" s="520"/>
      <c r="D126" s="520"/>
      <c r="E126" s="521"/>
      <c r="F126" s="39"/>
      <c r="G126" s="39"/>
      <c r="H126" s="40"/>
      <c r="J126" s="519" t="s">
        <v>13</v>
      </c>
      <c r="K126" s="520"/>
      <c r="L126" s="520"/>
      <c r="M126" s="520"/>
      <c r="N126" s="521"/>
      <c r="O126" s="39"/>
      <c r="P126" s="39"/>
      <c r="Q126" s="40"/>
    </row>
    <row r="127" spans="1:17">
      <c r="A127" s="41" t="s">
        <v>39</v>
      </c>
      <c r="B127" s="42" t="s">
        <v>40</v>
      </c>
      <c r="C127" s="43" t="s">
        <v>41</v>
      </c>
      <c r="D127" s="43" t="s">
        <v>42</v>
      </c>
      <c r="E127" s="43" t="s">
        <v>43</v>
      </c>
      <c r="F127" s="39"/>
      <c r="G127" s="39"/>
      <c r="H127" s="39"/>
      <c r="J127" s="41" t="s">
        <v>39</v>
      </c>
      <c r="K127" s="42" t="s">
        <v>40</v>
      </c>
      <c r="L127" s="43" t="s">
        <v>41</v>
      </c>
      <c r="M127" s="43" t="s">
        <v>42</v>
      </c>
      <c r="N127" s="43" t="s">
        <v>43</v>
      </c>
      <c r="O127" s="39"/>
      <c r="P127" s="39"/>
      <c r="Q127" s="39"/>
    </row>
    <row r="128" spans="1:17">
      <c r="A128" s="41"/>
      <c r="B128" s="44"/>
      <c r="C128" s="45"/>
      <c r="D128" s="46"/>
      <c r="E128" s="46"/>
      <c r="F128" s="39"/>
      <c r="G128" s="39"/>
      <c r="H128" s="39"/>
      <c r="J128" s="41"/>
      <c r="K128" s="44"/>
      <c r="L128" s="45" t="s">
        <v>640</v>
      </c>
      <c r="M128" s="46">
        <v>32000000</v>
      </c>
      <c r="N128" s="46"/>
      <c r="O128" s="39"/>
      <c r="P128" s="39"/>
      <c r="Q128" s="39"/>
    </row>
    <row r="129" spans="1:17">
      <c r="A129" s="41"/>
      <c r="B129" s="44"/>
      <c r="C129" s="45"/>
      <c r="D129" s="46"/>
      <c r="E129" s="46"/>
      <c r="F129" s="39"/>
      <c r="G129" s="39"/>
      <c r="H129" s="39"/>
      <c r="J129" s="41"/>
      <c r="K129" s="44"/>
      <c r="L129" s="45"/>
      <c r="M129" s="46"/>
      <c r="N129" s="46"/>
      <c r="O129" s="39"/>
      <c r="P129" s="39"/>
      <c r="Q129" s="39"/>
    </row>
    <row r="130" spans="1:17">
      <c r="A130" s="41"/>
      <c r="B130" s="44"/>
      <c r="C130" s="45"/>
      <c r="D130" s="46"/>
      <c r="E130" s="46"/>
      <c r="F130" s="39"/>
      <c r="G130" s="39"/>
      <c r="H130" s="39"/>
      <c r="J130" s="41"/>
      <c r="K130" s="44"/>
      <c r="L130" s="45"/>
      <c r="M130" s="46"/>
      <c r="N130" s="46"/>
      <c r="O130" s="39"/>
      <c r="P130" s="39"/>
      <c r="Q130" s="39"/>
    </row>
    <row r="131" spans="1:17">
      <c r="A131" s="41"/>
      <c r="B131" s="44"/>
      <c r="C131" s="47"/>
      <c r="D131" s="46"/>
      <c r="E131" s="46"/>
      <c r="F131" s="39"/>
      <c r="G131" s="39"/>
      <c r="H131" s="39"/>
      <c r="J131" s="41"/>
      <c r="K131" s="44"/>
      <c r="L131" s="47"/>
      <c r="M131" s="46"/>
      <c r="N131" s="46"/>
      <c r="O131" s="39"/>
      <c r="P131" s="39"/>
      <c r="Q131" s="39"/>
    </row>
    <row r="132" spans="1:17">
      <c r="A132" s="41"/>
      <c r="B132" s="44"/>
      <c r="C132" s="46"/>
      <c r="D132" s="48"/>
      <c r="E132" s="46"/>
      <c r="F132" s="39"/>
      <c r="G132" s="39"/>
      <c r="H132" s="39"/>
      <c r="J132" s="41"/>
      <c r="K132" s="44"/>
      <c r="L132" s="46"/>
      <c r="M132" s="48"/>
      <c r="N132" s="46"/>
      <c r="O132" s="39"/>
      <c r="P132" s="39"/>
      <c r="Q132" s="39"/>
    </row>
    <row r="133" spans="1:17">
      <c r="A133" s="49"/>
      <c r="B133" s="50"/>
      <c r="C133" s="51" t="s">
        <v>44</v>
      </c>
      <c r="D133" s="51">
        <f>SUM(D128:D132)</f>
        <v>0</v>
      </c>
      <c r="E133" s="52"/>
      <c r="F133" s="39"/>
      <c r="G133" s="39"/>
      <c r="H133" s="39"/>
      <c r="J133" s="49"/>
      <c r="K133" s="50"/>
      <c r="L133" s="51" t="s">
        <v>44</v>
      </c>
      <c r="M133" s="51">
        <f>SUM(M128:M132)</f>
        <v>32000000</v>
      </c>
      <c r="N133" s="52">
        <f>M133-N116</f>
        <v>1960471</v>
      </c>
      <c r="O133" s="39"/>
      <c r="P133" s="39"/>
      <c r="Q133" s="39"/>
    </row>
    <row r="134" spans="1:17">
      <c r="A134" s="53"/>
      <c r="B134" s="54"/>
      <c r="C134" s="55"/>
      <c r="D134" s="116"/>
      <c r="E134" s="3"/>
      <c r="F134" s="39"/>
      <c r="G134" s="39"/>
      <c r="H134" s="39"/>
      <c r="J134" s="53"/>
      <c r="K134" s="54"/>
      <c r="L134" s="55"/>
      <c r="M134" s="116"/>
      <c r="N134" s="3"/>
      <c r="O134" s="39"/>
      <c r="P134" s="39"/>
      <c r="Q134" s="39"/>
    </row>
  </sheetData>
  <mergeCells count="66">
    <mergeCell ref="J117:Q117"/>
    <mergeCell ref="J123:L123"/>
    <mergeCell ref="N123:Q123"/>
    <mergeCell ref="P124:Q124"/>
    <mergeCell ref="J126:N126"/>
    <mergeCell ref="N114:Q114"/>
    <mergeCell ref="J115:L115"/>
    <mergeCell ref="N115:Q115"/>
    <mergeCell ref="J116:L116"/>
    <mergeCell ref="N116:Q116"/>
    <mergeCell ref="J83:Q83"/>
    <mergeCell ref="N88:Q88"/>
    <mergeCell ref="J89:Q89"/>
    <mergeCell ref="N102:Q102"/>
    <mergeCell ref="J103:Q103"/>
    <mergeCell ref="N58:Q58"/>
    <mergeCell ref="J59:Q59"/>
    <mergeCell ref="N64:Q64"/>
    <mergeCell ref="J65:Q65"/>
    <mergeCell ref="N82:Q82"/>
    <mergeCell ref="J31:M31"/>
    <mergeCell ref="N31:Q31"/>
    <mergeCell ref="J32:Q32"/>
    <mergeCell ref="N49:Q49"/>
    <mergeCell ref="J50:Q50"/>
    <mergeCell ref="J3:Q3"/>
    <mergeCell ref="J12:P12"/>
    <mergeCell ref="J13:Q13"/>
    <mergeCell ref="J14:J15"/>
    <mergeCell ref="K14:K15"/>
    <mergeCell ref="L14:L15"/>
    <mergeCell ref="M14:M15"/>
    <mergeCell ref="N14:Q14"/>
    <mergeCell ref="A3:H3"/>
    <mergeCell ref="A12:G12"/>
    <mergeCell ref="A13:H13"/>
    <mergeCell ref="A14:A15"/>
    <mergeCell ref="B14:B15"/>
    <mergeCell ref="C14:C15"/>
    <mergeCell ref="D14:D15"/>
    <mergeCell ref="E14:H14"/>
    <mergeCell ref="E88:H88"/>
    <mergeCell ref="A31:D31"/>
    <mergeCell ref="E31:H31"/>
    <mergeCell ref="A32:H32"/>
    <mergeCell ref="E49:H49"/>
    <mergeCell ref="A50:H50"/>
    <mergeCell ref="E58:H58"/>
    <mergeCell ref="A59:H59"/>
    <mergeCell ref="E64:H64"/>
    <mergeCell ref="A65:H65"/>
    <mergeCell ref="E82:H82"/>
    <mergeCell ref="A83:H83"/>
    <mergeCell ref="A89:H89"/>
    <mergeCell ref="E102:H102"/>
    <mergeCell ref="A103:H103"/>
    <mergeCell ref="E114:H114"/>
    <mergeCell ref="A115:C115"/>
    <mergeCell ref="E115:H115"/>
    <mergeCell ref="A126:E126"/>
    <mergeCell ref="A116:C116"/>
    <mergeCell ref="E116:H116"/>
    <mergeCell ref="A117:H117"/>
    <mergeCell ref="A123:C123"/>
    <mergeCell ref="E123:H123"/>
    <mergeCell ref="G124:H124"/>
  </mergeCells>
  <pageMargins left="0.3" right="0.12" top="0.49" bottom="0.11811023622047245" header="0.11811023622047245" footer="0.11811023622047245"/>
  <pageSetup paperSize="9" scale="72" orientation="portrait" r:id="rId1"/>
  <rowBreaks count="1" manualBreakCount="1">
    <brk id="116" max="7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39"/>
  <sheetViews>
    <sheetView workbookViewId="0"/>
  </sheetViews>
  <sheetFormatPr defaultRowHeight="15"/>
  <cols>
    <col min="1" max="1" width="44" bestFit="1" customWidth="1"/>
    <col min="2" max="2" width="11.5703125" bestFit="1" customWidth="1"/>
    <col min="3" max="3" width="25" bestFit="1" customWidth="1"/>
    <col min="4" max="4" width="10.5703125" bestFit="1" customWidth="1"/>
    <col min="5" max="5" width="65" bestFit="1" customWidth="1"/>
    <col min="6" max="6" width="10.5703125" bestFit="1" customWidth="1"/>
    <col min="7" max="7" width="74.28515625" bestFit="1" customWidth="1"/>
    <col min="8" max="8" width="12.5703125" bestFit="1" customWidth="1"/>
    <col min="9" max="9" width="52.85546875" bestFit="1" customWidth="1"/>
    <col min="10" max="10" width="10.5703125" bestFit="1" customWidth="1"/>
    <col min="12" max="12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84" customFormat="1">
      <c r="A2" s="23" t="s">
        <v>615</v>
      </c>
      <c r="B2" s="23">
        <v>6635000</v>
      </c>
      <c r="C2" s="24" t="s">
        <v>601</v>
      </c>
      <c r="D2" s="23">
        <v>150000</v>
      </c>
      <c r="E2" s="15" t="s">
        <v>605</v>
      </c>
      <c r="F2" s="22">
        <v>150000</v>
      </c>
      <c r="G2" s="24" t="s">
        <v>587</v>
      </c>
      <c r="H2" s="23">
        <v>1700000</v>
      </c>
      <c r="I2" s="77" t="s">
        <v>598</v>
      </c>
      <c r="J2" s="30">
        <v>189990</v>
      </c>
    </row>
    <row r="3" spans="1:10" s="184" customFormat="1">
      <c r="A3" s="24" t="s">
        <v>263</v>
      </c>
      <c r="B3" s="23">
        <v>1540000</v>
      </c>
      <c r="C3" s="24" t="s">
        <v>410</v>
      </c>
      <c r="D3" s="23">
        <v>900000</v>
      </c>
      <c r="E3" s="15" t="s">
        <v>606</v>
      </c>
      <c r="F3" s="23">
        <v>200000</v>
      </c>
      <c r="G3" s="24" t="s">
        <v>631</v>
      </c>
      <c r="H3" s="23">
        <v>942500</v>
      </c>
      <c r="I3" s="183" t="s">
        <v>223</v>
      </c>
      <c r="J3" s="30">
        <v>300000</v>
      </c>
    </row>
    <row r="4" spans="1:10" s="184" customFormat="1">
      <c r="A4" s="24" t="s">
        <v>619</v>
      </c>
      <c r="B4" s="23">
        <v>300000</v>
      </c>
      <c r="C4" s="183"/>
      <c r="D4" s="30"/>
      <c r="E4" s="15" t="s">
        <v>608</v>
      </c>
      <c r="F4" s="23">
        <v>1393000</v>
      </c>
      <c r="G4" s="23" t="s">
        <v>630</v>
      </c>
      <c r="H4" s="23">
        <v>389500</v>
      </c>
      <c r="I4" s="183" t="s">
        <v>494</v>
      </c>
      <c r="J4" s="30">
        <v>32000</v>
      </c>
    </row>
    <row r="5" spans="1:10" s="184" customFormat="1">
      <c r="A5" s="24" t="s">
        <v>620</v>
      </c>
      <c r="B5" s="23">
        <v>1500000</v>
      </c>
      <c r="C5" s="30"/>
      <c r="D5" s="185"/>
      <c r="E5" s="23" t="s">
        <v>609</v>
      </c>
      <c r="F5" s="23">
        <v>649000</v>
      </c>
      <c r="G5" s="24" t="s">
        <v>633</v>
      </c>
      <c r="H5" s="23">
        <v>130000</v>
      </c>
      <c r="I5" s="183" t="s">
        <v>599</v>
      </c>
      <c r="J5" s="183">
        <v>20000</v>
      </c>
    </row>
    <row r="6" spans="1:10" s="187" customFormat="1">
      <c r="A6" s="24" t="s">
        <v>622</v>
      </c>
      <c r="B6" s="23">
        <v>500000</v>
      </c>
      <c r="C6" s="186"/>
      <c r="D6" s="185"/>
      <c r="E6" s="183"/>
      <c r="F6" s="30"/>
      <c r="G6" s="24" t="s">
        <v>635</v>
      </c>
      <c r="H6" s="23">
        <v>175000</v>
      </c>
      <c r="I6" s="23" t="s">
        <v>612</v>
      </c>
      <c r="J6" s="23">
        <v>400000</v>
      </c>
    </row>
    <row r="7" spans="1:10" s="187" customFormat="1">
      <c r="A7" s="22" t="s">
        <v>621</v>
      </c>
      <c r="B7" s="22">
        <v>600000</v>
      </c>
      <c r="C7" s="30"/>
      <c r="D7" s="188"/>
      <c r="E7" s="183"/>
      <c r="F7" s="30"/>
      <c r="G7" s="24" t="s">
        <v>637</v>
      </c>
      <c r="H7" s="23">
        <v>150000</v>
      </c>
      <c r="I7" s="14" t="s">
        <v>627</v>
      </c>
      <c r="J7" s="15">
        <v>1115000</v>
      </c>
    </row>
    <row r="8" spans="1:10" s="187" customFormat="1">
      <c r="A8" s="22" t="s">
        <v>623</v>
      </c>
      <c r="B8" s="22">
        <v>1000000</v>
      </c>
      <c r="C8" s="30"/>
      <c r="D8" s="188"/>
      <c r="E8" s="30"/>
      <c r="F8" s="188"/>
      <c r="G8" s="15" t="s">
        <v>642</v>
      </c>
      <c r="H8" s="23">
        <v>720000</v>
      </c>
      <c r="I8" s="30"/>
      <c r="J8" s="188"/>
    </row>
    <row r="9" spans="1:10" s="187" customFormat="1">
      <c r="A9" s="22" t="s">
        <v>624</v>
      </c>
      <c r="B9" s="29">
        <v>2250000</v>
      </c>
      <c r="C9" s="30"/>
      <c r="D9" s="188"/>
      <c r="E9" s="185"/>
      <c r="F9" s="189"/>
      <c r="G9" s="14" t="s">
        <v>603</v>
      </c>
      <c r="H9" s="15">
        <v>200000</v>
      </c>
      <c r="I9" s="30"/>
      <c r="J9" s="188"/>
    </row>
    <row r="10" spans="1:10" s="187" customFormat="1">
      <c r="A10" s="22" t="s">
        <v>625</v>
      </c>
      <c r="B10" s="29">
        <v>5808539</v>
      </c>
      <c r="C10" s="190"/>
      <c r="D10" s="190"/>
      <c r="E10" s="185"/>
      <c r="F10" s="189"/>
      <c r="G10" s="14"/>
      <c r="H10" s="15"/>
      <c r="I10" s="30"/>
      <c r="J10" s="188"/>
    </row>
    <row r="11" spans="1:10" s="187" customFormat="1" hidden="1">
      <c r="A11" s="23"/>
      <c r="B11" s="23"/>
      <c r="C11" s="190"/>
      <c r="D11" s="190"/>
      <c r="E11" s="185"/>
      <c r="F11" s="189"/>
      <c r="G11" s="24"/>
      <c r="H11" s="23"/>
      <c r="I11" s="30"/>
      <c r="J11" s="188"/>
    </row>
    <row r="12" spans="1:10" s="187" customFormat="1" hidden="1">
      <c r="A12" s="186"/>
      <c r="B12" s="185"/>
      <c r="C12" s="190"/>
      <c r="D12" s="190"/>
      <c r="E12" s="185"/>
      <c r="F12" s="189"/>
      <c r="G12" s="24"/>
      <c r="H12" s="23"/>
      <c r="I12" s="30"/>
      <c r="J12" s="188"/>
    </row>
    <row r="13" spans="1:10" s="187" customFormat="1" hidden="1">
      <c r="A13" s="186"/>
      <c r="B13" s="185"/>
      <c r="C13" s="190"/>
      <c r="D13" s="190"/>
      <c r="E13" s="185"/>
      <c r="F13" s="189"/>
      <c r="G13" s="23"/>
      <c r="H13" s="23"/>
      <c r="I13" s="191"/>
      <c r="J13" s="192"/>
    </row>
    <row r="14" spans="1:10" s="187" customFormat="1" hidden="1">
      <c r="A14" s="193"/>
      <c r="B14" s="194"/>
      <c r="C14" s="194"/>
      <c r="D14" s="194"/>
      <c r="E14" s="194"/>
      <c r="F14" s="194"/>
      <c r="G14" s="23"/>
      <c r="H14" s="23"/>
      <c r="I14" s="193"/>
      <c r="J14" s="194"/>
    </row>
    <row r="15" spans="1:10" s="187" customFormat="1" hidden="1">
      <c r="A15" s="193"/>
      <c r="B15" s="194"/>
      <c r="C15" s="194"/>
      <c r="D15" s="194"/>
      <c r="E15" s="194"/>
      <c r="F15" s="194"/>
      <c r="G15" s="23"/>
      <c r="H15" s="23"/>
      <c r="I15" s="193"/>
      <c r="J15" s="194"/>
    </row>
    <row r="16" spans="1:10" s="187" customFormat="1" hidden="1">
      <c r="A16" s="193"/>
      <c r="B16" s="194"/>
      <c r="C16" s="194"/>
      <c r="D16" s="194"/>
      <c r="E16" s="194"/>
      <c r="F16" s="194"/>
      <c r="G16" s="22"/>
      <c r="H16" s="22"/>
      <c r="I16" s="193"/>
      <c r="J16" s="194"/>
    </row>
    <row r="17" spans="1:12" s="187" customFormat="1" hidden="1">
      <c r="A17" s="193"/>
      <c r="B17" s="194"/>
      <c r="C17" s="194"/>
      <c r="D17" s="194"/>
      <c r="E17" s="194"/>
      <c r="F17" s="194"/>
      <c r="G17" s="15"/>
      <c r="H17" s="23"/>
      <c r="I17" s="193"/>
      <c r="J17" s="194"/>
    </row>
    <row r="18" spans="1:12" s="187" customFormat="1" hidden="1">
      <c r="A18" s="193"/>
      <c r="B18" s="194"/>
      <c r="C18" s="194"/>
      <c r="D18" s="194"/>
      <c r="E18" s="194"/>
      <c r="F18" s="194"/>
      <c r="G18" s="22"/>
      <c r="H18" s="22"/>
      <c r="I18" s="193"/>
      <c r="J18" s="194"/>
    </row>
    <row r="19" spans="1:12" s="187" customFormat="1" hidden="1">
      <c r="A19" s="193"/>
      <c r="B19" s="194"/>
      <c r="C19" s="194"/>
      <c r="D19" s="194"/>
      <c r="E19" s="194"/>
      <c r="F19" s="194"/>
      <c r="G19" s="24"/>
      <c r="H19" s="23"/>
      <c r="I19" s="193"/>
      <c r="J19" s="194"/>
    </row>
    <row r="20" spans="1:12" s="187" customFormat="1" hidden="1">
      <c r="A20" s="193"/>
      <c r="B20" s="194"/>
      <c r="C20" s="194"/>
      <c r="D20" s="194"/>
      <c r="E20" s="194"/>
      <c r="F20" s="194"/>
      <c r="G20" s="186"/>
      <c r="H20" s="185"/>
      <c r="I20" s="193"/>
      <c r="J20" s="194"/>
    </row>
    <row r="21" spans="1:12" s="187" customFormat="1" hidden="1">
      <c r="A21" s="193"/>
      <c r="B21" s="194"/>
      <c r="C21" s="194"/>
      <c r="D21" s="194"/>
      <c r="E21" s="194"/>
      <c r="F21" s="194"/>
      <c r="G21" s="186"/>
      <c r="H21" s="185"/>
      <c r="I21" s="193"/>
      <c r="J21" s="194"/>
    </row>
    <row r="22" spans="1:12" s="187" customFormat="1" hidden="1">
      <c r="A22" s="193"/>
      <c r="B22" s="194"/>
      <c r="C22" s="194"/>
      <c r="D22" s="194"/>
      <c r="E22" s="194"/>
      <c r="F22" s="194"/>
      <c r="G22" s="196"/>
      <c r="H22" s="196"/>
      <c r="I22" s="193"/>
      <c r="J22" s="194"/>
    </row>
    <row r="23" spans="1:12" s="187" customFormat="1" hidden="1">
      <c r="A23" s="193"/>
      <c r="B23" s="194"/>
      <c r="C23" s="194"/>
      <c r="D23" s="194"/>
      <c r="E23" s="194"/>
      <c r="F23" s="194"/>
      <c r="G23" s="196"/>
      <c r="H23" s="196"/>
      <c r="I23" s="193"/>
      <c r="J23" s="194"/>
    </row>
    <row r="24" spans="1:12" s="187" customFormat="1" hidden="1">
      <c r="A24" s="193"/>
      <c r="B24" s="194"/>
      <c r="C24" s="194"/>
      <c r="D24" s="194"/>
      <c r="E24" s="194"/>
      <c r="F24" s="194"/>
      <c r="G24" s="196"/>
      <c r="H24" s="196"/>
      <c r="I24" s="193"/>
      <c r="J24" s="194"/>
    </row>
    <row r="25" spans="1:12" s="187" customFormat="1" hidden="1">
      <c r="A25" s="193"/>
      <c r="B25" s="194"/>
      <c r="C25" s="194"/>
      <c r="D25" s="194"/>
      <c r="E25" s="194"/>
      <c r="F25" s="194"/>
      <c r="G25" s="196"/>
      <c r="H25" s="196"/>
      <c r="I25" s="193"/>
      <c r="J25" s="194"/>
    </row>
    <row r="26" spans="1:12" s="187" customFormat="1" hidden="1">
      <c r="A26" s="193"/>
      <c r="B26" s="194"/>
      <c r="C26" s="194"/>
      <c r="D26" s="194"/>
      <c r="E26" s="194"/>
      <c r="F26" s="194"/>
      <c r="G26" s="196"/>
      <c r="H26" s="196"/>
      <c r="I26" s="193"/>
      <c r="J26" s="194"/>
    </row>
    <row r="27" spans="1:12" hidden="1">
      <c r="A27" s="68"/>
      <c r="B27" s="69"/>
      <c r="C27" s="69"/>
      <c r="D27" s="69"/>
      <c r="E27" s="69"/>
      <c r="F27" s="69"/>
      <c r="G27" s="119"/>
      <c r="H27" s="120"/>
      <c r="I27" s="68"/>
      <c r="J27" s="69"/>
    </row>
    <row r="28" spans="1:12">
      <c r="A28" s="70"/>
      <c r="B28" s="71">
        <f>SUM(B2:B26)</f>
        <v>20133539</v>
      </c>
      <c r="C28" s="71">
        <f t="shared" ref="C28:J28" si="0">SUM(C2:C26)</f>
        <v>0</v>
      </c>
      <c r="D28" s="71">
        <f t="shared" si="0"/>
        <v>1050000</v>
      </c>
      <c r="E28" s="71">
        <f t="shared" si="0"/>
        <v>0</v>
      </c>
      <c r="F28" s="71">
        <f t="shared" si="0"/>
        <v>2392000</v>
      </c>
      <c r="G28" s="71">
        <f>SUM(G2:G26)</f>
        <v>0</v>
      </c>
      <c r="H28" s="71">
        <f>SUM(H2:H26)</f>
        <v>4407000</v>
      </c>
      <c r="I28" s="71">
        <f t="shared" si="0"/>
        <v>0</v>
      </c>
      <c r="J28" s="71">
        <f t="shared" si="0"/>
        <v>2056990</v>
      </c>
      <c r="K28" s="72"/>
      <c r="L28" s="72">
        <f>SUM(B28:K28)</f>
        <v>30039529</v>
      </c>
    </row>
    <row r="29" spans="1:12">
      <c r="B29" s="77"/>
      <c r="C29" t="s">
        <v>317</v>
      </c>
      <c r="D29" s="77">
        <v>100000</v>
      </c>
      <c r="E29" s="77"/>
      <c r="F29" s="77"/>
      <c r="L29" s="72">
        <f>L28-Sheet22!N116</f>
        <v>0</v>
      </c>
    </row>
    <row r="30" spans="1:12">
      <c r="A30" t="s">
        <v>644</v>
      </c>
      <c r="B30" s="72">
        <v>5800000</v>
      </c>
      <c r="C30" t="s">
        <v>643</v>
      </c>
      <c r="D30" s="77">
        <v>100000</v>
      </c>
      <c r="F30" s="72">
        <f>5000000-F28-J28</f>
        <v>551010</v>
      </c>
    </row>
    <row r="31" spans="1:12">
      <c r="A31" t="s">
        <v>645</v>
      </c>
      <c r="B31" s="72">
        <f>B28-B30</f>
        <v>14333539</v>
      </c>
    </row>
    <row r="32" spans="1:12">
      <c r="D32" s="72">
        <f>D28-D29-D30</f>
        <v>850000</v>
      </c>
    </row>
    <row r="36" spans="1:3">
      <c r="A36" s="23" t="s">
        <v>614</v>
      </c>
      <c r="B36" s="23">
        <f>22570000-2000000-2010000-200000</f>
        <v>18360000</v>
      </c>
      <c r="C36" s="72"/>
    </row>
    <row r="37" spans="1:3">
      <c r="A37" s="23" t="s">
        <v>618</v>
      </c>
      <c r="B37" s="23">
        <v>30000000</v>
      </c>
    </row>
    <row r="38" spans="1:3">
      <c r="A38" s="23" t="s">
        <v>617</v>
      </c>
      <c r="B38" s="23">
        <v>50000000</v>
      </c>
    </row>
    <row r="39" spans="1:3">
      <c r="B39" s="72">
        <f>SUM(B36:B38)</f>
        <v>98360000</v>
      </c>
      <c r="C39" s="7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35"/>
  <sheetViews>
    <sheetView workbookViewId="0"/>
  </sheetViews>
  <sheetFormatPr defaultRowHeight="15"/>
  <cols>
    <col min="1" max="1" width="5.28515625" customWidth="1"/>
    <col min="2" max="2" width="9" customWidth="1"/>
    <col min="3" max="3" width="55.42578125" customWidth="1"/>
    <col min="4" max="4" width="12.140625" customWidth="1"/>
    <col min="5" max="5" width="9.42578125" customWidth="1"/>
    <col min="6" max="6" width="8.85546875" customWidth="1"/>
    <col min="7" max="7" width="9.140625" customWidth="1"/>
    <col min="8" max="8" width="12.42578125" customWidth="1"/>
    <col min="10" max="10" width="12.5703125" bestFit="1" customWidth="1"/>
    <col min="11" max="11" width="10" bestFit="1" customWidth="1"/>
    <col min="12" max="12" width="60.85546875" bestFit="1" customWidth="1"/>
    <col min="13" max="13" width="13.5703125" bestFit="1" customWidth="1"/>
    <col min="17" max="17" width="12" bestFit="1" customWidth="1"/>
    <col min="19" max="19" width="10.57031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679</v>
      </c>
      <c r="B2" s="2"/>
      <c r="C2" s="3"/>
      <c r="D2" s="3"/>
      <c r="E2" s="3"/>
      <c r="F2" s="3"/>
      <c r="G2" s="3"/>
      <c r="H2" s="3"/>
      <c r="J2" s="1" t="s">
        <v>679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100687293</v>
      </c>
      <c r="E4" s="6"/>
      <c r="F4" s="6"/>
      <c r="G4" s="6"/>
      <c r="H4" s="6"/>
      <c r="J4" s="4"/>
      <c r="K4" s="5"/>
      <c r="L4" s="6" t="s">
        <v>2</v>
      </c>
      <c r="M4" s="7">
        <v>100687293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/>
      <c r="E5" s="6"/>
      <c r="F5" s="6"/>
      <c r="G5" s="6"/>
      <c r="H5" s="6"/>
      <c r="J5" s="4"/>
      <c r="K5" s="5"/>
      <c r="L5" s="6" t="s">
        <v>590</v>
      </c>
      <c r="M5" s="7"/>
      <c r="N5" s="6"/>
      <c r="O5" s="6"/>
      <c r="P5" s="6"/>
      <c r="Q5" s="6"/>
    </row>
    <row r="6" spans="1:17">
      <c r="A6" s="4"/>
      <c r="B6" s="5"/>
      <c r="C6" s="6" t="s">
        <v>3</v>
      </c>
      <c r="D6" s="8">
        <v>290765</v>
      </c>
      <c r="E6" s="6"/>
      <c r="F6" s="6"/>
      <c r="G6" s="6"/>
      <c r="H6" s="6"/>
      <c r="J6" s="4"/>
      <c r="K6" s="5"/>
      <c r="L6" s="6" t="s">
        <v>3</v>
      </c>
      <c r="M6" s="8">
        <v>290765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1189810.5900000334</v>
      </c>
      <c r="E7" s="6"/>
      <c r="F7" s="6"/>
      <c r="G7" s="6"/>
      <c r="H7" s="6"/>
      <c r="J7" s="4"/>
      <c r="K7" s="5"/>
      <c r="L7" s="6" t="s">
        <v>4</v>
      </c>
      <c r="M7" s="115">
        <v>1189810.5900000334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17000000</v>
      </c>
      <c r="E10" s="6"/>
      <c r="F10" s="6"/>
      <c r="G10" s="6"/>
      <c r="H10" s="6"/>
      <c r="J10" s="4"/>
      <c r="K10" s="5"/>
      <c r="L10" s="6" t="s">
        <v>7</v>
      </c>
      <c r="M10" s="6">
        <v>17000000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680</v>
      </c>
      <c r="B12" s="532"/>
      <c r="C12" s="532"/>
      <c r="D12" s="532"/>
      <c r="E12" s="532"/>
      <c r="F12" s="532"/>
      <c r="G12" s="533"/>
      <c r="H12" s="10">
        <f>SUM(D4:D10)</f>
        <v>123611757.10333335</v>
      </c>
      <c r="J12" s="531" t="s">
        <v>680</v>
      </c>
      <c r="K12" s="532"/>
      <c r="L12" s="532"/>
      <c r="M12" s="532"/>
      <c r="N12" s="532"/>
      <c r="O12" s="532"/>
      <c r="P12" s="533"/>
      <c r="Q12" s="10">
        <f>SUM(M4:M10)</f>
        <v>123611757.10333335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243" t="s">
        <v>14</v>
      </c>
      <c r="F15" s="243" t="s">
        <v>15</v>
      </c>
      <c r="G15" s="243" t="s">
        <v>16</v>
      </c>
      <c r="H15" s="243" t="s">
        <v>17</v>
      </c>
      <c r="J15" s="536"/>
      <c r="K15" s="537"/>
      <c r="L15" s="538"/>
      <c r="M15" s="538"/>
      <c r="N15" s="248" t="s">
        <v>14</v>
      </c>
      <c r="O15" s="248" t="s">
        <v>15</v>
      </c>
      <c r="P15" s="248" t="s">
        <v>16</v>
      </c>
      <c r="Q15" s="248" t="s">
        <v>17</v>
      </c>
    </row>
    <row r="16" spans="1:17">
      <c r="A16" s="12"/>
      <c r="B16" s="19" t="s">
        <v>652</v>
      </c>
      <c r="C16" s="14" t="s">
        <v>653</v>
      </c>
      <c r="D16" s="77">
        <v>100000</v>
      </c>
      <c r="E16" s="168"/>
      <c r="F16" s="168"/>
      <c r="G16" s="168"/>
      <c r="H16" s="168"/>
      <c r="J16" s="12"/>
      <c r="K16" s="19" t="s">
        <v>652</v>
      </c>
      <c r="L16" s="14" t="s">
        <v>653</v>
      </c>
      <c r="M16" s="77">
        <v>100000</v>
      </c>
      <c r="N16" s="168"/>
      <c r="O16" s="168"/>
      <c r="P16" s="168"/>
      <c r="Q16" s="168"/>
    </row>
    <row r="17" spans="1:17">
      <c r="A17" s="12"/>
      <c r="B17" s="19" t="s">
        <v>652</v>
      </c>
      <c r="C17" s="14" t="s">
        <v>654</v>
      </c>
      <c r="D17" s="167">
        <v>100000</v>
      </c>
      <c r="E17" s="16"/>
      <c r="F17" s="16"/>
      <c r="G17" s="16"/>
      <c r="H17" s="16"/>
      <c r="J17" s="12"/>
      <c r="K17" s="19" t="s">
        <v>652</v>
      </c>
      <c r="L17" s="14" t="s">
        <v>654</v>
      </c>
      <c r="M17" s="167">
        <v>100000</v>
      </c>
      <c r="N17" s="16"/>
      <c r="O17" s="16"/>
      <c r="P17" s="16"/>
      <c r="Q17" s="16"/>
    </row>
    <row r="18" spans="1:17">
      <c r="A18" s="12"/>
      <c r="B18" s="19" t="s">
        <v>652</v>
      </c>
      <c r="C18" s="14" t="s">
        <v>655</v>
      </c>
      <c r="D18" s="15">
        <v>150000</v>
      </c>
      <c r="E18" s="16"/>
      <c r="F18" s="16"/>
      <c r="G18" s="16"/>
      <c r="H18" s="16"/>
      <c r="J18" s="12"/>
      <c r="K18" s="19" t="s">
        <v>652</v>
      </c>
      <c r="L18" s="14" t="s">
        <v>655</v>
      </c>
      <c r="M18" s="15">
        <v>150000</v>
      </c>
      <c r="N18" s="16"/>
      <c r="O18" s="16"/>
      <c r="P18" s="16"/>
      <c r="Q18" s="16"/>
    </row>
    <row r="19" spans="1:17">
      <c r="A19" s="12"/>
      <c r="B19" s="19"/>
      <c r="C19" s="14"/>
      <c r="D19" s="15"/>
      <c r="E19" s="16"/>
      <c r="F19" s="16"/>
      <c r="G19" s="16"/>
      <c r="H19" s="16"/>
      <c r="J19" s="12"/>
      <c r="K19" s="19"/>
      <c r="L19" s="14"/>
      <c r="M19" s="15"/>
      <c r="N19" s="16"/>
      <c r="O19" s="16"/>
      <c r="P19" s="16"/>
      <c r="Q19" s="16"/>
    </row>
    <row r="20" spans="1:17" hidden="1">
      <c r="A20" s="12"/>
      <c r="B20" s="19"/>
      <c r="C20" s="14"/>
      <c r="D20" s="15"/>
      <c r="E20" s="16"/>
      <c r="F20" s="16"/>
      <c r="G20" s="16"/>
      <c r="H20" s="16"/>
      <c r="J20" s="12"/>
      <c r="K20" s="19"/>
      <c r="L20" s="14"/>
      <c r="M20" s="15"/>
      <c r="N20" s="16"/>
      <c r="O20" s="16"/>
      <c r="P20" s="16"/>
      <c r="Q20" s="16"/>
    </row>
    <row r="21" spans="1:17" hidden="1">
      <c r="A21" s="12"/>
      <c r="B21" s="19"/>
      <c r="C21" s="14"/>
      <c r="D21" s="15"/>
      <c r="E21" s="16"/>
      <c r="F21" s="16"/>
      <c r="G21" s="16"/>
      <c r="H21" s="16"/>
      <c r="J21" s="12"/>
      <c r="K21" s="19"/>
      <c r="L21" s="14"/>
      <c r="M21" s="15"/>
      <c r="N21" s="16"/>
      <c r="O21" s="16"/>
      <c r="P21" s="16"/>
      <c r="Q21" s="16"/>
    </row>
    <row r="22" spans="1:17" hidden="1">
      <c r="A22" s="12"/>
      <c r="B22" s="19"/>
      <c r="C22" s="14"/>
      <c r="D22" s="15"/>
      <c r="E22" s="16"/>
      <c r="F22" s="16"/>
      <c r="G22" s="16"/>
      <c r="H22" s="16"/>
      <c r="J22" s="12"/>
      <c r="K22" s="19"/>
      <c r="L22" s="14"/>
      <c r="M22" s="15"/>
      <c r="N22" s="16"/>
      <c r="O22" s="16"/>
      <c r="P22" s="16"/>
      <c r="Q22" s="16"/>
    </row>
    <row r="23" spans="1:17" hidden="1">
      <c r="A23" s="12"/>
      <c r="B23" s="19"/>
      <c r="C23" s="14"/>
      <c r="D23" s="15"/>
      <c r="E23" s="16"/>
      <c r="F23" s="16"/>
      <c r="G23" s="16"/>
      <c r="H23" s="16"/>
      <c r="J23" s="12"/>
      <c r="K23" s="19"/>
      <c r="L23" s="14"/>
      <c r="M23" s="15"/>
      <c r="N23" s="16"/>
      <c r="O23" s="16"/>
      <c r="P23" s="16"/>
      <c r="Q23" s="16"/>
    </row>
    <row r="24" spans="1:17" hidden="1">
      <c r="A24" s="12"/>
      <c r="B24" s="19"/>
      <c r="C24" s="14"/>
      <c r="D24" s="15"/>
      <c r="E24" s="16"/>
      <c r="F24" s="16"/>
      <c r="G24" s="16"/>
      <c r="H24" s="16"/>
      <c r="J24" s="12"/>
      <c r="K24" s="19"/>
      <c r="L24" s="14"/>
      <c r="M24" s="15"/>
      <c r="N24" s="16"/>
      <c r="O24" s="16"/>
      <c r="P24" s="16"/>
      <c r="Q24" s="16"/>
    </row>
    <row r="25" spans="1:17" hidden="1">
      <c r="A25" s="12"/>
      <c r="B25" s="19"/>
      <c r="C25" s="14"/>
      <c r="D25" s="15"/>
      <c r="E25" s="16"/>
      <c r="F25" s="16"/>
      <c r="G25" s="16"/>
      <c r="H25" s="16"/>
      <c r="J25" s="12"/>
      <c r="K25" s="19"/>
      <c r="L25" s="14"/>
      <c r="M25" s="15"/>
      <c r="N25" s="16"/>
      <c r="O25" s="16"/>
      <c r="P25" s="16"/>
      <c r="Q25" s="16"/>
    </row>
    <row r="26" spans="1:17" hidden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7" hidden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7" hidden="1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243" t="s">
        <v>20</v>
      </c>
      <c r="D29" s="10">
        <f>SUM(D16:D26)</f>
        <v>350000</v>
      </c>
      <c r="E29" s="10"/>
      <c r="F29" s="10"/>
      <c r="G29" s="10"/>
      <c r="H29" s="10"/>
      <c r="J29" s="18"/>
      <c r="K29" s="19"/>
      <c r="L29" s="248" t="s">
        <v>20</v>
      </c>
      <c r="M29" s="10">
        <f>SUM(M16:M26)</f>
        <v>350000</v>
      </c>
      <c r="N29" s="10"/>
      <c r="O29" s="10"/>
      <c r="P29" s="10"/>
      <c r="Q29" s="10"/>
    </row>
    <row r="30" spans="1:17">
      <c r="A30" s="20"/>
      <c r="B30" s="241"/>
      <c r="C30" s="152" t="s">
        <v>21</v>
      </c>
      <c r="D30" s="150"/>
      <c r="E30" s="150"/>
      <c r="F30" s="150"/>
      <c r="G30" s="151"/>
      <c r="H30" s="21">
        <f>+D29</f>
        <v>350000</v>
      </c>
      <c r="J30" s="20"/>
      <c r="K30" s="246"/>
      <c r="L30" s="152" t="s">
        <v>21</v>
      </c>
      <c r="M30" s="150"/>
      <c r="N30" s="150"/>
      <c r="O30" s="150"/>
      <c r="P30" s="151"/>
      <c r="Q30" s="21">
        <f>+M29</f>
        <v>350000</v>
      </c>
    </row>
    <row r="31" spans="1:17">
      <c r="A31" s="526" t="s">
        <v>22</v>
      </c>
      <c r="B31" s="526"/>
      <c r="C31" s="526"/>
      <c r="D31" s="526"/>
      <c r="E31" s="526">
        <f>+H30</f>
        <v>350000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350000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9">
      <c r="A33" s="12"/>
      <c r="B33" s="19" t="s">
        <v>650</v>
      </c>
      <c r="C33" s="15" t="s">
        <v>649</v>
      </c>
      <c r="D33" s="22">
        <v>1500000</v>
      </c>
      <c r="E33" s="22"/>
      <c r="F33" s="22"/>
      <c r="G33" s="16"/>
      <c r="H33" s="16"/>
      <c r="J33" s="12"/>
      <c r="K33" s="19" t="s">
        <v>650</v>
      </c>
      <c r="L33" s="15" t="s">
        <v>649</v>
      </c>
      <c r="M33" s="22">
        <v>1500000</v>
      </c>
      <c r="N33" s="22"/>
      <c r="O33" s="22"/>
      <c r="P33" s="16"/>
      <c r="Q33" s="16"/>
    </row>
    <row r="34" spans="1:19">
      <c r="A34" s="12"/>
      <c r="B34" s="19" t="s">
        <v>650</v>
      </c>
      <c r="C34" s="15" t="s">
        <v>651</v>
      </c>
      <c r="D34" s="22">
        <v>125000</v>
      </c>
      <c r="E34" s="22"/>
      <c r="F34" s="22"/>
      <c r="G34" s="16"/>
      <c r="H34" s="16"/>
      <c r="J34" s="12"/>
      <c r="K34" s="19" t="s">
        <v>650</v>
      </c>
      <c r="L34" s="15" t="s">
        <v>651</v>
      </c>
      <c r="M34" s="22">
        <v>125000</v>
      </c>
      <c r="N34" s="22"/>
      <c r="O34" s="22"/>
      <c r="P34" s="16"/>
      <c r="Q34" s="16"/>
    </row>
    <row r="35" spans="1:19">
      <c r="A35" s="12"/>
      <c r="B35" s="19" t="s">
        <v>657</v>
      </c>
      <c r="C35" s="15" t="s">
        <v>656</v>
      </c>
      <c r="D35" s="23">
        <v>170000</v>
      </c>
      <c r="E35" s="22"/>
      <c r="F35" s="22"/>
      <c r="G35" s="16"/>
      <c r="H35" s="16"/>
      <c r="J35" s="12"/>
      <c r="K35" s="19" t="s">
        <v>657</v>
      </c>
      <c r="L35" s="15" t="s">
        <v>656</v>
      </c>
      <c r="M35" s="23">
        <v>170000</v>
      </c>
      <c r="N35" s="22"/>
      <c r="O35" s="22"/>
      <c r="P35" s="16"/>
      <c r="Q35" s="16"/>
    </row>
    <row r="36" spans="1:19">
      <c r="A36" s="12"/>
      <c r="B36" s="19" t="s">
        <v>657</v>
      </c>
      <c r="C36" s="15" t="s">
        <v>150</v>
      </c>
      <c r="D36" s="23">
        <v>150000</v>
      </c>
      <c r="E36" s="22"/>
      <c r="F36" s="22"/>
      <c r="G36" s="16"/>
      <c r="H36" s="16"/>
      <c r="J36" s="12"/>
      <c r="K36" s="19" t="s">
        <v>657</v>
      </c>
      <c r="L36" s="15" t="s">
        <v>150</v>
      </c>
      <c r="M36" s="23">
        <v>150000</v>
      </c>
      <c r="N36" s="22"/>
      <c r="O36" s="22"/>
      <c r="P36" s="16"/>
      <c r="Q36" s="16"/>
    </row>
    <row r="37" spans="1:19">
      <c r="A37" s="12"/>
      <c r="B37" s="19" t="s">
        <v>658</v>
      </c>
      <c r="C37" s="15" t="s">
        <v>659</v>
      </c>
      <c r="D37" s="23">
        <v>207000</v>
      </c>
      <c r="E37" s="22"/>
      <c r="F37" s="22"/>
      <c r="G37" s="16"/>
      <c r="H37" s="16"/>
      <c r="J37" s="12"/>
      <c r="K37" s="19" t="s">
        <v>658</v>
      </c>
      <c r="L37" s="15" t="s">
        <v>659</v>
      </c>
      <c r="M37" s="23">
        <v>207000</v>
      </c>
      <c r="N37" s="22"/>
      <c r="O37" s="22"/>
      <c r="P37" s="16"/>
      <c r="Q37" s="16"/>
    </row>
    <row r="38" spans="1:19">
      <c r="A38" s="12"/>
      <c r="B38" s="19"/>
      <c r="C38" s="15"/>
      <c r="D38" s="23"/>
      <c r="E38" s="22"/>
      <c r="F38" s="22"/>
      <c r="G38" s="16"/>
      <c r="H38" s="16"/>
      <c r="J38" s="12"/>
      <c r="K38" s="19"/>
      <c r="L38" s="15"/>
      <c r="M38" s="23"/>
      <c r="N38" s="22"/>
      <c r="O38" s="22"/>
      <c r="P38" s="16"/>
      <c r="Q38" s="16"/>
      <c r="S38" s="72">
        <f>M37+M63+M75</f>
        <v>1525000</v>
      </c>
    </row>
    <row r="39" spans="1:19" hidden="1">
      <c r="A39" s="12"/>
      <c r="B39" s="19"/>
      <c r="C39" s="15"/>
      <c r="D39" s="23"/>
      <c r="E39" s="22"/>
      <c r="F39" s="22"/>
      <c r="G39" s="16"/>
      <c r="H39" s="16"/>
      <c r="J39" s="12"/>
      <c r="K39" s="19"/>
      <c r="L39" s="15"/>
      <c r="M39" s="23"/>
      <c r="N39" s="22"/>
      <c r="O39" s="22"/>
      <c r="P39" s="16"/>
      <c r="Q39" s="16"/>
    </row>
    <row r="40" spans="1:19" hidden="1">
      <c r="A40" s="12"/>
      <c r="B40" s="13"/>
      <c r="C40" s="15"/>
      <c r="D40" s="23"/>
      <c r="E40" s="22"/>
      <c r="F40" s="22"/>
      <c r="G40" s="16"/>
      <c r="H40" s="16"/>
      <c r="J40" s="12"/>
      <c r="K40" s="13"/>
      <c r="L40" s="15"/>
      <c r="M40" s="23"/>
      <c r="N40" s="22"/>
      <c r="O40" s="22"/>
      <c r="P40" s="16"/>
      <c r="Q40" s="16"/>
    </row>
    <row r="41" spans="1:19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9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9" hidden="1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9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9" hidden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9" hidden="1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9" hidden="1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9">
      <c r="A48" s="25"/>
      <c r="B48" s="19"/>
      <c r="C48" s="26" t="s">
        <v>24</v>
      </c>
      <c r="D48" s="27">
        <f>SUM(D33:D47)</f>
        <v>2152000</v>
      </c>
      <c r="E48" s="27"/>
      <c r="F48" s="27"/>
      <c r="G48" s="27"/>
      <c r="H48" s="27"/>
      <c r="J48" s="25"/>
      <c r="K48" s="19"/>
      <c r="L48" s="26" t="s">
        <v>24</v>
      </c>
      <c r="M48" s="27">
        <f>SUM(M33:M47)</f>
        <v>2152000</v>
      </c>
      <c r="N48" s="27"/>
      <c r="O48" s="27"/>
      <c r="P48" s="27"/>
      <c r="Q48" s="27"/>
    </row>
    <row r="49" spans="1:17">
      <c r="A49" s="20"/>
      <c r="B49" s="19"/>
      <c r="C49" s="243" t="s">
        <v>21</v>
      </c>
      <c r="D49" s="10"/>
      <c r="E49" s="530">
        <f>D48</f>
        <v>2152000</v>
      </c>
      <c r="F49" s="530"/>
      <c r="G49" s="530"/>
      <c r="H49" s="530"/>
      <c r="J49" s="20"/>
      <c r="K49" s="19"/>
      <c r="L49" s="248" t="s">
        <v>21</v>
      </c>
      <c r="M49" s="10"/>
      <c r="N49" s="530">
        <f>M48</f>
        <v>2152000</v>
      </c>
      <c r="O49" s="530"/>
      <c r="P49" s="530"/>
      <c r="Q49" s="530"/>
    </row>
    <row r="50" spans="1:17" hidden="1">
      <c r="A50" s="524" t="s">
        <v>349</v>
      </c>
      <c r="B50" s="524"/>
      <c r="C50" s="524"/>
      <c r="D50" s="524"/>
      <c r="E50" s="524"/>
      <c r="F50" s="524"/>
      <c r="G50" s="524"/>
      <c r="H50" s="524"/>
      <c r="J50" s="524" t="s">
        <v>349</v>
      </c>
      <c r="K50" s="524"/>
      <c r="L50" s="524"/>
      <c r="M50" s="524"/>
      <c r="N50" s="524"/>
      <c r="O50" s="524"/>
      <c r="P50" s="524"/>
      <c r="Q50" s="524"/>
    </row>
    <row r="51" spans="1:17" hidden="1">
      <c r="A51" s="28"/>
      <c r="B51" s="23" t="s">
        <v>447</v>
      </c>
      <c r="C51" s="23" t="s">
        <v>445</v>
      </c>
      <c r="D51" s="23"/>
      <c r="E51" s="28"/>
      <c r="F51" s="28"/>
      <c r="G51" s="28"/>
      <c r="H51" s="28"/>
      <c r="J51" s="28"/>
      <c r="K51" s="23" t="s">
        <v>447</v>
      </c>
      <c r="L51" s="23" t="s">
        <v>445</v>
      </c>
      <c r="M51" s="23"/>
      <c r="N51" s="28"/>
      <c r="O51" s="28"/>
      <c r="P51" s="28"/>
      <c r="Q51" s="28"/>
    </row>
    <row r="52" spans="1:17" hidden="1">
      <c r="A52" s="28"/>
      <c r="B52" s="23" t="s">
        <v>447</v>
      </c>
      <c r="C52" s="23" t="s">
        <v>446</v>
      </c>
      <c r="D52" s="23"/>
      <c r="E52" s="28"/>
      <c r="F52" s="28"/>
      <c r="G52" s="28"/>
      <c r="H52" s="28"/>
      <c r="J52" s="28"/>
      <c r="K52" s="23" t="s">
        <v>447</v>
      </c>
      <c r="L52" s="23" t="s">
        <v>446</v>
      </c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idden="1">
      <c r="A54" s="28"/>
      <c r="B54" s="23"/>
      <c r="C54" s="23"/>
      <c r="D54" s="23"/>
      <c r="E54" s="28"/>
      <c r="F54" s="28"/>
      <c r="G54" s="28"/>
      <c r="H54" s="28"/>
      <c r="J54" s="28"/>
      <c r="K54" s="23"/>
      <c r="L54" s="23"/>
      <c r="M54" s="23"/>
      <c r="N54" s="28"/>
      <c r="O54" s="28"/>
      <c r="P54" s="28"/>
      <c r="Q54" s="28"/>
    </row>
    <row r="55" spans="1:17" hidden="1">
      <c r="A55" s="28"/>
      <c r="B55" s="23"/>
      <c r="C55" s="23"/>
      <c r="D55" s="23"/>
      <c r="E55" s="28"/>
      <c r="F55" s="28"/>
      <c r="G55" s="28"/>
      <c r="H55" s="28"/>
      <c r="J55" s="28"/>
      <c r="K55" s="23"/>
      <c r="L55" s="23"/>
      <c r="M55" s="23"/>
      <c r="N55" s="28"/>
      <c r="O55" s="28"/>
      <c r="P55" s="28"/>
      <c r="Q55" s="28"/>
    </row>
    <row r="56" spans="1:17" hidden="1">
      <c r="A56" s="28"/>
      <c r="B56" s="23"/>
      <c r="C56" s="23"/>
      <c r="D56" s="23"/>
      <c r="E56" s="28"/>
      <c r="F56" s="28"/>
      <c r="G56" s="28"/>
      <c r="H56" s="28"/>
      <c r="J56" s="28"/>
      <c r="K56" s="23"/>
      <c r="L56" s="23"/>
      <c r="M56" s="23"/>
      <c r="N56" s="28"/>
      <c r="O56" s="28"/>
      <c r="P56" s="28"/>
      <c r="Q56" s="28"/>
    </row>
    <row r="57" spans="1:17" hidden="1">
      <c r="A57" s="12"/>
      <c r="B57" s="13"/>
      <c r="C57" s="26" t="s">
        <v>448</v>
      </c>
      <c r="D57" s="27">
        <f>SUM(D51:D55)</f>
        <v>0</v>
      </c>
      <c r="E57" s="27">
        <v>0</v>
      </c>
      <c r="F57" s="27">
        <v>0</v>
      </c>
      <c r="G57" s="27"/>
      <c r="H57" s="27"/>
      <c r="J57" s="12"/>
      <c r="K57" s="13"/>
      <c r="L57" s="26" t="s">
        <v>448</v>
      </c>
      <c r="M57" s="27">
        <f>SUM(M51:M55)</f>
        <v>0</v>
      </c>
      <c r="N57" s="27">
        <v>0</v>
      </c>
      <c r="O57" s="27">
        <v>0</v>
      </c>
      <c r="P57" s="27"/>
      <c r="Q57" s="27"/>
    </row>
    <row r="58" spans="1:17" hidden="1">
      <c r="A58" s="20"/>
      <c r="B58" s="19"/>
      <c r="C58" s="243" t="s">
        <v>21</v>
      </c>
      <c r="D58" s="10"/>
      <c r="E58" s="530">
        <f>D57</f>
        <v>0</v>
      </c>
      <c r="F58" s="530"/>
      <c r="G58" s="530"/>
      <c r="H58" s="530"/>
      <c r="J58" s="20"/>
      <c r="K58" s="19"/>
      <c r="L58" s="248" t="s">
        <v>21</v>
      </c>
      <c r="M58" s="10"/>
      <c r="N58" s="530">
        <f>M57</f>
        <v>0</v>
      </c>
      <c r="O58" s="530"/>
      <c r="P58" s="530"/>
      <c r="Q58" s="530"/>
    </row>
    <row r="59" spans="1:17">
      <c r="A59" s="524" t="s">
        <v>662</v>
      </c>
      <c r="B59" s="524"/>
      <c r="C59" s="524"/>
      <c r="D59" s="524"/>
      <c r="E59" s="524"/>
      <c r="F59" s="524"/>
      <c r="G59" s="524"/>
      <c r="H59" s="524"/>
      <c r="J59" s="524" t="s">
        <v>662</v>
      </c>
      <c r="K59" s="524"/>
      <c r="L59" s="524"/>
      <c r="M59" s="524"/>
      <c r="N59" s="524"/>
      <c r="O59" s="524"/>
      <c r="P59" s="524"/>
      <c r="Q59" s="524"/>
    </row>
    <row r="60" spans="1:17">
      <c r="A60" s="28"/>
      <c r="B60" s="23" t="s">
        <v>660</v>
      </c>
      <c r="C60" s="23" t="s">
        <v>646</v>
      </c>
      <c r="D60" s="23">
        <v>244000</v>
      </c>
      <c r="E60" s="28"/>
      <c r="F60" s="28"/>
      <c r="G60" s="28"/>
      <c r="H60" s="28"/>
      <c r="J60" s="28"/>
      <c r="K60" s="23" t="s">
        <v>660</v>
      </c>
      <c r="L60" s="23" t="s">
        <v>646</v>
      </c>
      <c r="M60" s="23">
        <v>244000</v>
      </c>
      <c r="N60" s="28"/>
      <c r="O60" s="28"/>
      <c r="P60" s="28"/>
      <c r="Q60" s="28"/>
    </row>
    <row r="61" spans="1:17">
      <c r="A61" s="28"/>
      <c r="B61" s="23" t="s">
        <v>660</v>
      </c>
      <c r="C61" s="23" t="s">
        <v>683</v>
      </c>
      <c r="D61" s="23">
        <v>230000</v>
      </c>
      <c r="E61" s="28"/>
      <c r="F61" s="28"/>
      <c r="G61" s="28"/>
      <c r="H61" s="28"/>
      <c r="J61" s="28"/>
      <c r="K61" s="23" t="s">
        <v>660</v>
      </c>
      <c r="L61" s="23" t="s">
        <v>647</v>
      </c>
      <c r="M61" s="23">
        <v>230000</v>
      </c>
      <c r="N61" s="28"/>
      <c r="O61" s="28"/>
      <c r="P61" s="28"/>
      <c r="Q61" s="28"/>
    </row>
    <row r="62" spans="1:17">
      <c r="A62" s="28"/>
      <c r="B62" s="23" t="s">
        <v>660</v>
      </c>
      <c r="C62" s="23" t="s">
        <v>661</v>
      </c>
      <c r="D62" s="23">
        <v>750000</v>
      </c>
      <c r="E62" s="28"/>
      <c r="F62" s="28"/>
      <c r="G62" s="28"/>
      <c r="H62" s="28"/>
      <c r="J62" s="28"/>
      <c r="K62" s="23" t="s">
        <v>660</v>
      </c>
      <c r="L62" s="23" t="s">
        <v>661</v>
      </c>
      <c r="M62" s="23">
        <v>750000</v>
      </c>
      <c r="N62" s="28"/>
      <c r="O62" s="28"/>
      <c r="P62" s="28"/>
      <c r="Q62" s="28"/>
    </row>
    <row r="63" spans="1:17">
      <c r="A63" s="28"/>
      <c r="B63" s="23" t="s">
        <v>664</v>
      </c>
      <c r="C63" s="23" t="s">
        <v>665</v>
      </c>
      <c r="D63" s="23">
        <v>268000</v>
      </c>
      <c r="E63" s="28"/>
      <c r="F63" s="28"/>
      <c r="G63" s="28"/>
      <c r="H63" s="28"/>
      <c r="J63" s="28"/>
      <c r="K63" s="23" t="s">
        <v>664</v>
      </c>
      <c r="L63" s="23" t="s">
        <v>665</v>
      </c>
      <c r="M63" s="23">
        <v>268000</v>
      </c>
      <c r="N63" s="28"/>
      <c r="O63" s="28"/>
      <c r="P63" s="28"/>
      <c r="Q63" s="28"/>
    </row>
    <row r="64" spans="1:17">
      <c r="A64" s="12"/>
      <c r="B64" s="13"/>
      <c r="C64" s="26" t="s">
        <v>663</v>
      </c>
      <c r="D64" s="27">
        <f>SUM(D60:D63)</f>
        <v>1492000</v>
      </c>
      <c r="E64" s="27">
        <v>0</v>
      </c>
      <c r="F64" s="27">
        <v>0</v>
      </c>
      <c r="G64" s="27"/>
      <c r="H64" s="27"/>
      <c r="J64" s="12"/>
      <c r="K64" s="13"/>
      <c r="L64" s="26" t="s">
        <v>663</v>
      </c>
      <c r="M64" s="27">
        <f>SUM(M60:M63)</f>
        <v>1492000</v>
      </c>
      <c r="N64" s="27">
        <v>0</v>
      </c>
      <c r="O64" s="27">
        <v>0</v>
      </c>
      <c r="P64" s="27"/>
      <c r="Q64" s="27"/>
    </row>
    <row r="65" spans="1:17">
      <c r="A65" s="20"/>
      <c r="B65" s="19"/>
      <c r="C65" s="243" t="s">
        <v>21</v>
      </c>
      <c r="D65" s="10"/>
      <c r="E65" s="530">
        <f>D64</f>
        <v>1492000</v>
      </c>
      <c r="F65" s="530"/>
      <c r="G65" s="530"/>
      <c r="H65" s="530"/>
      <c r="J65" s="20"/>
      <c r="K65" s="19"/>
      <c r="L65" s="248" t="s">
        <v>21</v>
      </c>
      <c r="M65" s="10"/>
      <c r="N65" s="530">
        <f>M64</f>
        <v>1492000</v>
      </c>
      <c r="O65" s="530"/>
      <c r="P65" s="530"/>
      <c r="Q65" s="530"/>
    </row>
    <row r="66" spans="1:17">
      <c r="A66" s="524" t="s">
        <v>54</v>
      </c>
      <c r="B66" s="524"/>
      <c r="C66" s="524"/>
      <c r="D66" s="524"/>
      <c r="E66" s="524"/>
      <c r="F66" s="524"/>
      <c r="G66" s="524"/>
      <c r="H66" s="524"/>
      <c r="J66" s="524" t="s">
        <v>54</v>
      </c>
      <c r="K66" s="524"/>
      <c r="L66" s="524"/>
      <c r="M66" s="524"/>
      <c r="N66" s="524"/>
      <c r="O66" s="524"/>
      <c r="P66" s="524"/>
      <c r="Q66" s="524"/>
    </row>
    <row r="67" spans="1:17">
      <c r="A67" s="28"/>
      <c r="B67" s="19" t="s">
        <v>667</v>
      </c>
      <c r="C67" s="23" t="s">
        <v>666</v>
      </c>
      <c r="D67" s="23">
        <f>14160000</f>
        <v>14160000</v>
      </c>
      <c r="E67" s="28"/>
      <c r="F67" s="28"/>
      <c r="G67" s="28"/>
      <c r="H67" s="28"/>
      <c r="J67" s="28"/>
      <c r="K67" s="19" t="s">
        <v>667</v>
      </c>
      <c r="L67" s="23" t="s">
        <v>666</v>
      </c>
      <c r="M67" s="23">
        <f>14160000</f>
        <v>14160000</v>
      </c>
      <c r="N67" s="28"/>
      <c r="O67" s="28"/>
      <c r="P67" s="28"/>
      <c r="Q67" s="28"/>
    </row>
    <row r="68" spans="1:17">
      <c r="A68" s="28"/>
      <c r="B68" s="19" t="s">
        <v>668</v>
      </c>
      <c r="C68" s="23" t="s">
        <v>669</v>
      </c>
      <c r="D68" s="23">
        <v>110800000</v>
      </c>
      <c r="E68" s="28"/>
      <c r="F68" s="28"/>
      <c r="G68" s="28"/>
      <c r="H68" s="28"/>
      <c r="J68" s="28"/>
      <c r="K68" s="19" t="s">
        <v>668</v>
      </c>
      <c r="L68" s="23" t="s">
        <v>669</v>
      </c>
      <c r="M68" s="23">
        <v>110800000</v>
      </c>
      <c r="N68" s="28"/>
      <c r="O68" s="28"/>
      <c r="P68" s="28"/>
      <c r="Q68" s="28"/>
    </row>
    <row r="69" spans="1:17">
      <c r="A69" s="28"/>
      <c r="B69" s="19" t="s">
        <v>670</v>
      </c>
      <c r="C69" s="23" t="s">
        <v>671</v>
      </c>
      <c r="D69" s="23">
        <v>6575000</v>
      </c>
      <c r="E69" s="28"/>
      <c r="F69" s="28"/>
      <c r="G69" s="28"/>
      <c r="H69" s="28"/>
      <c r="J69" s="28"/>
      <c r="K69" s="19" t="s">
        <v>670</v>
      </c>
      <c r="L69" s="23" t="s">
        <v>671</v>
      </c>
      <c r="M69" s="23">
        <v>6575000</v>
      </c>
      <c r="N69" s="28"/>
      <c r="O69" s="28"/>
      <c r="P69" s="28"/>
      <c r="Q69" s="28"/>
    </row>
    <row r="70" spans="1:17">
      <c r="A70" s="12"/>
      <c r="B70" s="19" t="s">
        <v>670</v>
      </c>
      <c r="C70" s="23" t="s">
        <v>618</v>
      </c>
      <c r="D70" s="23">
        <v>30000000</v>
      </c>
      <c r="E70" s="243"/>
      <c r="F70" s="243"/>
      <c r="G70" s="243"/>
      <c r="H70" s="243"/>
      <c r="J70" s="12"/>
      <c r="K70" s="19" t="s">
        <v>670</v>
      </c>
      <c r="L70" s="23" t="s">
        <v>618</v>
      </c>
      <c r="M70" s="23">
        <v>30000000</v>
      </c>
      <c r="N70" s="248"/>
      <c r="O70" s="248"/>
      <c r="P70" s="248"/>
      <c r="Q70" s="248"/>
    </row>
    <row r="71" spans="1:17" hidden="1">
      <c r="A71" s="12"/>
      <c r="B71" s="19" t="s">
        <v>670</v>
      </c>
      <c r="C71" s="23" t="s">
        <v>617</v>
      </c>
      <c r="D71" s="23"/>
      <c r="E71" s="243"/>
      <c r="F71" s="243"/>
      <c r="G71" s="243"/>
      <c r="H71" s="243"/>
      <c r="J71" s="12"/>
      <c r="K71" s="19" t="s">
        <v>670</v>
      </c>
      <c r="L71" s="23" t="s">
        <v>617</v>
      </c>
      <c r="M71" s="23"/>
      <c r="N71" s="248"/>
      <c r="O71" s="248"/>
      <c r="P71" s="248"/>
      <c r="Q71" s="248"/>
    </row>
    <row r="72" spans="1:17">
      <c r="A72" s="12"/>
      <c r="B72" s="19" t="s">
        <v>670</v>
      </c>
      <c r="C72" s="24" t="s">
        <v>263</v>
      </c>
      <c r="D72" s="23">
        <v>1540000</v>
      </c>
      <c r="E72" s="243"/>
      <c r="F72" s="243"/>
      <c r="G72" s="243"/>
      <c r="H72" s="243"/>
      <c r="J72" s="12"/>
      <c r="K72" s="19" t="s">
        <v>670</v>
      </c>
      <c r="L72" s="24" t="s">
        <v>263</v>
      </c>
      <c r="M72" s="23">
        <v>1540000</v>
      </c>
      <c r="N72" s="248"/>
      <c r="O72" s="248"/>
      <c r="P72" s="248"/>
      <c r="Q72" s="248"/>
    </row>
    <row r="73" spans="1:17">
      <c r="A73" s="12"/>
      <c r="B73" s="19" t="s">
        <v>670</v>
      </c>
      <c r="C73" s="24" t="s">
        <v>410</v>
      </c>
      <c r="D73" s="23">
        <v>600000</v>
      </c>
      <c r="E73" s="243"/>
      <c r="F73" s="243"/>
      <c r="G73" s="243"/>
      <c r="H73" s="243"/>
      <c r="J73" s="12"/>
      <c r="K73" s="19" t="s">
        <v>670</v>
      </c>
      <c r="L73" s="24" t="s">
        <v>410</v>
      </c>
      <c r="M73" s="23">
        <v>600000</v>
      </c>
      <c r="N73" s="248"/>
      <c r="O73" s="248"/>
      <c r="P73" s="248"/>
      <c r="Q73" s="248"/>
    </row>
    <row r="74" spans="1:17">
      <c r="A74" s="12"/>
      <c r="B74" s="19" t="s">
        <v>670</v>
      </c>
      <c r="C74" s="24" t="s">
        <v>619</v>
      </c>
      <c r="D74" s="23">
        <v>300000</v>
      </c>
      <c r="E74" s="243"/>
      <c r="F74" s="243"/>
      <c r="G74" s="243"/>
      <c r="H74" s="243"/>
      <c r="J74" s="12"/>
      <c r="K74" s="19" t="s">
        <v>670</v>
      </c>
      <c r="L74" s="24" t="s">
        <v>707</v>
      </c>
      <c r="M74" s="23">
        <v>300000</v>
      </c>
      <c r="N74" s="248"/>
      <c r="O74" s="248"/>
      <c r="P74" s="248"/>
      <c r="Q74" s="248"/>
    </row>
    <row r="75" spans="1:17">
      <c r="A75" s="12"/>
      <c r="B75" s="19" t="s">
        <v>673</v>
      </c>
      <c r="C75" s="24" t="s">
        <v>672</v>
      </c>
      <c r="D75" s="23">
        <v>1050000</v>
      </c>
      <c r="E75" s="243"/>
      <c r="F75" s="243"/>
      <c r="G75" s="243"/>
      <c r="H75" s="243"/>
      <c r="J75" s="12"/>
      <c r="K75" s="19" t="s">
        <v>673</v>
      </c>
      <c r="L75" s="24" t="s">
        <v>672</v>
      </c>
      <c r="M75" s="23">
        <v>1050000</v>
      </c>
      <c r="N75" s="248"/>
      <c r="O75" s="248"/>
      <c r="P75" s="248"/>
      <c r="Q75" s="248"/>
    </row>
    <row r="76" spans="1:17">
      <c r="A76" s="12"/>
      <c r="B76" s="19"/>
      <c r="C76" s="24"/>
      <c r="D76" s="23"/>
      <c r="E76" s="243"/>
      <c r="F76" s="243"/>
      <c r="G76" s="243"/>
      <c r="H76" s="243"/>
      <c r="J76" s="12"/>
      <c r="K76" s="19"/>
      <c r="L76" s="24"/>
      <c r="M76" s="23"/>
      <c r="N76" s="248"/>
      <c r="O76" s="248"/>
      <c r="P76" s="248"/>
      <c r="Q76" s="248"/>
    </row>
    <row r="77" spans="1:17" hidden="1">
      <c r="A77" s="12"/>
      <c r="B77" s="19"/>
      <c r="C77" s="24"/>
      <c r="D77" s="23"/>
      <c r="E77" s="243"/>
      <c r="F77" s="243"/>
      <c r="G77" s="243"/>
      <c r="H77" s="243"/>
      <c r="J77" s="12"/>
      <c r="K77" s="19"/>
      <c r="L77" s="24"/>
      <c r="M77" s="23"/>
      <c r="N77" s="248"/>
      <c r="O77" s="248"/>
      <c r="P77" s="248"/>
      <c r="Q77" s="248"/>
    </row>
    <row r="78" spans="1:17" hidden="1">
      <c r="A78" s="12"/>
      <c r="B78" s="19"/>
      <c r="C78" s="24"/>
      <c r="D78" s="23"/>
      <c r="E78" s="243"/>
      <c r="F78" s="243"/>
      <c r="G78" s="243"/>
      <c r="H78" s="243"/>
      <c r="J78" s="12"/>
      <c r="K78" s="19"/>
      <c r="L78" s="24"/>
      <c r="M78" s="23"/>
      <c r="N78" s="248"/>
      <c r="O78" s="248"/>
      <c r="P78" s="248"/>
      <c r="Q78" s="248"/>
    </row>
    <row r="79" spans="1:17" hidden="1">
      <c r="A79" s="12"/>
      <c r="B79" s="19"/>
      <c r="C79" s="24"/>
      <c r="D79" s="23"/>
      <c r="E79" s="243"/>
      <c r="F79" s="243"/>
      <c r="G79" s="243"/>
      <c r="H79" s="243"/>
      <c r="J79" s="12"/>
      <c r="K79" s="19"/>
      <c r="L79" s="24"/>
      <c r="M79" s="23"/>
      <c r="N79" s="248"/>
      <c r="O79" s="248"/>
      <c r="P79" s="248"/>
      <c r="Q79" s="248"/>
    </row>
    <row r="80" spans="1:17" hidden="1">
      <c r="A80" s="12"/>
      <c r="B80" s="19"/>
      <c r="C80" s="24"/>
      <c r="D80" s="23"/>
      <c r="E80" s="243"/>
      <c r="F80" s="243"/>
      <c r="G80" s="243"/>
      <c r="H80" s="243"/>
      <c r="J80" s="12"/>
      <c r="K80" s="19"/>
      <c r="L80" s="24"/>
      <c r="M80" s="23"/>
      <c r="N80" s="248"/>
      <c r="O80" s="248"/>
      <c r="P80" s="248"/>
      <c r="Q80" s="248"/>
    </row>
    <row r="81" spans="1:17" hidden="1">
      <c r="A81" s="12"/>
      <c r="B81" s="19"/>
      <c r="C81" s="24"/>
      <c r="D81" s="23"/>
      <c r="E81" s="243"/>
      <c r="F81" s="243"/>
      <c r="G81" s="243"/>
      <c r="H81" s="243"/>
      <c r="J81" s="12"/>
      <c r="K81" s="19"/>
      <c r="L81" s="24"/>
      <c r="M81" s="23"/>
      <c r="N81" s="248"/>
      <c r="O81" s="248"/>
      <c r="P81" s="248"/>
      <c r="Q81" s="248"/>
    </row>
    <row r="82" spans="1:17">
      <c r="A82" s="12"/>
      <c r="B82" s="13"/>
      <c r="C82" s="26" t="s">
        <v>55</v>
      </c>
      <c r="D82" s="27">
        <f>SUM(D67:D80)</f>
        <v>165025000</v>
      </c>
      <c r="E82" s="27">
        <v>0</v>
      </c>
      <c r="F82" s="27">
        <v>0</v>
      </c>
      <c r="G82" s="27"/>
      <c r="H82" s="27"/>
      <c r="J82" s="12"/>
      <c r="K82" s="13"/>
      <c r="L82" s="26" t="s">
        <v>55</v>
      </c>
      <c r="M82" s="27">
        <f>SUM(M67:M80)</f>
        <v>165025000</v>
      </c>
      <c r="N82" s="27">
        <v>0</v>
      </c>
      <c r="O82" s="27">
        <v>0</v>
      </c>
      <c r="P82" s="27"/>
      <c r="Q82" s="27"/>
    </row>
    <row r="83" spans="1:17">
      <c r="A83" s="20"/>
      <c r="B83" s="19"/>
      <c r="C83" s="243" t="s">
        <v>21</v>
      </c>
      <c r="D83" s="10"/>
      <c r="E83" s="530">
        <f>D82</f>
        <v>165025000</v>
      </c>
      <c r="F83" s="530"/>
      <c r="G83" s="530"/>
      <c r="H83" s="530"/>
      <c r="J83" s="20"/>
      <c r="K83" s="19"/>
      <c r="L83" s="248" t="s">
        <v>21</v>
      </c>
      <c r="M83" s="10"/>
      <c r="N83" s="530">
        <f>M82</f>
        <v>165025000</v>
      </c>
      <c r="O83" s="530"/>
      <c r="P83" s="530"/>
      <c r="Q83" s="530"/>
    </row>
    <row r="84" spans="1:17">
      <c r="A84" s="524" t="s">
        <v>453</v>
      </c>
      <c r="B84" s="524"/>
      <c r="C84" s="524"/>
      <c r="D84" s="524"/>
      <c r="E84" s="524"/>
      <c r="F84" s="524"/>
      <c r="G84" s="524"/>
      <c r="H84" s="524"/>
      <c r="J84" s="524" t="s">
        <v>453</v>
      </c>
      <c r="K84" s="524"/>
      <c r="L84" s="524"/>
      <c r="M84" s="524"/>
      <c r="N84" s="524"/>
      <c r="O84" s="524"/>
      <c r="P84" s="524"/>
      <c r="Q84" s="524"/>
    </row>
    <row r="85" spans="1:17">
      <c r="A85" s="28"/>
      <c r="B85" s="23"/>
      <c r="C85" s="23"/>
      <c r="D85" s="23"/>
      <c r="E85" s="28"/>
      <c r="F85" s="28"/>
      <c r="G85" s="28"/>
      <c r="H85" s="28"/>
      <c r="J85" s="28"/>
      <c r="K85" s="23"/>
      <c r="L85" s="23"/>
      <c r="M85" s="23"/>
      <c r="N85" s="28"/>
      <c r="O85" s="28"/>
      <c r="P85" s="28"/>
      <c r="Q85" s="28"/>
    </row>
    <row r="86" spans="1:17">
      <c r="A86" s="28"/>
      <c r="B86" s="23"/>
      <c r="C86" s="23"/>
      <c r="D86" s="23"/>
      <c r="E86" s="28"/>
      <c r="F86" s="28"/>
      <c r="G86" s="28"/>
      <c r="H86" s="28"/>
      <c r="J86" s="28"/>
      <c r="K86" s="23"/>
      <c r="L86" s="23"/>
      <c r="M86" s="23"/>
      <c r="N86" s="28"/>
      <c r="O86" s="28"/>
      <c r="P86" s="28"/>
      <c r="Q86" s="28"/>
    </row>
    <row r="87" spans="1:17">
      <c r="A87" s="12"/>
      <c r="B87" s="19"/>
      <c r="C87" s="24"/>
      <c r="D87" s="23"/>
      <c r="E87" s="243"/>
      <c r="F87" s="243"/>
      <c r="G87" s="243"/>
      <c r="H87" s="243"/>
      <c r="J87" s="12"/>
      <c r="K87" s="19"/>
      <c r="L87" s="24"/>
      <c r="M87" s="23"/>
      <c r="N87" s="248"/>
      <c r="O87" s="248"/>
      <c r="P87" s="248"/>
      <c r="Q87" s="248"/>
    </row>
    <row r="88" spans="1:17">
      <c r="A88" s="12"/>
      <c r="B88" s="13"/>
      <c r="C88" s="26" t="s">
        <v>196</v>
      </c>
      <c r="D88" s="27">
        <f>SUM(D85:D87)</f>
        <v>0</v>
      </c>
      <c r="E88" s="27">
        <v>0</v>
      </c>
      <c r="F88" s="27">
        <v>0</v>
      </c>
      <c r="G88" s="27"/>
      <c r="H88" s="27"/>
      <c r="J88" s="12"/>
      <c r="K88" s="13"/>
      <c r="L88" s="26" t="s">
        <v>196</v>
      </c>
      <c r="M88" s="27">
        <f>SUM(M85:M87)</f>
        <v>0</v>
      </c>
      <c r="N88" s="27">
        <v>0</v>
      </c>
      <c r="O88" s="27">
        <v>0</v>
      </c>
      <c r="P88" s="27"/>
      <c r="Q88" s="27"/>
    </row>
    <row r="89" spans="1:17">
      <c r="A89" s="20"/>
      <c r="B89" s="19"/>
      <c r="C89" s="243" t="s">
        <v>21</v>
      </c>
      <c r="D89" s="10"/>
      <c r="E89" s="530">
        <f>D88</f>
        <v>0</v>
      </c>
      <c r="F89" s="530"/>
      <c r="G89" s="530"/>
      <c r="H89" s="530"/>
      <c r="J89" s="20"/>
      <c r="K89" s="19"/>
      <c r="L89" s="248" t="s">
        <v>21</v>
      </c>
      <c r="M89" s="10"/>
      <c r="N89" s="530">
        <f>M88</f>
        <v>0</v>
      </c>
      <c r="O89" s="530"/>
      <c r="P89" s="530"/>
      <c r="Q89" s="530"/>
    </row>
    <row r="90" spans="1:17">
      <c r="A90" s="527" t="s">
        <v>26</v>
      </c>
      <c r="B90" s="528"/>
      <c r="C90" s="528"/>
      <c r="D90" s="528"/>
      <c r="E90" s="528"/>
      <c r="F90" s="528"/>
      <c r="G90" s="528"/>
      <c r="H90" s="529"/>
      <c r="J90" s="527" t="s">
        <v>26</v>
      </c>
      <c r="K90" s="528"/>
      <c r="L90" s="528"/>
      <c r="M90" s="528"/>
      <c r="N90" s="528"/>
      <c r="O90" s="528"/>
      <c r="P90" s="528"/>
      <c r="Q90" s="529"/>
    </row>
    <row r="91" spans="1:17">
      <c r="A91" s="12"/>
      <c r="B91" s="19" t="s">
        <v>674</v>
      </c>
      <c r="C91" s="24" t="s">
        <v>675</v>
      </c>
      <c r="D91" s="23">
        <v>2465000</v>
      </c>
      <c r="E91" s="22"/>
      <c r="F91" s="22"/>
      <c r="G91" s="16"/>
      <c r="H91" s="16"/>
      <c r="J91" s="12"/>
      <c r="K91" s="19" t="s">
        <v>674</v>
      </c>
      <c r="L91" s="24" t="s">
        <v>675</v>
      </c>
      <c r="M91" s="23">
        <v>2465000</v>
      </c>
      <c r="N91" s="22"/>
      <c r="O91" s="22"/>
      <c r="P91" s="16"/>
      <c r="Q91" s="16"/>
    </row>
    <row r="92" spans="1:17">
      <c r="A92" s="12"/>
      <c r="B92" s="19" t="s">
        <v>674</v>
      </c>
      <c r="C92" s="24" t="s">
        <v>648</v>
      </c>
      <c r="D92" s="23">
        <v>205000</v>
      </c>
      <c r="E92" s="22"/>
      <c r="F92" s="22"/>
      <c r="G92" s="16"/>
      <c r="H92" s="16"/>
      <c r="J92" s="12"/>
      <c r="K92" s="19" t="s">
        <v>674</v>
      </c>
      <c r="L92" s="24" t="s">
        <v>648</v>
      </c>
      <c r="M92" s="23">
        <v>205000</v>
      </c>
      <c r="N92" s="22"/>
      <c r="O92" s="22"/>
      <c r="P92" s="16"/>
      <c r="Q92" s="16"/>
    </row>
    <row r="93" spans="1:17">
      <c r="A93" s="12"/>
      <c r="B93" s="19" t="s">
        <v>678</v>
      </c>
      <c r="C93" s="24" t="s">
        <v>676</v>
      </c>
      <c r="D93" s="23">
        <v>114000</v>
      </c>
      <c r="E93" s="22"/>
      <c r="F93" s="22"/>
      <c r="G93" s="16"/>
      <c r="H93" s="16"/>
      <c r="J93" s="12"/>
      <c r="K93" s="19" t="s">
        <v>678</v>
      </c>
      <c r="L93" s="24" t="s">
        <v>676</v>
      </c>
      <c r="M93" s="23">
        <v>114000</v>
      </c>
      <c r="N93" s="22"/>
      <c r="O93" s="22"/>
      <c r="P93" s="16"/>
      <c r="Q93" s="16"/>
    </row>
    <row r="94" spans="1:17">
      <c r="A94" s="12"/>
      <c r="B94" s="19" t="s">
        <v>678</v>
      </c>
      <c r="C94" s="24" t="s">
        <v>677</v>
      </c>
      <c r="D94" s="23">
        <v>145000</v>
      </c>
      <c r="E94" s="22"/>
      <c r="F94" s="22"/>
      <c r="G94" s="16"/>
      <c r="H94" s="16"/>
      <c r="J94" s="12"/>
      <c r="K94" s="19" t="s">
        <v>678</v>
      </c>
      <c r="L94" s="24" t="s">
        <v>677</v>
      </c>
      <c r="M94" s="23">
        <v>145000</v>
      </c>
      <c r="N94" s="22"/>
      <c r="O94" s="22"/>
      <c r="P94" s="16"/>
      <c r="Q94" s="16"/>
    </row>
    <row r="95" spans="1:17">
      <c r="A95" s="12"/>
      <c r="B95" s="19"/>
      <c r="C95" s="24"/>
      <c r="D95" s="23"/>
      <c r="E95" s="22"/>
      <c r="F95" s="22"/>
      <c r="G95" s="16"/>
      <c r="H95" s="16"/>
      <c r="J95" s="12"/>
      <c r="K95" s="19"/>
      <c r="L95" s="24"/>
      <c r="M95" s="23"/>
      <c r="N95" s="22"/>
      <c r="O95" s="22"/>
      <c r="P95" s="16"/>
      <c r="Q95" s="16"/>
    </row>
    <row r="96" spans="1:17" hidden="1">
      <c r="A96" s="12"/>
      <c r="B96" s="19"/>
      <c r="C96" s="24"/>
      <c r="D96" s="23"/>
      <c r="E96" s="22"/>
      <c r="F96" s="22"/>
      <c r="G96" s="16"/>
      <c r="H96" s="16"/>
      <c r="J96" s="12"/>
      <c r="K96" s="19"/>
      <c r="L96" s="24"/>
      <c r="M96" s="23"/>
      <c r="N96" s="22"/>
      <c r="O96" s="22"/>
      <c r="P96" s="16"/>
      <c r="Q96" s="16"/>
    </row>
    <row r="97" spans="1:17" hidden="1">
      <c r="A97" s="12"/>
      <c r="B97" s="19"/>
      <c r="C97" s="23"/>
      <c r="D97" s="23"/>
      <c r="E97" s="22"/>
      <c r="F97" s="22"/>
      <c r="G97" s="16"/>
      <c r="H97" s="16"/>
      <c r="J97" s="12"/>
      <c r="K97" s="19"/>
      <c r="L97" s="23"/>
      <c r="M97" s="23"/>
      <c r="N97" s="22"/>
      <c r="O97" s="22"/>
      <c r="P97" s="16"/>
      <c r="Q97" s="16"/>
    </row>
    <row r="98" spans="1:17" hidden="1">
      <c r="A98" s="12"/>
      <c r="B98" s="19"/>
      <c r="C98" s="23"/>
      <c r="D98" s="23"/>
      <c r="E98" s="22"/>
      <c r="F98" s="22"/>
      <c r="G98" s="16"/>
      <c r="H98" s="16"/>
      <c r="J98" s="12"/>
      <c r="K98" s="19"/>
      <c r="L98" s="23"/>
      <c r="M98" s="23"/>
      <c r="N98" s="22"/>
      <c r="O98" s="22"/>
      <c r="P98" s="16"/>
      <c r="Q98" s="16"/>
    </row>
    <row r="99" spans="1:17" hidden="1">
      <c r="A99" s="12"/>
      <c r="B99" s="19"/>
      <c r="C99" s="23"/>
      <c r="D99" s="23"/>
      <c r="E99" s="22"/>
      <c r="F99" s="22"/>
      <c r="G99" s="16"/>
      <c r="H99" s="16"/>
      <c r="J99" s="12"/>
      <c r="K99" s="19"/>
      <c r="L99" s="23"/>
      <c r="M99" s="23"/>
      <c r="N99" s="22"/>
      <c r="O99" s="22"/>
      <c r="P99" s="16"/>
      <c r="Q99" s="16"/>
    </row>
    <row r="100" spans="1:17" hidden="1">
      <c r="A100" s="12"/>
      <c r="B100" s="19"/>
      <c r="C100" s="24"/>
      <c r="D100" s="23"/>
      <c r="E100" s="22"/>
      <c r="F100" s="22"/>
      <c r="G100" s="16"/>
      <c r="H100" s="16"/>
      <c r="J100" s="12"/>
      <c r="K100" s="19"/>
      <c r="L100" s="24"/>
      <c r="M100" s="23"/>
      <c r="N100" s="22"/>
      <c r="O100" s="22"/>
      <c r="P100" s="16"/>
      <c r="Q100" s="16"/>
    </row>
    <row r="101" spans="1:17" hidden="1">
      <c r="A101" s="12"/>
      <c r="B101" s="19"/>
      <c r="C101" s="24"/>
      <c r="D101" s="23"/>
      <c r="E101" s="22"/>
      <c r="F101" s="22"/>
      <c r="G101" s="16"/>
      <c r="H101" s="16"/>
      <c r="J101" s="12"/>
      <c r="K101" s="19"/>
      <c r="L101" s="24"/>
      <c r="M101" s="23"/>
      <c r="N101" s="22"/>
      <c r="O101" s="22"/>
      <c r="P101" s="16"/>
      <c r="Q101" s="16"/>
    </row>
    <row r="102" spans="1:17">
      <c r="A102" s="25"/>
      <c r="B102" s="19"/>
      <c r="C102" s="26" t="s">
        <v>31</v>
      </c>
      <c r="D102" s="27">
        <f>SUM(D91:D101)</f>
        <v>2929000</v>
      </c>
      <c r="E102" s="27"/>
      <c r="F102" s="27"/>
      <c r="G102" s="27"/>
      <c r="H102" s="27"/>
      <c r="J102" s="25"/>
      <c r="K102" s="19"/>
      <c r="L102" s="26" t="s">
        <v>31</v>
      </c>
      <c r="M102" s="27">
        <f>SUM(M91:M101)</f>
        <v>2929000</v>
      </c>
      <c r="N102" s="27"/>
      <c r="O102" s="27"/>
      <c r="P102" s="27"/>
      <c r="Q102" s="27"/>
    </row>
    <row r="103" spans="1:17">
      <c r="A103" s="20"/>
      <c r="B103" s="19"/>
      <c r="C103" s="243" t="s">
        <v>21</v>
      </c>
      <c r="D103" s="10"/>
      <c r="E103" s="530">
        <f>D102</f>
        <v>2929000</v>
      </c>
      <c r="F103" s="530"/>
      <c r="G103" s="530"/>
      <c r="H103" s="530"/>
      <c r="J103" s="20"/>
      <c r="K103" s="19"/>
      <c r="L103" s="248" t="s">
        <v>21</v>
      </c>
      <c r="M103" s="10"/>
      <c r="N103" s="530">
        <f>M102</f>
        <v>2929000</v>
      </c>
      <c r="O103" s="530"/>
      <c r="P103" s="530"/>
      <c r="Q103" s="530"/>
    </row>
    <row r="104" spans="1:17">
      <c r="A104" s="527" t="s">
        <v>32</v>
      </c>
      <c r="B104" s="528"/>
      <c r="C104" s="528"/>
      <c r="D104" s="528"/>
      <c r="E104" s="528"/>
      <c r="F104" s="528"/>
      <c r="G104" s="528"/>
      <c r="H104" s="529"/>
      <c r="J104" s="527" t="s">
        <v>32</v>
      </c>
      <c r="K104" s="528"/>
      <c r="L104" s="528"/>
      <c r="M104" s="528"/>
      <c r="N104" s="528"/>
      <c r="O104" s="528"/>
      <c r="P104" s="528"/>
      <c r="Q104" s="529"/>
    </row>
    <row r="105" spans="1:17">
      <c r="A105" s="12"/>
      <c r="B105" s="13"/>
      <c r="C105" s="22"/>
      <c r="D105" s="22"/>
      <c r="E105" s="243"/>
      <c r="F105" s="243"/>
      <c r="G105" s="243"/>
      <c r="H105" s="243"/>
      <c r="J105" s="12"/>
      <c r="K105" s="13"/>
      <c r="L105" s="22"/>
      <c r="M105" s="22"/>
      <c r="N105" s="248"/>
      <c r="O105" s="248"/>
      <c r="P105" s="248"/>
      <c r="Q105" s="248"/>
    </row>
    <row r="106" spans="1:17">
      <c r="A106" s="12"/>
      <c r="B106" s="13"/>
      <c r="C106" s="22"/>
      <c r="D106" s="22"/>
      <c r="E106" s="243"/>
      <c r="F106" s="243"/>
      <c r="G106" s="243"/>
      <c r="H106" s="243"/>
      <c r="J106" s="12"/>
      <c r="K106" s="13"/>
      <c r="L106" s="22"/>
      <c r="M106" s="22"/>
      <c r="N106" s="248"/>
      <c r="O106" s="248"/>
      <c r="P106" s="248"/>
      <c r="Q106" s="248"/>
    </row>
    <row r="107" spans="1:17">
      <c r="A107" s="12"/>
      <c r="B107" s="13"/>
      <c r="C107" s="22"/>
      <c r="D107" s="22"/>
      <c r="E107" s="243"/>
      <c r="F107" s="243"/>
      <c r="G107" s="243"/>
      <c r="H107" s="243"/>
      <c r="J107" s="12"/>
      <c r="K107" s="13"/>
      <c r="L107" s="22"/>
      <c r="M107" s="22"/>
      <c r="N107" s="248"/>
      <c r="O107" s="248"/>
      <c r="P107" s="248"/>
      <c r="Q107" s="248"/>
    </row>
    <row r="108" spans="1:17">
      <c r="A108" s="12"/>
      <c r="B108" s="13"/>
      <c r="C108" s="22"/>
      <c r="D108" s="29"/>
      <c r="E108" s="243"/>
      <c r="F108" s="243"/>
      <c r="G108" s="243"/>
      <c r="H108" s="243"/>
      <c r="J108" s="12"/>
      <c r="K108" s="13"/>
      <c r="L108" s="22"/>
      <c r="M108" s="29"/>
      <c r="N108" s="248"/>
      <c r="O108" s="248"/>
      <c r="P108" s="248"/>
      <c r="Q108" s="248"/>
    </row>
    <row r="109" spans="1:17">
      <c r="A109" s="12"/>
      <c r="B109" s="13"/>
      <c r="C109" s="22"/>
      <c r="D109" s="29"/>
      <c r="E109" s="243"/>
      <c r="F109" s="243"/>
      <c r="G109" s="243"/>
      <c r="H109" s="243"/>
      <c r="J109" s="12"/>
      <c r="K109" s="13"/>
      <c r="L109" s="22"/>
      <c r="M109" s="29"/>
      <c r="N109" s="248"/>
      <c r="O109" s="248"/>
      <c r="P109" s="248"/>
      <c r="Q109" s="248"/>
    </row>
    <row r="110" spans="1:17">
      <c r="A110" s="12"/>
      <c r="B110" s="13"/>
      <c r="C110" s="22"/>
      <c r="D110" s="29"/>
      <c r="E110" s="243"/>
      <c r="F110" s="243"/>
      <c r="G110" s="243"/>
      <c r="H110" s="243"/>
      <c r="J110" s="12"/>
      <c r="K110" s="13"/>
      <c r="L110" s="22"/>
      <c r="M110" s="29"/>
      <c r="N110" s="248"/>
      <c r="O110" s="248"/>
      <c r="P110" s="248"/>
      <c r="Q110" s="248"/>
    </row>
    <row r="111" spans="1:17">
      <c r="A111" s="12"/>
      <c r="B111" s="13"/>
      <c r="C111" s="22"/>
      <c r="D111" s="29"/>
      <c r="E111" s="243"/>
      <c r="F111" s="243"/>
      <c r="G111" s="243"/>
      <c r="H111" s="243"/>
      <c r="J111" s="12"/>
      <c r="K111" s="13"/>
      <c r="L111" s="22"/>
      <c r="M111" s="29"/>
      <c r="N111" s="248"/>
      <c r="O111" s="248"/>
      <c r="P111" s="248"/>
      <c r="Q111" s="248"/>
    </row>
    <row r="112" spans="1:17" hidden="1">
      <c r="A112" s="12"/>
      <c r="B112" s="13"/>
      <c r="C112" s="22"/>
      <c r="D112" s="29"/>
      <c r="E112" s="243"/>
      <c r="F112" s="243"/>
      <c r="G112" s="243"/>
      <c r="H112" s="243"/>
      <c r="J112" s="12"/>
      <c r="K112" s="13"/>
      <c r="L112" s="22"/>
      <c r="M112" s="29"/>
      <c r="N112" s="248"/>
      <c r="O112" s="248"/>
      <c r="P112" s="248"/>
      <c r="Q112" s="248"/>
    </row>
    <row r="113" spans="1:17" hidden="1">
      <c r="A113" s="12"/>
      <c r="B113" s="13"/>
      <c r="C113" s="22"/>
      <c r="D113" s="29"/>
      <c r="E113" s="243"/>
      <c r="F113" s="243"/>
      <c r="G113" s="243"/>
      <c r="H113" s="243"/>
      <c r="J113" s="12"/>
      <c r="K113" s="13"/>
      <c r="L113" s="22"/>
      <c r="M113" s="29"/>
      <c r="N113" s="248"/>
      <c r="O113" s="248"/>
      <c r="P113" s="248"/>
      <c r="Q113" s="248"/>
    </row>
    <row r="114" spans="1:17">
      <c r="A114" s="12"/>
      <c r="B114" s="13"/>
      <c r="C114" s="26" t="s">
        <v>34</v>
      </c>
      <c r="D114" s="27">
        <f>SUM(D105:D108)</f>
        <v>0</v>
      </c>
      <c r="E114" s="27">
        <v>0</v>
      </c>
      <c r="F114" s="27">
        <v>0</v>
      </c>
      <c r="G114" s="27"/>
      <c r="H114" s="27"/>
      <c r="J114" s="12"/>
      <c r="K114" s="13"/>
      <c r="L114" s="26" t="s">
        <v>34</v>
      </c>
      <c r="M114" s="27">
        <f>SUM(M105:M108)</f>
        <v>0</v>
      </c>
      <c r="N114" s="27">
        <v>0</v>
      </c>
      <c r="O114" s="27">
        <v>0</v>
      </c>
      <c r="P114" s="27"/>
      <c r="Q114" s="27"/>
    </row>
    <row r="115" spans="1:17">
      <c r="A115" s="20"/>
      <c r="B115" s="19"/>
      <c r="C115" s="243" t="s">
        <v>21</v>
      </c>
      <c r="D115" s="10"/>
      <c r="E115" s="531">
        <f>D114</f>
        <v>0</v>
      </c>
      <c r="F115" s="532"/>
      <c r="G115" s="532"/>
      <c r="H115" s="533"/>
      <c r="J115" s="20"/>
      <c r="K115" s="19"/>
      <c r="L115" s="248" t="s">
        <v>21</v>
      </c>
      <c r="M115" s="10"/>
      <c r="N115" s="531">
        <f>M114</f>
        <v>0</v>
      </c>
      <c r="O115" s="532"/>
      <c r="P115" s="532"/>
      <c r="Q115" s="533"/>
    </row>
    <row r="116" spans="1:17">
      <c r="A116" s="525" t="s">
        <v>35</v>
      </c>
      <c r="B116" s="525"/>
      <c r="C116" s="525"/>
      <c r="D116" s="239"/>
      <c r="E116" s="526">
        <f>E49+E58+E103+E115+E83+E89+E65</f>
        <v>171598000</v>
      </c>
      <c r="F116" s="526"/>
      <c r="G116" s="526"/>
      <c r="H116" s="526"/>
      <c r="J116" s="525" t="s">
        <v>35</v>
      </c>
      <c r="K116" s="525"/>
      <c r="L116" s="525"/>
      <c r="M116" s="244"/>
      <c r="N116" s="526">
        <f>N49+N58+N103+N115+N83+N89+N65</f>
        <v>171598000</v>
      </c>
      <c r="O116" s="526"/>
      <c r="P116" s="526"/>
      <c r="Q116" s="526"/>
    </row>
    <row r="117" spans="1:17">
      <c r="A117" s="522" t="s">
        <v>36</v>
      </c>
      <c r="B117" s="522"/>
      <c r="C117" s="522"/>
      <c r="D117" s="242"/>
      <c r="E117" s="523">
        <f>+E31+E116</f>
        <v>171948000</v>
      </c>
      <c r="F117" s="523"/>
      <c r="G117" s="523"/>
      <c r="H117" s="523"/>
      <c r="J117" s="522" t="s">
        <v>36</v>
      </c>
      <c r="K117" s="522"/>
      <c r="L117" s="522"/>
      <c r="M117" s="247"/>
      <c r="N117" s="523">
        <f>+N31+N116</f>
        <v>171948000</v>
      </c>
      <c r="O117" s="523"/>
      <c r="P117" s="523"/>
      <c r="Q117" s="523"/>
    </row>
    <row r="118" spans="1:17">
      <c r="A118" s="524" t="s">
        <v>32</v>
      </c>
      <c r="B118" s="524"/>
      <c r="C118" s="524"/>
      <c r="D118" s="524"/>
      <c r="E118" s="524"/>
      <c r="F118" s="524"/>
      <c r="G118" s="524"/>
      <c r="H118" s="524"/>
      <c r="J118" s="524" t="s">
        <v>32</v>
      </c>
      <c r="K118" s="524"/>
      <c r="L118" s="524"/>
      <c r="M118" s="524"/>
      <c r="N118" s="524"/>
      <c r="O118" s="524"/>
      <c r="P118" s="524"/>
      <c r="Q118" s="524"/>
    </row>
    <row r="119" spans="1:17">
      <c r="A119" s="33"/>
      <c r="B119" s="13"/>
      <c r="C119" s="22"/>
      <c r="D119" s="22"/>
      <c r="E119" s="22"/>
      <c r="F119" s="22"/>
      <c r="G119" s="16"/>
      <c r="H119" s="16"/>
      <c r="J119" s="33"/>
      <c r="K119" s="13"/>
      <c r="L119" s="22"/>
      <c r="M119" s="22"/>
      <c r="N119" s="22"/>
      <c r="O119" s="22"/>
      <c r="P119" s="16"/>
      <c r="Q119" s="16"/>
    </row>
    <row r="120" spans="1:17">
      <c r="A120" s="33"/>
      <c r="B120" s="13"/>
      <c r="C120" s="22"/>
      <c r="D120" s="22"/>
      <c r="E120" s="22"/>
      <c r="F120" s="22"/>
      <c r="G120" s="16"/>
      <c r="H120" s="16"/>
      <c r="J120" s="33"/>
      <c r="K120" s="13"/>
      <c r="L120" s="22"/>
      <c r="M120" s="22"/>
      <c r="N120" s="22"/>
      <c r="O120" s="22"/>
      <c r="P120" s="16"/>
      <c r="Q120" s="16"/>
    </row>
    <row r="121" spans="1:17">
      <c r="A121" s="33"/>
      <c r="B121" s="13"/>
      <c r="C121" s="22"/>
      <c r="D121" s="22"/>
      <c r="E121" s="22"/>
      <c r="F121" s="22"/>
      <c r="G121" s="16"/>
      <c r="H121" s="16"/>
      <c r="J121" s="33"/>
      <c r="K121" s="13"/>
      <c r="L121" s="22"/>
      <c r="M121" s="22"/>
      <c r="N121" s="22"/>
      <c r="O121" s="22"/>
      <c r="P121" s="16"/>
      <c r="Q121" s="16"/>
    </row>
    <row r="122" spans="1:17">
      <c r="A122" s="20"/>
      <c r="B122" s="13"/>
      <c r="C122" s="22"/>
      <c r="D122" s="22"/>
      <c r="E122" s="22"/>
      <c r="F122" s="16"/>
      <c r="G122" s="16"/>
      <c r="H122" s="16"/>
      <c r="J122" s="20"/>
      <c r="K122" s="13"/>
      <c r="L122" s="22"/>
      <c r="M122" s="22"/>
      <c r="N122" s="22"/>
      <c r="O122" s="16"/>
      <c r="P122" s="16"/>
      <c r="Q122" s="16"/>
    </row>
    <row r="123" spans="1:17">
      <c r="A123" s="20"/>
      <c r="B123" s="13"/>
      <c r="C123" s="22"/>
      <c r="D123" s="22"/>
      <c r="E123" s="22"/>
      <c r="F123" s="16"/>
      <c r="G123" s="16"/>
      <c r="H123" s="16"/>
      <c r="J123" s="20"/>
      <c r="K123" s="13"/>
      <c r="L123" s="22"/>
      <c r="M123" s="22"/>
      <c r="N123" s="22"/>
      <c r="O123" s="16"/>
      <c r="P123" s="16"/>
      <c r="Q123" s="16"/>
    </row>
    <row r="124" spans="1:17">
      <c r="A124" s="525" t="s">
        <v>37</v>
      </c>
      <c r="B124" s="525"/>
      <c r="C124" s="525"/>
      <c r="D124" s="239">
        <f>SUM(D119:D123)</f>
        <v>0</v>
      </c>
      <c r="E124" s="526"/>
      <c r="F124" s="526"/>
      <c r="G124" s="526"/>
      <c r="H124" s="526"/>
      <c r="J124" s="525" t="s">
        <v>37</v>
      </c>
      <c r="K124" s="525"/>
      <c r="L124" s="525"/>
      <c r="M124" s="244">
        <f>SUM(M119:M123)</f>
        <v>0</v>
      </c>
      <c r="N124" s="526"/>
      <c r="O124" s="526"/>
      <c r="P124" s="526"/>
      <c r="Q124" s="526"/>
    </row>
    <row r="125" spans="1:17">
      <c r="A125" s="34" t="s">
        <v>38</v>
      </c>
      <c r="B125" s="35"/>
      <c r="C125" s="239"/>
      <c r="D125" s="239"/>
      <c r="E125" s="240"/>
      <c r="F125" s="240"/>
      <c r="G125" s="526"/>
      <c r="H125" s="526"/>
      <c r="J125" s="34" t="s">
        <v>38</v>
      </c>
      <c r="K125" s="35"/>
      <c r="L125" s="244"/>
      <c r="M125" s="244"/>
      <c r="N125" s="245"/>
      <c r="O125" s="245"/>
      <c r="P125" s="526"/>
      <c r="Q125" s="526"/>
    </row>
    <row r="126" spans="1:17">
      <c r="A126" s="37"/>
      <c r="B126" s="38"/>
      <c r="C126" s="39"/>
      <c r="D126" s="39"/>
      <c r="E126" s="39"/>
      <c r="F126" s="39"/>
      <c r="G126" s="39"/>
      <c r="H126" s="39"/>
      <c r="J126" s="37"/>
      <c r="K126" s="38"/>
      <c r="L126" s="39"/>
      <c r="M126" s="39"/>
      <c r="N126" s="39"/>
      <c r="O126" s="39"/>
      <c r="P126" s="39"/>
      <c r="Q126" s="39"/>
    </row>
    <row r="127" spans="1:17">
      <c r="A127" s="519" t="s">
        <v>13</v>
      </c>
      <c r="B127" s="520"/>
      <c r="C127" s="520"/>
      <c r="D127" s="520"/>
      <c r="E127" s="521"/>
      <c r="F127" s="39"/>
      <c r="G127" s="39"/>
      <c r="H127" s="40"/>
      <c r="J127" s="519" t="s">
        <v>13</v>
      </c>
      <c r="K127" s="520"/>
      <c r="L127" s="520"/>
      <c r="M127" s="520"/>
      <c r="N127" s="521"/>
      <c r="O127" s="39"/>
      <c r="P127" s="39"/>
      <c r="Q127" s="40"/>
    </row>
    <row r="128" spans="1:17">
      <c r="A128" s="41" t="s">
        <v>39</v>
      </c>
      <c r="B128" s="42" t="s">
        <v>40</v>
      </c>
      <c r="C128" s="43" t="s">
        <v>41</v>
      </c>
      <c r="D128" s="43" t="s">
        <v>42</v>
      </c>
      <c r="E128" s="43" t="s">
        <v>43</v>
      </c>
      <c r="F128" s="39"/>
      <c r="G128" s="39"/>
      <c r="H128" s="39"/>
      <c r="J128" s="41" t="s">
        <v>39</v>
      </c>
      <c r="K128" s="42" t="s">
        <v>40</v>
      </c>
      <c r="L128" s="43" t="s">
        <v>41</v>
      </c>
      <c r="M128" s="43" t="s">
        <v>42</v>
      </c>
      <c r="N128" s="43" t="s">
        <v>43</v>
      </c>
      <c r="O128" s="39"/>
      <c r="P128" s="39"/>
      <c r="Q128" s="39"/>
    </row>
    <row r="129" spans="1:17">
      <c r="A129" s="41"/>
      <c r="B129" s="44"/>
      <c r="C129" s="45"/>
      <c r="D129" s="46"/>
      <c r="E129" s="46"/>
      <c r="F129" s="39"/>
      <c r="G129" s="39"/>
      <c r="H129" s="39"/>
      <c r="J129" s="41"/>
      <c r="K129" s="44"/>
      <c r="L129" s="45" t="s">
        <v>681</v>
      </c>
      <c r="M129" s="46">
        <v>100000000</v>
      </c>
      <c r="N129" s="46"/>
      <c r="O129" s="39"/>
      <c r="P129" s="39"/>
      <c r="Q129" s="39"/>
    </row>
    <row r="130" spans="1:17">
      <c r="A130" s="41"/>
      <c r="B130" s="44"/>
      <c r="C130" s="45"/>
      <c r="D130" s="46"/>
      <c r="E130" s="46"/>
      <c r="F130" s="39"/>
      <c r="G130" s="39"/>
      <c r="H130" s="39"/>
      <c r="J130" s="41"/>
      <c r="K130" s="44"/>
      <c r="L130" s="45" t="s">
        <v>682</v>
      </c>
      <c r="M130" s="46">
        <v>71500000</v>
      </c>
      <c r="N130" s="46"/>
      <c r="O130" s="39"/>
      <c r="P130" s="39"/>
      <c r="Q130" s="39"/>
    </row>
    <row r="131" spans="1:17">
      <c r="A131" s="41"/>
      <c r="B131" s="44"/>
      <c r="C131" s="45"/>
      <c r="D131" s="46"/>
      <c r="E131" s="46"/>
      <c r="F131" s="39"/>
      <c r="G131" s="39"/>
      <c r="H131" s="39"/>
      <c r="J131" s="41"/>
      <c r="K131" s="44"/>
      <c r="L131" s="45"/>
      <c r="M131" s="46"/>
      <c r="N131" s="46"/>
      <c r="O131" s="39"/>
      <c r="P131" s="39"/>
      <c r="Q131" s="39"/>
    </row>
    <row r="132" spans="1:17">
      <c r="A132" s="41"/>
      <c r="B132" s="44"/>
      <c r="C132" s="47"/>
      <c r="D132" s="46"/>
      <c r="E132" s="46"/>
      <c r="F132" s="39"/>
      <c r="G132" s="39"/>
      <c r="H132" s="39"/>
      <c r="J132" s="41"/>
      <c r="K132" s="44"/>
      <c r="L132" s="47"/>
      <c r="M132" s="46"/>
      <c r="N132" s="46"/>
      <c r="O132" s="39"/>
      <c r="P132" s="39"/>
      <c r="Q132" s="39"/>
    </row>
    <row r="133" spans="1:17">
      <c r="A133" s="41"/>
      <c r="B133" s="44"/>
      <c r="C133" s="46"/>
      <c r="D133" s="48"/>
      <c r="E133" s="46"/>
      <c r="F133" s="39"/>
      <c r="G133" s="39"/>
      <c r="H133" s="39"/>
      <c r="J133" s="41"/>
      <c r="K133" s="44"/>
      <c r="L133" s="46"/>
      <c r="M133" s="48"/>
      <c r="N133" s="46"/>
      <c r="O133" s="39"/>
      <c r="P133" s="39"/>
      <c r="Q133" s="39"/>
    </row>
    <row r="134" spans="1:17">
      <c r="A134" s="49"/>
      <c r="B134" s="50"/>
      <c r="C134" s="51" t="s">
        <v>44</v>
      </c>
      <c r="D134" s="51">
        <f>SUM(D129:D133)</f>
        <v>0</v>
      </c>
      <c r="E134" s="52"/>
      <c r="F134" s="39"/>
      <c r="G134" s="39"/>
      <c r="H134" s="39"/>
      <c r="J134" s="49"/>
      <c r="K134" s="50"/>
      <c r="L134" s="51" t="s">
        <v>44</v>
      </c>
      <c r="M134" s="51">
        <f>SUM(M129:M133)</f>
        <v>171500000</v>
      </c>
      <c r="N134" s="52"/>
      <c r="O134" s="39"/>
      <c r="P134" s="39"/>
      <c r="Q134" s="39"/>
    </row>
    <row r="135" spans="1:17">
      <c r="A135" s="53"/>
      <c r="B135" s="54"/>
      <c r="C135" s="55"/>
      <c r="D135" s="116"/>
      <c r="E135" s="3"/>
      <c r="F135" s="39"/>
      <c r="G135" s="39"/>
      <c r="H135" s="39"/>
      <c r="J135" s="53"/>
      <c r="K135" s="54"/>
      <c r="L135" s="55"/>
      <c r="M135" s="116"/>
      <c r="N135" s="3"/>
      <c r="O135" s="39"/>
      <c r="P135" s="39"/>
      <c r="Q135" s="39"/>
    </row>
  </sheetData>
  <mergeCells count="66">
    <mergeCell ref="J118:Q118"/>
    <mergeCell ref="J124:L124"/>
    <mergeCell ref="N124:Q124"/>
    <mergeCell ref="P125:Q125"/>
    <mergeCell ref="J127:N127"/>
    <mergeCell ref="N115:Q115"/>
    <mergeCell ref="J116:L116"/>
    <mergeCell ref="N116:Q116"/>
    <mergeCell ref="J117:L117"/>
    <mergeCell ref="N117:Q117"/>
    <mergeCell ref="J84:Q84"/>
    <mergeCell ref="N89:Q89"/>
    <mergeCell ref="J90:Q90"/>
    <mergeCell ref="N103:Q103"/>
    <mergeCell ref="J104:Q104"/>
    <mergeCell ref="N58:Q58"/>
    <mergeCell ref="J59:Q59"/>
    <mergeCell ref="N65:Q65"/>
    <mergeCell ref="J66:Q66"/>
    <mergeCell ref="N83:Q83"/>
    <mergeCell ref="J31:M31"/>
    <mergeCell ref="N31:Q31"/>
    <mergeCell ref="J32:Q32"/>
    <mergeCell ref="N49:Q49"/>
    <mergeCell ref="J50:Q50"/>
    <mergeCell ref="J3:Q3"/>
    <mergeCell ref="J12:P12"/>
    <mergeCell ref="J13:Q13"/>
    <mergeCell ref="J14:J15"/>
    <mergeCell ref="K14:K15"/>
    <mergeCell ref="L14:L15"/>
    <mergeCell ref="M14:M15"/>
    <mergeCell ref="N14:Q14"/>
    <mergeCell ref="A127:E127"/>
    <mergeCell ref="A117:C117"/>
    <mergeCell ref="E117:H117"/>
    <mergeCell ref="A118:H118"/>
    <mergeCell ref="A124:C124"/>
    <mergeCell ref="E124:H124"/>
    <mergeCell ref="G125:H125"/>
    <mergeCell ref="A90:H90"/>
    <mergeCell ref="E103:H103"/>
    <mergeCell ref="A104:H104"/>
    <mergeCell ref="E115:H115"/>
    <mergeCell ref="A116:C116"/>
    <mergeCell ref="E116:H116"/>
    <mergeCell ref="E89:H89"/>
    <mergeCell ref="A31:D31"/>
    <mergeCell ref="E31:H31"/>
    <mergeCell ref="A32:H32"/>
    <mergeCell ref="E49:H49"/>
    <mergeCell ref="A50:H50"/>
    <mergeCell ref="E58:H58"/>
    <mergeCell ref="A59:H59"/>
    <mergeCell ref="E65:H65"/>
    <mergeCell ref="A66:H66"/>
    <mergeCell ref="E83:H83"/>
    <mergeCell ref="A84:H84"/>
    <mergeCell ref="A3:H3"/>
    <mergeCell ref="A12:G12"/>
    <mergeCell ref="A13:H13"/>
    <mergeCell ref="A14:A15"/>
    <mergeCell ref="B14:B15"/>
    <mergeCell ref="C14:C15"/>
    <mergeCell ref="D14:D15"/>
    <mergeCell ref="E14:H14"/>
  </mergeCells>
  <pageMargins left="0.73" right="0.11811023622047245" top="0.19685039370078741" bottom="0.63" header="0.11811023622047245" footer="0.31496062992125984"/>
  <pageSetup paperSize="9" scale="70" orientation="portrait" r:id="rId1"/>
  <rowBreaks count="1" manualBreakCount="1">
    <brk id="117" max="7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37"/>
  <sheetViews>
    <sheetView workbookViewId="0"/>
  </sheetViews>
  <sheetFormatPr defaultRowHeight="15"/>
  <cols>
    <col min="1" max="1" width="54.28515625" bestFit="1" customWidth="1"/>
    <col min="2" max="2" width="11.5703125" bestFit="1" customWidth="1"/>
    <col min="3" max="3" width="35.28515625" bestFit="1" customWidth="1"/>
    <col min="4" max="4" width="10.5703125" bestFit="1" customWidth="1"/>
    <col min="5" max="5" width="60.85546875" bestFit="1" customWidth="1"/>
    <col min="7" max="7" width="41.7109375" bestFit="1" customWidth="1"/>
    <col min="8" max="8" width="12.5703125" bestFit="1" customWidth="1"/>
    <col min="9" max="9" width="17.28515625" bestFit="1" customWidth="1"/>
    <col min="10" max="10" width="9" bestFit="1" customWidth="1"/>
    <col min="12" max="12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84" customFormat="1">
      <c r="A2" s="23" t="s">
        <v>666</v>
      </c>
      <c r="B2" s="23">
        <v>14160000</v>
      </c>
      <c r="C2" s="24" t="s">
        <v>150</v>
      </c>
      <c r="D2" s="23">
        <v>150000</v>
      </c>
      <c r="E2" s="15" t="s">
        <v>651</v>
      </c>
      <c r="F2" s="22">
        <v>125000</v>
      </c>
      <c r="G2" s="14" t="s">
        <v>655</v>
      </c>
      <c r="H2" s="15">
        <v>150000</v>
      </c>
      <c r="I2" s="14" t="s">
        <v>653</v>
      </c>
      <c r="J2" s="77">
        <v>100000</v>
      </c>
    </row>
    <row r="3" spans="1:10" s="184" customFormat="1">
      <c r="A3" s="24" t="s">
        <v>671</v>
      </c>
      <c r="B3" s="23">
        <v>6575000</v>
      </c>
      <c r="C3" s="24" t="s">
        <v>683</v>
      </c>
      <c r="D3" s="23">
        <v>230000</v>
      </c>
      <c r="E3" s="15" t="s">
        <v>656</v>
      </c>
      <c r="F3" s="23">
        <v>170000</v>
      </c>
      <c r="G3" s="14" t="s">
        <v>649</v>
      </c>
      <c r="H3" s="167">
        <v>1500000</v>
      </c>
      <c r="I3" s="14" t="s">
        <v>654</v>
      </c>
      <c r="J3" s="167">
        <v>100000</v>
      </c>
    </row>
    <row r="4" spans="1:10" s="184" customFormat="1">
      <c r="A4" s="24" t="s">
        <v>263</v>
      </c>
      <c r="B4" s="23">
        <v>1540000</v>
      </c>
      <c r="C4" s="183" t="s">
        <v>661</v>
      </c>
      <c r="D4" s="30">
        <v>750000</v>
      </c>
      <c r="E4" s="15" t="s">
        <v>646</v>
      </c>
      <c r="F4" s="23">
        <v>244000</v>
      </c>
      <c r="G4" s="14" t="s">
        <v>659</v>
      </c>
      <c r="H4" s="15">
        <v>207000</v>
      </c>
      <c r="I4" s="183"/>
      <c r="J4" s="30"/>
    </row>
    <row r="5" spans="1:10" s="184" customFormat="1">
      <c r="A5" s="24" t="s">
        <v>619</v>
      </c>
      <c r="B5" s="23">
        <v>300000</v>
      </c>
      <c r="C5" s="30" t="s">
        <v>410</v>
      </c>
      <c r="D5" s="185">
        <v>600000</v>
      </c>
      <c r="E5" s="23"/>
      <c r="F5" s="23"/>
      <c r="G5" s="24" t="s">
        <v>665</v>
      </c>
      <c r="H5" s="23">
        <v>268000</v>
      </c>
      <c r="I5" s="183"/>
      <c r="J5" s="183"/>
    </row>
    <row r="6" spans="1:10" s="187" customFormat="1">
      <c r="A6" s="24"/>
      <c r="B6" s="23"/>
      <c r="C6" s="186"/>
      <c r="D6" s="185"/>
      <c r="E6" s="183"/>
      <c r="F6" s="30"/>
      <c r="G6" s="24" t="s">
        <v>669</v>
      </c>
      <c r="H6" s="23">
        <v>110800000</v>
      </c>
      <c r="I6" s="23"/>
      <c r="J6" s="23"/>
    </row>
    <row r="7" spans="1:10" s="187" customFormat="1" hidden="1">
      <c r="A7" s="22"/>
      <c r="B7" s="22"/>
      <c r="C7" s="30"/>
      <c r="D7" s="188"/>
      <c r="E7" s="183"/>
      <c r="F7" s="30"/>
      <c r="G7" s="24" t="s">
        <v>618</v>
      </c>
      <c r="H7" s="23">
        <v>30000000</v>
      </c>
      <c r="I7" s="14"/>
      <c r="J7" s="15"/>
    </row>
    <row r="8" spans="1:10" s="187" customFormat="1" hidden="1">
      <c r="A8" s="22"/>
      <c r="B8" s="22"/>
      <c r="C8" s="30"/>
      <c r="D8" s="188"/>
      <c r="E8" s="30"/>
      <c r="F8" s="188"/>
      <c r="G8" s="24" t="s">
        <v>672</v>
      </c>
      <c r="H8" s="23">
        <v>1050000</v>
      </c>
      <c r="I8" s="30"/>
      <c r="J8" s="188"/>
    </row>
    <row r="9" spans="1:10" s="187" customFormat="1" hidden="1">
      <c r="A9" s="22"/>
      <c r="B9" s="29"/>
      <c r="C9" s="30"/>
      <c r="D9" s="188"/>
      <c r="E9" s="185"/>
      <c r="F9" s="189"/>
      <c r="G9" s="24" t="s">
        <v>675</v>
      </c>
      <c r="H9" s="23">
        <v>2465000</v>
      </c>
      <c r="I9" s="30"/>
      <c r="J9" s="188"/>
    </row>
    <row r="10" spans="1:10" s="187" customFormat="1" hidden="1">
      <c r="A10" s="22"/>
      <c r="B10" s="29"/>
      <c r="C10" s="190"/>
      <c r="D10" s="190"/>
      <c r="E10" s="185"/>
      <c r="F10" s="189"/>
      <c r="G10" s="24" t="s">
        <v>648</v>
      </c>
      <c r="H10" s="23">
        <v>205000</v>
      </c>
      <c r="I10" s="30"/>
      <c r="J10" s="188"/>
    </row>
    <row r="11" spans="1:10" s="187" customFormat="1" hidden="1">
      <c r="A11" s="23"/>
      <c r="B11" s="23"/>
      <c r="C11" s="190"/>
      <c r="D11" s="190"/>
      <c r="E11" s="185"/>
      <c r="F11" s="189"/>
      <c r="G11" s="24" t="s">
        <v>676</v>
      </c>
      <c r="H11" s="23">
        <v>114000</v>
      </c>
      <c r="I11" s="30"/>
      <c r="J11" s="188"/>
    </row>
    <row r="12" spans="1:10" s="187" customFormat="1" hidden="1">
      <c r="A12" s="186"/>
      <c r="B12" s="185"/>
      <c r="C12" s="190"/>
      <c r="D12" s="190"/>
      <c r="E12" s="185"/>
      <c r="F12" s="189"/>
      <c r="G12" s="24" t="s">
        <v>677</v>
      </c>
      <c r="H12" s="23">
        <v>145000</v>
      </c>
      <c r="I12" s="30"/>
      <c r="J12" s="188"/>
    </row>
    <row r="13" spans="1:10" s="187" customFormat="1" hidden="1">
      <c r="A13" s="186"/>
      <c r="B13" s="185"/>
      <c r="C13" s="190"/>
      <c r="D13" s="190"/>
      <c r="E13" s="185"/>
      <c r="F13" s="189"/>
      <c r="G13" s="23"/>
      <c r="H13" s="23"/>
      <c r="I13" s="191"/>
      <c r="J13" s="192"/>
    </row>
    <row r="14" spans="1:10" s="187" customFormat="1" hidden="1">
      <c r="A14" s="193"/>
      <c r="B14" s="194"/>
      <c r="C14" s="194"/>
      <c r="D14" s="194"/>
      <c r="E14" s="194"/>
      <c r="F14" s="194"/>
      <c r="G14" s="23"/>
      <c r="H14" s="23"/>
      <c r="I14" s="193"/>
      <c r="J14" s="194"/>
    </row>
    <row r="15" spans="1:10" s="187" customFormat="1" hidden="1">
      <c r="A15" s="193"/>
      <c r="B15" s="194"/>
      <c r="C15" s="194"/>
      <c r="D15" s="194"/>
      <c r="E15" s="194"/>
      <c r="F15" s="194"/>
      <c r="G15" s="23"/>
      <c r="H15" s="23"/>
      <c r="I15" s="193"/>
      <c r="J15" s="194"/>
    </row>
    <row r="16" spans="1:10" s="187" customFormat="1" hidden="1">
      <c r="A16" s="193"/>
      <c r="B16" s="194"/>
      <c r="C16" s="194"/>
      <c r="D16" s="194"/>
      <c r="E16" s="194"/>
      <c r="F16" s="194"/>
      <c r="G16" s="22"/>
      <c r="H16" s="22"/>
      <c r="I16" s="193"/>
      <c r="J16" s="194"/>
    </row>
    <row r="17" spans="1:12" s="187" customFormat="1" hidden="1">
      <c r="A17" s="193"/>
      <c r="B17" s="194"/>
      <c r="C17" s="194"/>
      <c r="D17" s="194"/>
      <c r="E17" s="194"/>
      <c r="F17" s="194"/>
      <c r="G17" s="15"/>
      <c r="H17" s="23"/>
      <c r="I17" s="193"/>
      <c r="J17" s="194"/>
    </row>
    <row r="18" spans="1:12" s="187" customFormat="1" hidden="1">
      <c r="A18" s="193"/>
      <c r="B18" s="194"/>
      <c r="C18" s="194"/>
      <c r="D18" s="194"/>
      <c r="E18" s="194"/>
      <c r="F18" s="194"/>
      <c r="G18" s="22"/>
      <c r="H18" s="22"/>
      <c r="I18" s="193"/>
      <c r="J18" s="194"/>
    </row>
    <row r="19" spans="1:12" s="187" customFormat="1" hidden="1">
      <c r="A19" s="193"/>
      <c r="B19" s="194"/>
      <c r="C19" s="194"/>
      <c r="D19" s="194"/>
      <c r="E19" s="194"/>
      <c r="F19" s="194"/>
      <c r="G19" s="24"/>
      <c r="H19" s="23"/>
      <c r="I19" s="193"/>
      <c r="J19" s="194"/>
    </row>
    <row r="20" spans="1:12" s="187" customFormat="1" hidden="1">
      <c r="A20" s="193"/>
      <c r="B20" s="194"/>
      <c r="C20" s="194"/>
      <c r="D20" s="194"/>
      <c r="E20" s="194"/>
      <c r="F20" s="194"/>
      <c r="G20" s="186"/>
      <c r="H20" s="185"/>
      <c r="I20" s="193"/>
      <c r="J20" s="194"/>
    </row>
    <row r="21" spans="1:12" s="187" customFormat="1" hidden="1">
      <c r="A21" s="193"/>
      <c r="B21" s="194"/>
      <c r="C21" s="194"/>
      <c r="D21" s="194"/>
      <c r="E21" s="194"/>
      <c r="F21" s="194"/>
      <c r="G21" s="186"/>
      <c r="H21" s="185"/>
      <c r="I21" s="193"/>
      <c r="J21" s="194"/>
    </row>
    <row r="22" spans="1:12" s="187" customFormat="1" hidden="1">
      <c r="A22" s="193"/>
      <c r="B22" s="194"/>
      <c r="C22" s="194"/>
      <c r="D22" s="194"/>
      <c r="E22" s="194"/>
      <c r="F22" s="194"/>
      <c r="G22" s="196"/>
      <c r="H22" s="196"/>
      <c r="I22" s="193"/>
      <c r="J22" s="194"/>
    </row>
    <row r="23" spans="1:12" s="187" customFormat="1" hidden="1">
      <c r="A23" s="193"/>
      <c r="B23" s="194"/>
      <c r="C23" s="194"/>
      <c r="D23" s="194"/>
      <c r="E23" s="194"/>
      <c r="F23" s="194"/>
      <c r="G23" s="196"/>
      <c r="H23" s="196"/>
      <c r="I23" s="193"/>
      <c r="J23" s="194"/>
    </row>
    <row r="24" spans="1:12" s="187" customFormat="1" hidden="1">
      <c r="A24" s="193"/>
      <c r="B24" s="194"/>
      <c r="C24" s="194"/>
      <c r="D24" s="194"/>
      <c r="E24" s="194"/>
      <c r="F24" s="194"/>
      <c r="G24" s="196"/>
      <c r="H24" s="196"/>
      <c r="I24" s="193"/>
      <c r="J24" s="194"/>
    </row>
    <row r="25" spans="1:12" s="187" customFormat="1" hidden="1">
      <c r="A25" s="193"/>
      <c r="B25" s="194"/>
      <c r="C25" s="194"/>
      <c r="D25" s="194"/>
      <c r="E25" s="194"/>
      <c r="F25" s="194"/>
      <c r="G25" s="196"/>
      <c r="H25" s="196"/>
      <c r="I25" s="193"/>
      <c r="J25" s="194"/>
    </row>
    <row r="26" spans="1:12" s="187" customFormat="1" hidden="1">
      <c r="A26" s="193"/>
      <c r="B26" s="194"/>
      <c r="C26" s="194"/>
      <c r="D26" s="194"/>
      <c r="E26" s="194"/>
      <c r="F26" s="194"/>
      <c r="G26" s="196"/>
      <c r="H26" s="196"/>
      <c r="I26" s="193"/>
      <c r="J26" s="194"/>
    </row>
    <row r="27" spans="1:12" hidden="1">
      <c r="A27" s="68"/>
      <c r="B27" s="69"/>
      <c r="C27" s="69"/>
      <c r="D27" s="69"/>
      <c r="E27" s="69"/>
      <c r="F27" s="69"/>
      <c r="G27" s="119"/>
      <c r="H27" s="120"/>
      <c r="I27" s="68"/>
      <c r="J27" s="69"/>
    </row>
    <row r="28" spans="1:12">
      <c r="A28" s="70"/>
      <c r="B28" s="71">
        <f>SUM(B2:B26)</f>
        <v>22575000</v>
      </c>
      <c r="C28" s="71">
        <f t="shared" ref="C28:J28" si="0">SUM(C2:C26)</f>
        <v>0</v>
      </c>
      <c r="D28" s="71">
        <f t="shared" si="0"/>
        <v>1730000</v>
      </c>
      <c r="E28" s="71">
        <f t="shared" si="0"/>
        <v>0</v>
      </c>
      <c r="F28" s="71">
        <f t="shared" si="0"/>
        <v>539000</v>
      </c>
      <c r="G28" s="71">
        <f>SUM(G2:G26)</f>
        <v>0</v>
      </c>
      <c r="H28" s="71">
        <f>SUM(H2:H26)</f>
        <v>146904000</v>
      </c>
      <c r="I28" s="71">
        <f t="shared" si="0"/>
        <v>0</v>
      </c>
      <c r="J28" s="71">
        <f t="shared" si="0"/>
        <v>200000</v>
      </c>
      <c r="K28" s="72"/>
      <c r="L28" s="72">
        <f>SUM(B28:K28)</f>
        <v>171948000</v>
      </c>
    </row>
    <row r="29" spans="1:12">
      <c r="B29" s="77"/>
      <c r="C29" t="s">
        <v>317</v>
      </c>
      <c r="D29" s="77">
        <v>100000</v>
      </c>
      <c r="E29" s="77"/>
      <c r="F29" s="77"/>
      <c r="L29" s="72">
        <f>L28-Sheet24!N117</f>
        <v>0</v>
      </c>
    </row>
    <row r="30" spans="1:12">
      <c r="D30" s="72">
        <f>D28-D29</f>
        <v>1630000</v>
      </c>
    </row>
    <row r="32" spans="1:12">
      <c r="C32" t="s">
        <v>684</v>
      </c>
      <c r="D32" s="77">
        <v>800000</v>
      </c>
    </row>
    <row r="33" spans="3:4">
      <c r="C33" t="s">
        <v>96</v>
      </c>
      <c r="D33" s="72">
        <f>D30-D32</f>
        <v>830000</v>
      </c>
    </row>
    <row r="34" spans="3:4">
      <c r="D34" s="72"/>
    </row>
    <row r="37" spans="3:4">
      <c r="D37" s="7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132"/>
  <sheetViews>
    <sheetView workbookViewId="0"/>
  </sheetViews>
  <sheetFormatPr defaultRowHeight="15"/>
  <cols>
    <col min="1" max="1" width="5.85546875" customWidth="1"/>
    <col min="2" max="2" width="9.42578125" customWidth="1"/>
    <col min="3" max="3" width="63.140625" customWidth="1"/>
    <col min="4" max="4" width="11.7109375" customWidth="1"/>
    <col min="5" max="5" width="7.85546875" customWidth="1"/>
    <col min="6" max="6" width="7.7109375" customWidth="1"/>
    <col min="7" max="7" width="7.28515625" customWidth="1"/>
    <col min="8" max="8" width="12" bestFit="1" customWidth="1"/>
    <col min="12" max="12" width="80.42578125" bestFit="1" customWidth="1"/>
    <col min="13" max="13" width="12" bestFit="1" customWidth="1"/>
    <col min="17" max="17" width="12" bestFit="1" customWidth="1"/>
    <col min="20" max="20" width="11.57031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708</v>
      </c>
      <c r="B2" s="2"/>
      <c r="C2" s="3"/>
      <c r="D2" s="3"/>
      <c r="E2" s="3"/>
      <c r="F2" s="3"/>
      <c r="G2" s="3"/>
      <c r="H2" s="3"/>
      <c r="J2" s="1" t="s">
        <v>708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f>308030293-100000000</f>
        <v>208030293</v>
      </c>
      <c r="E4" s="6"/>
      <c r="F4" s="6"/>
      <c r="G4" s="6"/>
      <c r="H4" s="6"/>
      <c r="J4" s="4"/>
      <c r="K4" s="5"/>
      <c r="L4" s="6" t="s">
        <v>2</v>
      </c>
      <c r="M4" s="7">
        <f>308030293-100000000</f>
        <v>208030293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>
        <v>100000000</v>
      </c>
      <c r="E5" s="6"/>
      <c r="F5" s="6"/>
      <c r="G5" s="6"/>
      <c r="H5" s="6"/>
      <c r="J5" s="4"/>
      <c r="K5" s="5"/>
      <c r="L5" s="6" t="s">
        <v>590</v>
      </c>
      <c r="M5" s="7">
        <v>100000000</v>
      </c>
      <c r="N5" s="6"/>
      <c r="O5" s="6"/>
      <c r="P5" s="6"/>
      <c r="Q5" s="6"/>
    </row>
    <row r="6" spans="1:17">
      <c r="A6" s="4"/>
      <c r="B6" s="5"/>
      <c r="C6" s="6" t="s">
        <v>3</v>
      </c>
      <c r="D6" s="8">
        <v>290765</v>
      </c>
      <c r="E6" s="6"/>
      <c r="F6" s="6"/>
      <c r="G6" s="6"/>
      <c r="H6" s="6"/>
      <c r="J6" s="4"/>
      <c r="K6" s="5"/>
      <c r="L6" s="6" t="s">
        <v>3</v>
      </c>
      <c r="M6" s="8">
        <v>290765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1189810.5900000334</v>
      </c>
      <c r="E7" s="6"/>
      <c r="F7" s="6"/>
      <c r="G7" s="6"/>
      <c r="H7" s="6"/>
      <c r="J7" s="4"/>
      <c r="K7" s="5"/>
      <c r="L7" s="6" t="s">
        <v>4</v>
      </c>
      <c r="M7" s="115">
        <v>1189810.5900000334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17000000</v>
      </c>
      <c r="E10" s="6"/>
      <c r="F10" s="6"/>
      <c r="G10" s="6"/>
      <c r="H10" s="6"/>
      <c r="J10" s="4"/>
      <c r="K10" s="5"/>
      <c r="L10" s="6" t="s">
        <v>7</v>
      </c>
      <c r="M10" s="6">
        <v>17000000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709</v>
      </c>
      <c r="B12" s="532"/>
      <c r="C12" s="532"/>
      <c r="D12" s="532"/>
      <c r="E12" s="532"/>
      <c r="F12" s="532"/>
      <c r="G12" s="533"/>
      <c r="H12" s="10">
        <f>SUM(D4:D10)</f>
        <v>330954757.10333335</v>
      </c>
      <c r="J12" s="531" t="s">
        <v>709</v>
      </c>
      <c r="K12" s="532"/>
      <c r="L12" s="532"/>
      <c r="M12" s="532"/>
      <c r="N12" s="532"/>
      <c r="O12" s="532"/>
      <c r="P12" s="533"/>
      <c r="Q12" s="10">
        <f>SUM(M4:M10)</f>
        <v>330954757.10333335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253" t="s">
        <v>14</v>
      </c>
      <c r="F15" s="253" t="s">
        <v>15</v>
      </c>
      <c r="G15" s="253" t="s">
        <v>16</v>
      </c>
      <c r="H15" s="253" t="s">
        <v>17</v>
      </c>
      <c r="J15" s="536"/>
      <c r="K15" s="537"/>
      <c r="L15" s="538"/>
      <c r="M15" s="538"/>
      <c r="N15" s="253" t="s">
        <v>14</v>
      </c>
      <c r="O15" s="253" t="s">
        <v>15</v>
      </c>
      <c r="P15" s="253" t="s">
        <v>16</v>
      </c>
      <c r="Q15" s="253" t="s">
        <v>17</v>
      </c>
    </row>
    <row r="16" spans="1:17">
      <c r="A16" s="12"/>
      <c r="B16" s="19" t="s">
        <v>685</v>
      </c>
      <c r="C16" s="14" t="s">
        <v>494</v>
      </c>
      <c r="D16" s="77">
        <v>48000</v>
      </c>
      <c r="E16" s="168"/>
      <c r="F16" s="168"/>
      <c r="G16" s="168"/>
      <c r="H16" s="168"/>
      <c r="J16" s="12">
        <v>46142</v>
      </c>
      <c r="K16" s="19" t="s">
        <v>685</v>
      </c>
      <c r="L16" s="14" t="s">
        <v>494</v>
      </c>
      <c r="M16" s="77">
        <v>48000</v>
      </c>
      <c r="N16" s="168"/>
      <c r="O16" s="168"/>
      <c r="P16" s="168"/>
      <c r="Q16" s="168"/>
    </row>
    <row r="17" spans="1:17">
      <c r="A17" s="12"/>
      <c r="B17" s="19" t="s">
        <v>685</v>
      </c>
      <c r="C17" s="14" t="s">
        <v>686</v>
      </c>
      <c r="D17" s="167">
        <v>350000</v>
      </c>
      <c r="E17" s="16"/>
      <c r="F17" s="16"/>
      <c r="G17" s="16"/>
      <c r="H17" s="16"/>
      <c r="J17" s="12">
        <v>46142</v>
      </c>
      <c r="K17" s="19" t="s">
        <v>685</v>
      </c>
      <c r="L17" s="14" t="s">
        <v>686</v>
      </c>
      <c r="M17" s="167">
        <v>350000</v>
      </c>
      <c r="N17" s="16"/>
      <c r="O17" s="16"/>
      <c r="P17" s="16"/>
      <c r="Q17" s="16"/>
    </row>
    <row r="18" spans="1:17">
      <c r="A18" s="12"/>
      <c r="B18" s="19" t="s">
        <v>685</v>
      </c>
      <c r="C18" s="14" t="s">
        <v>687</v>
      </c>
      <c r="D18" s="15">
        <v>185000</v>
      </c>
      <c r="E18" s="16"/>
      <c r="F18" s="16"/>
      <c r="G18" s="16"/>
      <c r="H18" s="16"/>
      <c r="J18" s="12">
        <v>46142</v>
      </c>
      <c r="K18" s="19" t="s">
        <v>685</v>
      </c>
      <c r="L18" s="14" t="s">
        <v>687</v>
      </c>
      <c r="M18" s="15">
        <v>185000</v>
      </c>
      <c r="N18" s="16"/>
      <c r="O18" s="16"/>
      <c r="P18" s="16"/>
      <c r="Q18" s="16"/>
    </row>
    <row r="19" spans="1:17">
      <c r="A19" s="12"/>
      <c r="B19" s="19" t="s">
        <v>685</v>
      </c>
      <c r="C19" s="14" t="s">
        <v>180</v>
      </c>
      <c r="D19" s="15">
        <v>1194312</v>
      </c>
      <c r="E19" s="16"/>
      <c r="F19" s="16"/>
      <c r="G19" s="16"/>
      <c r="H19" s="16"/>
      <c r="J19" s="12">
        <v>46142</v>
      </c>
      <c r="K19" s="19" t="s">
        <v>685</v>
      </c>
      <c r="L19" s="14" t="s">
        <v>180</v>
      </c>
      <c r="M19" s="15"/>
      <c r="N19" s="16"/>
      <c r="O19" s="16"/>
      <c r="P19" s="16"/>
      <c r="Q19" s="16"/>
    </row>
    <row r="20" spans="1:17">
      <c r="A20" s="12"/>
      <c r="B20" s="19" t="s">
        <v>685</v>
      </c>
      <c r="C20" s="14" t="s">
        <v>356</v>
      </c>
      <c r="D20" s="15">
        <v>450000</v>
      </c>
      <c r="E20" s="16"/>
      <c r="F20" s="16"/>
      <c r="G20" s="16"/>
      <c r="H20" s="16"/>
      <c r="J20" s="12">
        <v>46142</v>
      </c>
      <c r="K20" s="19" t="s">
        <v>685</v>
      </c>
      <c r="L20" s="14" t="s">
        <v>356</v>
      </c>
      <c r="M20" s="15"/>
      <c r="N20" s="16"/>
      <c r="O20" s="16"/>
      <c r="P20" s="16"/>
      <c r="Q20" s="16"/>
    </row>
    <row r="21" spans="1:17">
      <c r="A21" s="12"/>
      <c r="B21" s="19" t="s">
        <v>685</v>
      </c>
      <c r="C21" s="14" t="s">
        <v>357</v>
      </c>
      <c r="D21" s="15">
        <v>202500</v>
      </c>
      <c r="E21" s="16"/>
      <c r="F21" s="16"/>
      <c r="G21" s="16"/>
      <c r="H21" s="16"/>
      <c r="J21" s="12">
        <v>46142</v>
      </c>
      <c r="K21" s="19" t="s">
        <v>685</v>
      </c>
      <c r="L21" s="14" t="s">
        <v>357</v>
      </c>
      <c r="M21" s="15">
        <v>202500</v>
      </c>
      <c r="N21" s="16"/>
      <c r="O21" s="16"/>
      <c r="P21" s="16"/>
      <c r="Q21" s="16"/>
    </row>
    <row r="22" spans="1:17">
      <c r="A22" s="12"/>
      <c r="B22" s="19" t="s">
        <v>685</v>
      </c>
      <c r="C22" s="14" t="s">
        <v>688</v>
      </c>
      <c r="D22" s="15">
        <v>503500</v>
      </c>
      <c r="E22" s="16"/>
      <c r="F22" s="16"/>
      <c r="G22" s="16"/>
      <c r="H22" s="16"/>
      <c r="J22" s="12">
        <v>46142</v>
      </c>
      <c r="K22" s="19" t="s">
        <v>685</v>
      </c>
      <c r="L22" s="14" t="s">
        <v>688</v>
      </c>
      <c r="M22" s="15"/>
      <c r="N22" s="16"/>
      <c r="O22" s="16"/>
      <c r="P22" s="16"/>
      <c r="Q22" s="16"/>
    </row>
    <row r="23" spans="1:17">
      <c r="A23" s="12"/>
      <c r="B23" s="19" t="s">
        <v>685</v>
      </c>
      <c r="C23" s="14" t="s">
        <v>19</v>
      </c>
      <c r="D23" s="15">
        <v>503500</v>
      </c>
      <c r="E23" s="16"/>
      <c r="F23" s="16"/>
      <c r="G23" s="16"/>
      <c r="H23" s="16"/>
      <c r="J23" s="12">
        <v>46142</v>
      </c>
      <c r="K23" s="19" t="s">
        <v>685</v>
      </c>
      <c r="L23" s="14" t="s">
        <v>19</v>
      </c>
      <c r="M23" s="15">
        <v>503500</v>
      </c>
      <c r="N23" s="16"/>
      <c r="O23" s="16"/>
      <c r="P23" s="16"/>
      <c r="Q23" s="16"/>
    </row>
    <row r="24" spans="1:17">
      <c r="A24" s="12"/>
      <c r="B24" s="19" t="s">
        <v>685</v>
      </c>
      <c r="C24" s="14" t="s">
        <v>689</v>
      </c>
      <c r="D24" s="15">
        <v>350000</v>
      </c>
      <c r="E24" s="16"/>
      <c r="F24" s="16"/>
      <c r="G24" s="16"/>
      <c r="H24" s="16"/>
      <c r="J24" s="12">
        <v>46142</v>
      </c>
      <c r="K24" s="19" t="s">
        <v>685</v>
      </c>
      <c r="L24" s="14" t="s">
        <v>689</v>
      </c>
      <c r="M24" s="15">
        <v>350000</v>
      </c>
      <c r="N24" s="16"/>
      <c r="O24" s="16"/>
      <c r="P24" s="16"/>
      <c r="Q24" s="16"/>
    </row>
    <row r="25" spans="1:17">
      <c r="A25" s="12"/>
      <c r="B25" s="19" t="s">
        <v>685</v>
      </c>
      <c r="C25" s="14" t="s">
        <v>705</v>
      </c>
      <c r="D25" s="15">
        <v>250000</v>
      </c>
      <c r="E25" s="16"/>
      <c r="F25" s="16"/>
      <c r="G25" s="16"/>
      <c r="H25" s="16"/>
      <c r="J25" s="12">
        <v>46142</v>
      </c>
      <c r="K25" s="19" t="s">
        <v>685</v>
      </c>
      <c r="L25" s="14" t="s">
        <v>705</v>
      </c>
      <c r="M25" s="15">
        <v>250000</v>
      </c>
      <c r="N25" s="16"/>
      <c r="O25" s="16"/>
      <c r="P25" s="16"/>
      <c r="Q25" s="16"/>
    </row>
    <row r="26" spans="1:17" hidden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7" hidden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7" hidden="1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253" t="s">
        <v>20</v>
      </c>
      <c r="D29" s="10">
        <f>SUM(D16:D26)</f>
        <v>4036812</v>
      </c>
      <c r="E29" s="10"/>
      <c r="F29" s="10"/>
      <c r="G29" s="10"/>
      <c r="H29" s="10"/>
      <c r="J29" s="18"/>
      <c r="K29" s="19"/>
      <c r="L29" s="253" t="s">
        <v>20</v>
      </c>
      <c r="M29" s="10">
        <f>SUM(M16:M26)</f>
        <v>1889000</v>
      </c>
      <c r="N29" s="10"/>
      <c r="O29" s="10"/>
      <c r="P29" s="10"/>
      <c r="Q29" s="10"/>
    </row>
    <row r="30" spans="1:17">
      <c r="A30" s="20"/>
      <c r="B30" s="251"/>
      <c r="C30" s="152" t="s">
        <v>21</v>
      </c>
      <c r="D30" s="150"/>
      <c r="E30" s="150"/>
      <c r="F30" s="150"/>
      <c r="G30" s="151"/>
      <c r="H30" s="21">
        <f>+D29</f>
        <v>4036812</v>
      </c>
      <c r="J30" s="20"/>
      <c r="K30" s="251"/>
      <c r="L30" s="152" t="s">
        <v>21</v>
      </c>
      <c r="M30" s="150"/>
      <c r="N30" s="150"/>
      <c r="O30" s="150"/>
      <c r="P30" s="151"/>
      <c r="Q30" s="21">
        <f>+M29</f>
        <v>1889000</v>
      </c>
    </row>
    <row r="31" spans="1:17">
      <c r="A31" s="526" t="s">
        <v>22</v>
      </c>
      <c r="B31" s="526"/>
      <c r="C31" s="526"/>
      <c r="D31" s="526"/>
      <c r="E31" s="526">
        <f>+H30</f>
        <v>4036812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1889000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7">
      <c r="A33" s="12"/>
      <c r="B33" s="19" t="s">
        <v>691</v>
      </c>
      <c r="C33" s="15" t="s">
        <v>692</v>
      </c>
      <c r="D33" s="22">
        <v>810000</v>
      </c>
      <c r="E33" s="22"/>
      <c r="F33" s="22"/>
      <c r="G33" s="16"/>
      <c r="H33" s="16"/>
      <c r="J33" s="12">
        <v>46142</v>
      </c>
      <c r="K33" s="19" t="s">
        <v>691</v>
      </c>
      <c r="L33" s="15" t="s">
        <v>692</v>
      </c>
      <c r="M33" s="22">
        <v>810000</v>
      </c>
      <c r="N33" s="22"/>
      <c r="O33" s="22"/>
      <c r="P33" s="16"/>
      <c r="Q33" s="16"/>
    </row>
    <row r="34" spans="1:17">
      <c r="A34" s="12"/>
      <c r="B34" s="19" t="s">
        <v>691</v>
      </c>
      <c r="C34" s="15" t="s">
        <v>711</v>
      </c>
      <c r="D34" s="22">
        <v>955000</v>
      </c>
      <c r="E34" s="22"/>
      <c r="F34" s="22"/>
      <c r="G34" s="16"/>
      <c r="H34" s="16"/>
      <c r="J34" s="12">
        <v>46142</v>
      </c>
      <c r="K34" s="19" t="s">
        <v>691</v>
      </c>
      <c r="L34" s="15" t="s">
        <v>711</v>
      </c>
      <c r="M34" s="22">
        <v>955000</v>
      </c>
      <c r="N34" s="22"/>
      <c r="O34" s="22"/>
      <c r="P34" s="16"/>
      <c r="Q34" s="16"/>
    </row>
    <row r="35" spans="1:17">
      <c r="A35" s="12"/>
      <c r="B35" s="19" t="s">
        <v>699</v>
      </c>
      <c r="C35" s="15" t="s">
        <v>693</v>
      </c>
      <c r="D35" s="22">
        <v>170000</v>
      </c>
      <c r="E35" s="22"/>
      <c r="F35" s="22"/>
      <c r="G35" s="16"/>
      <c r="H35" s="16"/>
      <c r="J35" s="12">
        <v>46142</v>
      </c>
      <c r="K35" s="19" t="s">
        <v>699</v>
      </c>
      <c r="L35" s="15" t="s">
        <v>693</v>
      </c>
      <c r="M35" s="22">
        <v>170000</v>
      </c>
      <c r="N35" s="22"/>
      <c r="O35" s="22"/>
      <c r="P35" s="16"/>
      <c r="Q35" s="16"/>
    </row>
    <row r="36" spans="1:17">
      <c r="A36" s="12"/>
      <c r="B36" s="19" t="s">
        <v>699</v>
      </c>
      <c r="C36" s="15" t="s">
        <v>712</v>
      </c>
      <c r="D36" s="23">
        <v>100000</v>
      </c>
      <c r="E36" s="22"/>
      <c r="F36" s="22"/>
      <c r="G36" s="16"/>
      <c r="H36" s="16"/>
      <c r="J36" s="12">
        <v>46142</v>
      </c>
      <c r="K36" s="19" t="s">
        <v>699</v>
      </c>
      <c r="L36" s="15" t="s">
        <v>712</v>
      </c>
      <c r="M36" s="23">
        <v>100000</v>
      </c>
      <c r="N36" s="22"/>
      <c r="O36" s="22"/>
      <c r="P36" s="16"/>
      <c r="Q36" s="16"/>
    </row>
    <row r="37" spans="1:17" hidden="1">
      <c r="A37" s="12"/>
      <c r="B37" s="19"/>
      <c r="C37" s="15"/>
      <c r="D37" s="23"/>
      <c r="E37" s="22"/>
      <c r="F37" s="22"/>
      <c r="G37" s="16"/>
      <c r="H37" s="16"/>
      <c r="J37" s="12"/>
      <c r="K37" s="19"/>
      <c r="L37" s="15"/>
      <c r="M37" s="23"/>
      <c r="N37" s="22"/>
      <c r="O37" s="22"/>
      <c r="P37" s="16"/>
      <c r="Q37" s="16"/>
    </row>
    <row r="38" spans="1:17" hidden="1">
      <c r="A38" s="12"/>
      <c r="B38" s="19"/>
      <c r="C38" s="15"/>
      <c r="D38" s="23"/>
      <c r="E38" s="22"/>
      <c r="F38" s="22"/>
      <c r="G38" s="16"/>
      <c r="H38" s="16"/>
      <c r="J38" s="12"/>
      <c r="K38" s="19"/>
      <c r="L38" s="15"/>
      <c r="M38" s="23"/>
      <c r="N38" s="22"/>
      <c r="O38" s="22"/>
      <c r="P38" s="16"/>
      <c r="Q38" s="16"/>
    </row>
    <row r="39" spans="1:17" hidden="1">
      <c r="A39" s="12"/>
      <c r="B39" s="19"/>
      <c r="C39" s="15"/>
      <c r="D39" s="23"/>
      <c r="E39" s="22"/>
      <c r="F39" s="22"/>
      <c r="G39" s="16"/>
      <c r="H39" s="16"/>
      <c r="J39" s="12"/>
      <c r="K39" s="19"/>
      <c r="L39" s="15"/>
      <c r="M39" s="23"/>
      <c r="N39" s="22"/>
      <c r="O39" s="22"/>
      <c r="P39" s="16"/>
      <c r="Q39" s="16"/>
    </row>
    <row r="40" spans="1:17" hidden="1">
      <c r="A40" s="12"/>
      <c r="B40" s="19"/>
      <c r="C40" s="15"/>
      <c r="D40" s="23"/>
      <c r="E40" s="22"/>
      <c r="F40" s="22"/>
      <c r="G40" s="16"/>
      <c r="H40" s="16"/>
      <c r="J40" s="12"/>
      <c r="K40" s="19"/>
      <c r="L40" s="15"/>
      <c r="M40" s="23"/>
      <c r="N40" s="22"/>
      <c r="O40" s="22"/>
      <c r="P40" s="16"/>
      <c r="Q40" s="16"/>
    </row>
    <row r="41" spans="1:17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7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7" hidden="1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7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 hidden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7" hidden="1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7" hidden="1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7" hidden="1">
      <c r="A48" s="12"/>
      <c r="B48" s="13"/>
      <c r="C48" s="15"/>
      <c r="D48" s="23"/>
      <c r="E48" s="22"/>
      <c r="F48" s="22"/>
      <c r="G48" s="16"/>
      <c r="H48" s="16"/>
      <c r="J48" s="12"/>
      <c r="K48" s="13"/>
      <c r="L48" s="15"/>
      <c r="M48" s="23"/>
      <c r="N48" s="22"/>
      <c r="O48" s="22"/>
      <c r="P48" s="16"/>
      <c r="Q48" s="16"/>
    </row>
    <row r="49" spans="1:20">
      <c r="A49" s="25"/>
      <c r="B49" s="19"/>
      <c r="C49" s="26" t="s">
        <v>24</v>
      </c>
      <c r="D49" s="27">
        <f>SUM(D33:D48)</f>
        <v>2035000</v>
      </c>
      <c r="E49" s="27"/>
      <c r="F49" s="27"/>
      <c r="G49" s="27"/>
      <c r="H49" s="27"/>
      <c r="J49" s="25"/>
      <c r="K49" s="19"/>
      <c r="L49" s="26" t="s">
        <v>24</v>
      </c>
      <c r="M49" s="27">
        <f>SUM(M33:M48)</f>
        <v>2035000</v>
      </c>
      <c r="N49" s="27"/>
      <c r="O49" s="27"/>
      <c r="P49" s="27"/>
      <c r="Q49" s="27"/>
    </row>
    <row r="50" spans="1:20">
      <c r="A50" s="20"/>
      <c r="B50" s="19"/>
      <c r="C50" s="253" t="s">
        <v>21</v>
      </c>
      <c r="D50" s="10"/>
      <c r="E50" s="530">
        <f>D49</f>
        <v>2035000</v>
      </c>
      <c r="F50" s="530"/>
      <c r="G50" s="530"/>
      <c r="H50" s="530"/>
      <c r="J50" s="20"/>
      <c r="K50" s="19"/>
      <c r="L50" s="253" t="s">
        <v>21</v>
      </c>
      <c r="M50" s="10"/>
      <c r="N50" s="530">
        <f>M49</f>
        <v>2035000</v>
      </c>
      <c r="O50" s="530"/>
      <c r="P50" s="530"/>
      <c r="Q50" s="530"/>
    </row>
    <row r="51" spans="1:20">
      <c r="A51" s="524" t="s">
        <v>349</v>
      </c>
      <c r="B51" s="524"/>
      <c r="C51" s="524"/>
      <c r="D51" s="524"/>
      <c r="E51" s="524"/>
      <c r="F51" s="524"/>
      <c r="G51" s="524"/>
      <c r="H51" s="524"/>
      <c r="J51" s="524" t="s">
        <v>349</v>
      </c>
      <c r="K51" s="524"/>
      <c r="L51" s="524"/>
      <c r="M51" s="524"/>
      <c r="N51" s="524"/>
      <c r="O51" s="524"/>
      <c r="P51" s="524"/>
      <c r="Q51" s="524"/>
    </row>
    <row r="52" spans="1:20">
      <c r="A52" s="28"/>
      <c r="B52" s="23" t="s">
        <v>698</v>
      </c>
      <c r="C52" s="23" t="s">
        <v>690</v>
      </c>
      <c r="D52" s="23">
        <f>120000+160000</f>
        <v>280000</v>
      </c>
      <c r="E52" s="28"/>
      <c r="F52" s="28"/>
      <c r="G52" s="28"/>
      <c r="H52" s="28"/>
      <c r="J52" s="12">
        <v>46142</v>
      </c>
      <c r="K52" s="23" t="s">
        <v>698</v>
      </c>
      <c r="L52" s="23" t="s">
        <v>690</v>
      </c>
      <c r="M52" s="23">
        <f>120000+160000</f>
        <v>280000</v>
      </c>
      <c r="N52" s="28"/>
      <c r="O52" s="28"/>
      <c r="P52" s="28"/>
      <c r="Q52" s="28"/>
    </row>
    <row r="53" spans="1:20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20">
      <c r="A54" s="12"/>
      <c r="B54" s="13"/>
      <c r="C54" s="26" t="s">
        <v>448</v>
      </c>
      <c r="D54" s="27">
        <f>SUM(D52:D53)</f>
        <v>280000</v>
      </c>
      <c r="E54" s="27">
        <v>0</v>
      </c>
      <c r="F54" s="27">
        <v>0</v>
      </c>
      <c r="G54" s="27"/>
      <c r="H54" s="27"/>
      <c r="J54" s="12"/>
      <c r="K54" s="13"/>
      <c r="L54" s="26" t="s">
        <v>448</v>
      </c>
      <c r="M54" s="27">
        <f>SUM(M52:M53)</f>
        <v>280000</v>
      </c>
      <c r="N54" s="27">
        <v>0</v>
      </c>
      <c r="O54" s="27">
        <v>0</v>
      </c>
      <c r="P54" s="27"/>
      <c r="Q54" s="27"/>
    </row>
    <row r="55" spans="1:20">
      <c r="A55" s="20"/>
      <c r="B55" s="19"/>
      <c r="C55" s="253" t="s">
        <v>21</v>
      </c>
      <c r="D55" s="10"/>
      <c r="E55" s="530">
        <f>D54</f>
        <v>280000</v>
      </c>
      <c r="F55" s="530"/>
      <c r="G55" s="530"/>
      <c r="H55" s="530"/>
      <c r="J55" s="20"/>
      <c r="K55" s="19"/>
      <c r="L55" s="253" t="s">
        <v>21</v>
      </c>
      <c r="M55" s="10"/>
      <c r="N55" s="530">
        <f>M54</f>
        <v>280000</v>
      </c>
      <c r="O55" s="530"/>
      <c r="P55" s="530"/>
      <c r="Q55" s="530"/>
    </row>
    <row r="56" spans="1:20">
      <c r="A56" s="524" t="s">
        <v>694</v>
      </c>
      <c r="B56" s="524"/>
      <c r="C56" s="524"/>
      <c r="D56" s="524"/>
      <c r="E56" s="524"/>
      <c r="F56" s="524"/>
      <c r="G56" s="524"/>
      <c r="H56" s="524"/>
      <c r="J56" s="524" t="s">
        <v>694</v>
      </c>
      <c r="K56" s="524"/>
      <c r="L56" s="524"/>
      <c r="M56" s="524"/>
      <c r="N56" s="524"/>
      <c r="O56" s="524"/>
      <c r="P56" s="524"/>
      <c r="Q56" s="524"/>
    </row>
    <row r="57" spans="1:20">
      <c r="A57" s="28"/>
      <c r="B57" s="23" t="s">
        <v>697</v>
      </c>
      <c r="C57" s="23" t="s">
        <v>695</v>
      </c>
      <c r="D57" s="23">
        <v>420000</v>
      </c>
      <c r="E57" s="28"/>
      <c r="F57" s="28"/>
      <c r="G57" s="28"/>
      <c r="H57" s="28"/>
      <c r="J57" s="12">
        <v>46142</v>
      </c>
      <c r="K57" s="23" t="s">
        <v>697</v>
      </c>
      <c r="L57" s="23" t="s">
        <v>695</v>
      </c>
      <c r="M57" s="23">
        <v>420000</v>
      </c>
      <c r="N57" s="28"/>
      <c r="O57" s="28"/>
      <c r="P57" s="28"/>
      <c r="Q57" s="28"/>
    </row>
    <row r="58" spans="1:20">
      <c r="A58" s="28"/>
      <c r="B58" s="23" t="s">
        <v>697</v>
      </c>
      <c r="C58" s="23" t="s">
        <v>710</v>
      </c>
      <c r="D58" s="23">
        <v>625000</v>
      </c>
      <c r="E58" s="28"/>
      <c r="F58" s="28"/>
      <c r="G58" s="28"/>
      <c r="H58" s="28"/>
      <c r="J58" s="12">
        <v>46142</v>
      </c>
      <c r="K58" s="23" t="s">
        <v>697</v>
      </c>
      <c r="L58" s="23" t="s">
        <v>710</v>
      </c>
      <c r="M58" s="23">
        <v>625000</v>
      </c>
      <c r="N58" s="28"/>
      <c r="O58" s="28"/>
      <c r="P58" s="28"/>
      <c r="Q58" s="28"/>
    </row>
    <row r="59" spans="1:20" hidden="1">
      <c r="A59" s="28"/>
      <c r="B59" s="23"/>
      <c r="C59" s="23"/>
      <c r="D59" s="23"/>
      <c r="E59" s="28"/>
      <c r="F59" s="28"/>
      <c r="G59" s="28"/>
      <c r="H59" s="28"/>
      <c r="J59" s="28"/>
      <c r="K59" s="23"/>
      <c r="L59" s="23"/>
      <c r="M59" s="23"/>
      <c r="N59" s="28"/>
      <c r="O59" s="28"/>
      <c r="P59" s="28"/>
      <c r="Q59" s="28"/>
    </row>
    <row r="60" spans="1:20" hidden="1">
      <c r="A60" s="28"/>
      <c r="B60" s="23"/>
      <c r="C60" s="23"/>
      <c r="D60" s="23"/>
      <c r="E60" s="28"/>
      <c r="F60" s="28"/>
      <c r="G60" s="28"/>
      <c r="H60" s="28"/>
      <c r="J60" s="28"/>
      <c r="K60" s="23"/>
      <c r="L60" s="23"/>
      <c r="M60" s="23"/>
      <c r="N60" s="28"/>
      <c r="O60" s="28"/>
      <c r="P60" s="28"/>
      <c r="Q60" s="28"/>
    </row>
    <row r="61" spans="1:20">
      <c r="A61" s="12"/>
      <c r="B61" s="13"/>
      <c r="C61" s="26" t="s">
        <v>703</v>
      </c>
      <c r="D61" s="27">
        <f>SUM(D57:D60)</f>
        <v>1045000</v>
      </c>
      <c r="E61" s="27">
        <v>0</v>
      </c>
      <c r="F61" s="27">
        <v>0</v>
      </c>
      <c r="G61" s="27"/>
      <c r="H61" s="27"/>
      <c r="J61" s="12"/>
      <c r="K61" s="13"/>
      <c r="L61" s="26" t="s">
        <v>703</v>
      </c>
      <c r="M61" s="27">
        <f>SUM(M57:M60)</f>
        <v>1045000</v>
      </c>
      <c r="N61" s="27">
        <v>0</v>
      </c>
      <c r="O61" s="27">
        <v>0</v>
      </c>
      <c r="P61" s="27"/>
      <c r="Q61" s="27"/>
    </row>
    <row r="62" spans="1:20">
      <c r="A62" s="20"/>
      <c r="B62" s="19"/>
      <c r="C62" s="253" t="s">
        <v>21</v>
      </c>
      <c r="D62" s="10"/>
      <c r="E62" s="530">
        <f>D61</f>
        <v>1045000</v>
      </c>
      <c r="F62" s="530"/>
      <c r="G62" s="530"/>
      <c r="H62" s="530"/>
      <c r="J62" s="20"/>
      <c r="K62" s="19"/>
      <c r="L62" s="253" t="s">
        <v>21</v>
      </c>
      <c r="M62" s="10"/>
      <c r="N62" s="530">
        <f>M61</f>
        <v>1045000</v>
      </c>
      <c r="O62" s="530"/>
      <c r="P62" s="530"/>
      <c r="Q62" s="530"/>
    </row>
    <row r="63" spans="1:20">
      <c r="A63" s="524" t="s">
        <v>54</v>
      </c>
      <c r="B63" s="524"/>
      <c r="C63" s="524"/>
      <c r="D63" s="524"/>
      <c r="E63" s="524"/>
      <c r="F63" s="524"/>
      <c r="G63" s="524"/>
      <c r="H63" s="524"/>
      <c r="J63" s="524" t="s">
        <v>54</v>
      </c>
      <c r="K63" s="524"/>
      <c r="L63" s="524"/>
      <c r="M63" s="524"/>
      <c r="N63" s="524"/>
      <c r="O63" s="524"/>
      <c r="P63" s="524"/>
      <c r="Q63" s="524"/>
    </row>
    <row r="64" spans="1:20">
      <c r="A64" s="28"/>
      <c r="B64" s="19" t="s">
        <v>696</v>
      </c>
      <c r="C64" s="23" t="s">
        <v>700</v>
      </c>
      <c r="D64" s="23">
        <v>26824000</v>
      </c>
      <c r="E64" s="28"/>
      <c r="F64" s="28"/>
      <c r="G64" s="28"/>
      <c r="H64" s="28"/>
      <c r="J64" s="12">
        <v>46142</v>
      </c>
      <c r="K64" s="19" t="s">
        <v>696</v>
      </c>
      <c r="L64" s="23" t="s">
        <v>700</v>
      </c>
      <c r="M64" s="23">
        <v>26824000</v>
      </c>
      <c r="N64" s="28"/>
      <c r="O64" s="28"/>
      <c r="P64" s="28"/>
      <c r="Q64" s="28"/>
      <c r="T64" s="72" t="b">
        <f>W35=M64-3000000</f>
        <v>0</v>
      </c>
    </row>
    <row r="65" spans="1:17">
      <c r="A65" s="28"/>
      <c r="B65" s="19" t="s">
        <v>701</v>
      </c>
      <c r="C65" s="23" t="s">
        <v>615</v>
      </c>
      <c r="D65" s="23">
        <v>4505000</v>
      </c>
      <c r="E65" s="28"/>
      <c r="F65" s="28"/>
      <c r="G65" s="28"/>
      <c r="H65" s="28"/>
      <c r="J65" s="12">
        <v>46142</v>
      </c>
      <c r="K65" s="19" t="s">
        <v>701</v>
      </c>
      <c r="L65" s="23" t="s">
        <v>615</v>
      </c>
      <c r="M65" s="23">
        <v>4505000</v>
      </c>
      <c r="N65" s="28"/>
      <c r="O65" s="28"/>
      <c r="P65" s="28"/>
      <c r="Q65" s="28"/>
    </row>
    <row r="66" spans="1:17">
      <c r="A66" s="28"/>
      <c r="B66" s="19" t="s">
        <v>701</v>
      </c>
      <c r="C66" s="23" t="s">
        <v>618</v>
      </c>
      <c r="D66" s="23">
        <v>20000000</v>
      </c>
      <c r="E66" s="28"/>
      <c r="F66" s="28"/>
      <c r="G66" s="28"/>
      <c r="H66" s="28"/>
      <c r="J66" s="12">
        <v>46142</v>
      </c>
      <c r="K66" s="19" t="s">
        <v>701</v>
      </c>
      <c r="L66" s="23" t="s">
        <v>618</v>
      </c>
      <c r="M66" s="23">
        <v>20000000</v>
      </c>
      <c r="N66" s="28"/>
      <c r="O66" s="28"/>
      <c r="P66" s="28"/>
      <c r="Q66" s="28"/>
    </row>
    <row r="67" spans="1:17">
      <c r="A67" s="12"/>
      <c r="B67" s="19" t="s">
        <v>701</v>
      </c>
      <c r="C67" s="23" t="s">
        <v>617</v>
      </c>
      <c r="D67" s="23">
        <v>50000000</v>
      </c>
      <c r="E67" s="253"/>
      <c r="F67" s="253"/>
      <c r="G67" s="253"/>
      <c r="H67" s="253"/>
      <c r="J67" s="12">
        <v>46142</v>
      </c>
      <c r="K67" s="19" t="s">
        <v>701</v>
      </c>
      <c r="L67" s="23" t="s">
        <v>617</v>
      </c>
      <c r="M67" s="23">
        <v>50000000</v>
      </c>
      <c r="N67" s="253"/>
      <c r="O67" s="253"/>
      <c r="P67" s="253"/>
      <c r="Q67" s="253"/>
    </row>
    <row r="68" spans="1:17">
      <c r="A68" s="12"/>
      <c r="B68" s="19" t="s">
        <v>701</v>
      </c>
      <c r="C68" s="24" t="s">
        <v>263</v>
      </c>
      <c r="D68" s="23">
        <v>1320000</v>
      </c>
      <c r="E68" s="253"/>
      <c r="F68" s="253"/>
      <c r="G68" s="253"/>
      <c r="H68" s="253"/>
      <c r="J68" s="12">
        <v>46142</v>
      </c>
      <c r="K68" s="19" t="s">
        <v>701</v>
      </c>
      <c r="L68" s="24" t="s">
        <v>263</v>
      </c>
      <c r="M68" s="23">
        <v>1320000</v>
      </c>
      <c r="N68" s="253"/>
      <c r="O68" s="253"/>
      <c r="P68" s="253"/>
      <c r="Q68" s="253"/>
    </row>
    <row r="69" spans="1:17">
      <c r="A69" s="12"/>
      <c r="B69" s="19" t="s">
        <v>701</v>
      </c>
      <c r="C69" s="24" t="s">
        <v>410</v>
      </c>
      <c r="D69" s="23">
        <v>1200000</v>
      </c>
      <c r="E69" s="253"/>
      <c r="F69" s="253"/>
      <c r="G69" s="253"/>
      <c r="H69" s="253"/>
      <c r="J69" s="12">
        <v>46142</v>
      </c>
      <c r="K69" s="19" t="s">
        <v>701</v>
      </c>
      <c r="L69" s="24" t="s">
        <v>410</v>
      </c>
      <c r="M69" s="23">
        <v>1200000</v>
      </c>
      <c r="N69" s="253"/>
      <c r="O69" s="253"/>
      <c r="P69" s="253"/>
      <c r="Q69" s="253"/>
    </row>
    <row r="70" spans="1:17">
      <c r="A70" s="12"/>
      <c r="B70" s="19" t="s">
        <v>701</v>
      </c>
      <c r="C70" s="24" t="s">
        <v>706</v>
      </c>
      <c r="D70" s="23">
        <v>300000</v>
      </c>
      <c r="E70" s="253"/>
      <c r="F70" s="253"/>
      <c r="G70" s="253"/>
      <c r="H70" s="253"/>
      <c r="J70" s="12">
        <v>46142</v>
      </c>
      <c r="K70" s="19" t="s">
        <v>701</v>
      </c>
      <c r="L70" s="24" t="s">
        <v>706</v>
      </c>
      <c r="M70" s="23">
        <v>300000</v>
      </c>
      <c r="N70" s="253"/>
      <c r="O70" s="253"/>
      <c r="P70" s="253"/>
      <c r="Q70" s="253"/>
    </row>
    <row r="71" spans="1:17">
      <c r="A71" s="12"/>
      <c r="B71" s="19" t="s">
        <v>701</v>
      </c>
      <c r="C71" s="24" t="s">
        <v>702</v>
      </c>
      <c r="D71" s="23">
        <v>250000</v>
      </c>
      <c r="E71" s="253"/>
      <c r="F71" s="253"/>
      <c r="G71" s="253"/>
      <c r="H71" s="253"/>
      <c r="J71" s="12">
        <v>46142</v>
      </c>
      <c r="K71" s="19" t="s">
        <v>701</v>
      </c>
      <c r="L71" s="24" t="s">
        <v>702</v>
      </c>
      <c r="M71" s="23">
        <v>250000</v>
      </c>
      <c r="N71" s="253"/>
      <c r="O71" s="253"/>
      <c r="P71" s="253"/>
      <c r="Q71" s="253"/>
    </row>
    <row r="72" spans="1:17">
      <c r="A72" s="12"/>
      <c r="B72" s="19" t="s">
        <v>701</v>
      </c>
      <c r="C72" s="24" t="s">
        <v>704</v>
      </c>
      <c r="D72" s="23">
        <v>500000</v>
      </c>
      <c r="E72" s="253"/>
      <c r="F72" s="253"/>
      <c r="G72" s="253"/>
      <c r="H72" s="253"/>
      <c r="J72" s="12">
        <v>46142</v>
      </c>
      <c r="K72" s="19" t="s">
        <v>701</v>
      </c>
      <c r="L72" s="24" t="s">
        <v>704</v>
      </c>
      <c r="M72" s="23">
        <v>500000</v>
      </c>
      <c r="N72" s="253"/>
      <c r="O72" s="253"/>
      <c r="P72" s="253"/>
      <c r="Q72" s="253"/>
    </row>
    <row r="73" spans="1:17" hidden="1">
      <c r="A73" s="12"/>
      <c r="B73" s="19"/>
      <c r="C73" s="24"/>
      <c r="D73" s="23"/>
      <c r="E73" s="253"/>
      <c r="F73" s="253"/>
      <c r="G73" s="253"/>
      <c r="H73" s="253"/>
      <c r="J73" s="12"/>
      <c r="K73" s="19"/>
      <c r="L73" s="24"/>
      <c r="M73" s="23"/>
      <c r="N73" s="253"/>
      <c r="O73" s="253"/>
      <c r="P73" s="253"/>
      <c r="Q73" s="253"/>
    </row>
    <row r="74" spans="1:17" hidden="1">
      <c r="A74" s="12"/>
      <c r="B74" s="19"/>
      <c r="C74" s="24"/>
      <c r="D74" s="23"/>
      <c r="E74" s="253"/>
      <c r="F74" s="253"/>
      <c r="G74" s="253"/>
      <c r="H74" s="253"/>
      <c r="J74" s="12"/>
      <c r="K74" s="19"/>
      <c r="L74" s="24"/>
      <c r="M74" s="23"/>
      <c r="N74" s="253"/>
      <c r="O74" s="253"/>
      <c r="P74" s="253"/>
      <c r="Q74" s="253"/>
    </row>
    <row r="75" spans="1:17" hidden="1">
      <c r="A75" s="12"/>
      <c r="B75" s="19"/>
      <c r="C75" s="24"/>
      <c r="D75" s="23"/>
      <c r="E75" s="253"/>
      <c r="F75" s="253"/>
      <c r="G75" s="253"/>
      <c r="H75" s="253"/>
      <c r="J75" s="12"/>
      <c r="K75" s="19"/>
      <c r="L75" s="24"/>
      <c r="M75" s="23"/>
      <c r="N75" s="253"/>
      <c r="O75" s="253"/>
      <c r="P75" s="253"/>
      <c r="Q75" s="253"/>
    </row>
    <row r="76" spans="1:17" hidden="1">
      <c r="A76" s="12"/>
      <c r="B76" s="19"/>
      <c r="C76" s="24"/>
      <c r="D76" s="23"/>
      <c r="E76" s="253"/>
      <c r="F76" s="253"/>
      <c r="G76" s="253"/>
      <c r="H76" s="253"/>
      <c r="J76" s="12"/>
      <c r="K76" s="19"/>
      <c r="L76" s="24"/>
      <c r="M76" s="23"/>
      <c r="N76" s="253"/>
      <c r="O76" s="253"/>
      <c r="P76" s="253"/>
      <c r="Q76" s="253"/>
    </row>
    <row r="77" spans="1:17" hidden="1">
      <c r="A77" s="12"/>
      <c r="B77" s="19"/>
      <c r="C77" s="24"/>
      <c r="D77" s="23"/>
      <c r="E77" s="253"/>
      <c r="F77" s="253"/>
      <c r="G77" s="253"/>
      <c r="H77" s="253"/>
      <c r="J77" s="12"/>
      <c r="K77" s="19"/>
      <c r="L77" s="24"/>
      <c r="M77" s="23"/>
      <c r="N77" s="253"/>
      <c r="O77" s="253"/>
      <c r="P77" s="253"/>
      <c r="Q77" s="253"/>
    </row>
    <row r="78" spans="1:17" hidden="1">
      <c r="A78" s="12"/>
      <c r="B78" s="19"/>
      <c r="C78" s="24"/>
      <c r="D78" s="23"/>
      <c r="E78" s="253"/>
      <c r="F78" s="253"/>
      <c r="G78" s="253"/>
      <c r="H78" s="253"/>
      <c r="J78" s="12"/>
      <c r="K78" s="19"/>
      <c r="L78" s="24"/>
      <c r="M78" s="23"/>
      <c r="N78" s="253"/>
      <c r="O78" s="253"/>
      <c r="P78" s="253"/>
      <c r="Q78" s="253"/>
    </row>
    <row r="79" spans="1:17">
      <c r="A79" s="12"/>
      <c r="B79" s="13"/>
      <c r="C79" s="26" t="s">
        <v>55</v>
      </c>
      <c r="D79" s="27">
        <f>SUM(D64:D77)</f>
        <v>104899000</v>
      </c>
      <c r="E79" s="27">
        <v>0</v>
      </c>
      <c r="F79" s="27">
        <v>0</v>
      </c>
      <c r="G79" s="27"/>
      <c r="H79" s="27"/>
      <c r="J79" s="12"/>
      <c r="K79" s="13"/>
      <c r="L79" s="26" t="s">
        <v>55</v>
      </c>
      <c r="M79" s="27">
        <f>SUM(M64:M77)</f>
        <v>104899000</v>
      </c>
      <c r="N79" s="27">
        <v>0</v>
      </c>
      <c r="O79" s="27">
        <v>0</v>
      </c>
      <c r="P79" s="27"/>
      <c r="Q79" s="27"/>
    </row>
    <row r="80" spans="1:17">
      <c r="A80" s="20"/>
      <c r="B80" s="19"/>
      <c r="C80" s="253" t="s">
        <v>21</v>
      </c>
      <c r="D80" s="10"/>
      <c r="E80" s="530">
        <f>D79</f>
        <v>104899000</v>
      </c>
      <c r="F80" s="530"/>
      <c r="G80" s="530"/>
      <c r="H80" s="530"/>
      <c r="J80" s="20"/>
      <c r="K80" s="19"/>
      <c r="L80" s="253" t="s">
        <v>21</v>
      </c>
      <c r="M80" s="10"/>
      <c r="N80" s="530">
        <f>M79</f>
        <v>104899000</v>
      </c>
      <c r="O80" s="530"/>
      <c r="P80" s="530"/>
      <c r="Q80" s="530"/>
    </row>
    <row r="81" spans="1:17" hidden="1">
      <c r="A81" s="524" t="s">
        <v>453</v>
      </c>
      <c r="B81" s="524"/>
      <c r="C81" s="524"/>
      <c r="D81" s="524"/>
      <c r="E81" s="524"/>
      <c r="F81" s="524"/>
      <c r="G81" s="524"/>
      <c r="H81" s="524"/>
      <c r="J81" s="524" t="s">
        <v>453</v>
      </c>
      <c r="K81" s="524"/>
      <c r="L81" s="524"/>
      <c r="M81" s="524"/>
      <c r="N81" s="524"/>
      <c r="O81" s="524"/>
      <c r="P81" s="524"/>
      <c r="Q81" s="524"/>
    </row>
    <row r="82" spans="1:17" hidden="1">
      <c r="A82" s="28"/>
      <c r="B82" s="23"/>
      <c r="C82" s="23"/>
      <c r="D82" s="23"/>
      <c r="E82" s="28"/>
      <c r="F82" s="28"/>
      <c r="G82" s="28"/>
      <c r="H82" s="28"/>
      <c r="J82" s="28"/>
      <c r="K82" s="23"/>
      <c r="L82" s="23"/>
      <c r="M82" s="23"/>
      <c r="N82" s="28"/>
      <c r="O82" s="28"/>
      <c r="P82" s="28"/>
      <c r="Q82" s="28"/>
    </row>
    <row r="83" spans="1:17" hidden="1">
      <c r="A83" s="28"/>
      <c r="B83" s="23"/>
      <c r="C83" s="23"/>
      <c r="D83" s="23"/>
      <c r="E83" s="28"/>
      <c r="F83" s="28"/>
      <c r="G83" s="28"/>
      <c r="H83" s="28"/>
      <c r="J83" s="28"/>
      <c r="K83" s="23"/>
      <c r="L83" s="23"/>
      <c r="M83" s="23"/>
      <c r="N83" s="28"/>
      <c r="O83" s="28"/>
      <c r="P83" s="28"/>
      <c r="Q83" s="28"/>
    </row>
    <row r="84" spans="1:17" hidden="1">
      <c r="A84" s="12"/>
      <c r="B84" s="19"/>
      <c r="C84" s="24"/>
      <c r="D84" s="23"/>
      <c r="E84" s="253"/>
      <c r="F84" s="253"/>
      <c r="G84" s="253"/>
      <c r="H84" s="253"/>
      <c r="J84" s="12"/>
      <c r="K84" s="19"/>
      <c r="L84" s="24"/>
      <c r="M84" s="23"/>
      <c r="N84" s="253"/>
      <c r="O84" s="253"/>
      <c r="P84" s="253"/>
      <c r="Q84" s="253"/>
    </row>
    <row r="85" spans="1:17" hidden="1">
      <c r="A85" s="12"/>
      <c r="B85" s="13"/>
      <c r="C85" s="26" t="s">
        <v>196</v>
      </c>
      <c r="D85" s="27">
        <f>SUM(D82:D84)</f>
        <v>0</v>
      </c>
      <c r="E85" s="27">
        <v>0</v>
      </c>
      <c r="F85" s="27">
        <v>0</v>
      </c>
      <c r="G85" s="27"/>
      <c r="H85" s="27"/>
      <c r="J85" s="12"/>
      <c r="K85" s="13"/>
      <c r="L85" s="26" t="s">
        <v>196</v>
      </c>
      <c r="M85" s="27">
        <f>SUM(M82:M84)</f>
        <v>0</v>
      </c>
      <c r="N85" s="27">
        <v>0</v>
      </c>
      <c r="O85" s="27">
        <v>0</v>
      </c>
      <c r="P85" s="27"/>
      <c r="Q85" s="27"/>
    </row>
    <row r="86" spans="1:17" hidden="1">
      <c r="A86" s="20"/>
      <c r="B86" s="19"/>
      <c r="C86" s="253" t="s">
        <v>21</v>
      </c>
      <c r="D86" s="10"/>
      <c r="E86" s="530">
        <f>D85</f>
        <v>0</v>
      </c>
      <c r="F86" s="530"/>
      <c r="G86" s="530"/>
      <c r="H86" s="530"/>
      <c r="J86" s="20"/>
      <c r="K86" s="19"/>
      <c r="L86" s="253" t="s">
        <v>21</v>
      </c>
      <c r="M86" s="10"/>
      <c r="N86" s="530">
        <f>M85</f>
        <v>0</v>
      </c>
      <c r="O86" s="530"/>
      <c r="P86" s="530"/>
      <c r="Q86" s="530"/>
    </row>
    <row r="87" spans="1:17">
      <c r="A87" s="527" t="s">
        <v>26</v>
      </c>
      <c r="B87" s="528"/>
      <c r="C87" s="528"/>
      <c r="D87" s="528"/>
      <c r="E87" s="528"/>
      <c r="F87" s="528"/>
      <c r="G87" s="528"/>
      <c r="H87" s="529"/>
      <c r="J87" s="527" t="s">
        <v>26</v>
      </c>
      <c r="K87" s="528"/>
      <c r="L87" s="528"/>
      <c r="M87" s="528"/>
      <c r="N87" s="528"/>
      <c r="O87" s="528"/>
      <c r="P87" s="528"/>
      <c r="Q87" s="529"/>
    </row>
    <row r="88" spans="1:17">
      <c r="A88" s="12"/>
      <c r="B88" s="19"/>
      <c r="C88" s="24"/>
      <c r="D88" s="23"/>
      <c r="E88" s="22"/>
      <c r="F88" s="22"/>
      <c r="G88" s="16"/>
      <c r="H88" s="16"/>
      <c r="J88" s="12"/>
      <c r="K88" s="19"/>
      <c r="L88" s="24"/>
      <c r="M88" s="23"/>
      <c r="N88" s="22"/>
      <c r="O88" s="22"/>
      <c r="P88" s="16"/>
      <c r="Q88" s="16"/>
    </row>
    <row r="89" spans="1:17">
      <c r="A89" s="12"/>
      <c r="B89" s="19"/>
      <c r="C89" s="24"/>
      <c r="D89" s="23"/>
      <c r="E89" s="22"/>
      <c r="F89" s="22"/>
      <c r="G89" s="16"/>
      <c r="H89" s="16"/>
      <c r="J89" s="12"/>
      <c r="K89" s="19"/>
      <c r="L89" s="24"/>
      <c r="M89" s="23"/>
      <c r="N89" s="22"/>
      <c r="O89" s="22"/>
      <c r="P89" s="16"/>
      <c r="Q89" s="16"/>
    </row>
    <row r="90" spans="1:17">
      <c r="A90" s="12"/>
      <c r="B90" s="19"/>
      <c r="C90" s="24"/>
      <c r="D90" s="23"/>
      <c r="E90" s="22"/>
      <c r="F90" s="22"/>
      <c r="G90" s="16"/>
      <c r="H90" s="16"/>
      <c r="J90" s="12"/>
      <c r="K90" s="19"/>
      <c r="L90" s="24"/>
      <c r="M90" s="23"/>
      <c r="N90" s="22"/>
      <c r="O90" s="22"/>
      <c r="P90" s="16"/>
      <c r="Q90" s="16"/>
    </row>
    <row r="91" spans="1:17">
      <c r="A91" s="12"/>
      <c r="B91" s="19"/>
      <c r="C91" s="24"/>
      <c r="D91" s="23"/>
      <c r="E91" s="22"/>
      <c r="F91" s="22"/>
      <c r="G91" s="16"/>
      <c r="H91" s="16"/>
      <c r="J91" s="12"/>
      <c r="K91" s="19"/>
      <c r="L91" s="24"/>
      <c r="M91" s="23"/>
      <c r="N91" s="22"/>
      <c r="O91" s="22"/>
      <c r="P91" s="16"/>
      <c r="Q91" s="16"/>
    </row>
    <row r="92" spans="1:17" hidden="1">
      <c r="A92" s="12"/>
      <c r="B92" s="19"/>
      <c r="C92" s="24"/>
      <c r="D92" s="23"/>
      <c r="E92" s="22"/>
      <c r="F92" s="22"/>
      <c r="G92" s="16"/>
      <c r="H92" s="16"/>
      <c r="J92" s="12"/>
      <c r="K92" s="19"/>
      <c r="L92" s="24"/>
      <c r="M92" s="23"/>
      <c r="N92" s="22"/>
      <c r="O92" s="22"/>
      <c r="P92" s="16"/>
      <c r="Q92" s="16"/>
    </row>
    <row r="93" spans="1:17" hidden="1">
      <c r="A93" s="12"/>
      <c r="B93" s="19"/>
      <c r="C93" s="24"/>
      <c r="D93" s="23"/>
      <c r="E93" s="22"/>
      <c r="F93" s="22"/>
      <c r="G93" s="16"/>
      <c r="H93" s="16"/>
      <c r="J93" s="12"/>
      <c r="K93" s="19"/>
      <c r="L93" s="24"/>
      <c r="M93" s="23"/>
      <c r="N93" s="22"/>
      <c r="O93" s="22"/>
      <c r="P93" s="16"/>
      <c r="Q93" s="16"/>
    </row>
    <row r="94" spans="1:17" hidden="1">
      <c r="A94" s="12"/>
      <c r="B94" s="19"/>
      <c r="C94" s="23"/>
      <c r="D94" s="23"/>
      <c r="E94" s="22"/>
      <c r="F94" s="22"/>
      <c r="G94" s="16"/>
      <c r="H94" s="16"/>
      <c r="J94" s="12"/>
      <c r="K94" s="19"/>
      <c r="L94" s="23"/>
      <c r="M94" s="23"/>
      <c r="N94" s="22"/>
      <c r="O94" s="22"/>
      <c r="P94" s="16"/>
      <c r="Q94" s="16"/>
    </row>
    <row r="95" spans="1:17" hidden="1">
      <c r="A95" s="12"/>
      <c r="B95" s="19"/>
      <c r="C95" s="23"/>
      <c r="D95" s="23"/>
      <c r="E95" s="22"/>
      <c r="F95" s="22"/>
      <c r="G95" s="16"/>
      <c r="H95" s="16"/>
      <c r="J95" s="12"/>
      <c r="K95" s="19"/>
      <c r="L95" s="23"/>
      <c r="M95" s="23"/>
      <c r="N95" s="22"/>
      <c r="O95" s="22"/>
      <c r="P95" s="16"/>
      <c r="Q95" s="16"/>
    </row>
    <row r="96" spans="1:17" hidden="1">
      <c r="A96" s="12"/>
      <c r="B96" s="19"/>
      <c r="C96" s="23"/>
      <c r="D96" s="23"/>
      <c r="E96" s="22"/>
      <c r="F96" s="22"/>
      <c r="G96" s="16"/>
      <c r="H96" s="16"/>
      <c r="J96" s="12"/>
      <c r="K96" s="19"/>
      <c r="L96" s="23"/>
      <c r="M96" s="23"/>
      <c r="N96" s="22"/>
      <c r="O96" s="22"/>
      <c r="P96" s="16"/>
      <c r="Q96" s="16"/>
    </row>
    <row r="97" spans="1:17" hidden="1">
      <c r="A97" s="12"/>
      <c r="B97" s="19"/>
      <c r="C97" s="24"/>
      <c r="D97" s="23"/>
      <c r="E97" s="22"/>
      <c r="F97" s="22"/>
      <c r="G97" s="16"/>
      <c r="H97" s="16"/>
      <c r="J97" s="12"/>
      <c r="K97" s="19"/>
      <c r="L97" s="24"/>
      <c r="M97" s="23"/>
      <c r="N97" s="22"/>
      <c r="O97" s="22"/>
      <c r="P97" s="16"/>
      <c r="Q97" s="16"/>
    </row>
    <row r="98" spans="1:17" hidden="1">
      <c r="A98" s="12"/>
      <c r="B98" s="19"/>
      <c r="C98" s="24"/>
      <c r="D98" s="23"/>
      <c r="E98" s="22"/>
      <c r="F98" s="22"/>
      <c r="G98" s="16"/>
      <c r="H98" s="16"/>
      <c r="J98" s="12"/>
      <c r="K98" s="19"/>
      <c r="L98" s="24"/>
      <c r="M98" s="23"/>
      <c r="N98" s="22"/>
      <c r="O98" s="22"/>
      <c r="P98" s="16"/>
      <c r="Q98" s="16"/>
    </row>
    <row r="99" spans="1:17">
      <c r="A99" s="25"/>
      <c r="B99" s="19"/>
      <c r="C99" s="26" t="s">
        <v>31</v>
      </c>
      <c r="D99" s="27">
        <f>SUM(D88:D98)</f>
        <v>0</v>
      </c>
      <c r="E99" s="27"/>
      <c r="F99" s="27"/>
      <c r="G99" s="27"/>
      <c r="H99" s="27"/>
      <c r="J99" s="25"/>
      <c r="K99" s="19"/>
      <c r="L99" s="26" t="s">
        <v>31</v>
      </c>
      <c r="M99" s="27">
        <f>SUM(M88:M98)</f>
        <v>0</v>
      </c>
      <c r="N99" s="27"/>
      <c r="O99" s="27"/>
      <c r="P99" s="27"/>
      <c r="Q99" s="27"/>
    </row>
    <row r="100" spans="1:17">
      <c r="A100" s="20"/>
      <c r="B100" s="19"/>
      <c r="C100" s="253" t="s">
        <v>21</v>
      </c>
      <c r="D100" s="10"/>
      <c r="E100" s="530">
        <f>D99</f>
        <v>0</v>
      </c>
      <c r="F100" s="530"/>
      <c r="G100" s="530"/>
      <c r="H100" s="530"/>
      <c r="J100" s="20"/>
      <c r="K100" s="19"/>
      <c r="L100" s="253" t="s">
        <v>21</v>
      </c>
      <c r="M100" s="10"/>
      <c r="N100" s="530">
        <f>M99</f>
        <v>0</v>
      </c>
      <c r="O100" s="530"/>
      <c r="P100" s="530"/>
      <c r="Q100" s="530"/>
    </row>
    <row r="101" spans="1:17">
      <c r="A101" s="527" t="s">
        <v>32</v>
      </c>
      <c r="B101" s="528"/>
      <c r="C101" s="528"/>
      <c r="D101" s="528"/>
      <c r="E101" s="528"/>
      <c r="F101" s="528"/>
      <c r="G101" s="528"/>
      <c r="H101" s="529"/>
      <c r="J101" s="527" t="s">
        <v>32</v>
      </c>
      <c r="K101" s="528"/>
      <c r="L101" s="528"/>
      <c r="M101" s="528"/>
      <c r="N101" s="528"/>
      <c r="O101" s="528"/>
      <c r="P101" s="528"/>
      <c r="Q101" s="529"/>
    </row>
    <row r="102" spans="1:17">
      <c r="A102" s="12"/>
      <c r="B102" s="13"/>
      <c r="C102" s="22"/>
      <c r="D102" s="22"/>
      <c r="E102" s="253"/>
      <c r="F102" s="253"/>
      <c r="G102" s="253"/>
      <c r="H102" s="253"/>
      <c r="J102" s="12">
        <v>46142</v>
      </c>
      <c r="K102" s="13" t="s">
        <v>715</v>
      </c>
      <c r="L102" s="22" t="s">
        <v>713</v>
      </c>
      <c r="M102" s="22">
        <v>700000</v>
      </c>
      <c r="N102" s="253"/>
      <c r="O102" s="253"/>
      <c r="P102" s="253"/>
      <c r="Q102" s="253"/>
    </row>
    <row r="103" spans="1:17">
      <c r="A103" s="12"/>
      <c r="B103" s="13"/>
      <c r="C103" s="22"/>
      <c r="D103" s="22"/>
      <c r="E103" s="253"/>
      <c r="F103" s="253"/>
      <c r="G103" s="253"/>
      <c r="H103" s="253"/>
      <c r="J103" s="12"/>
      <c r="K103" s="13"/>
      <c r="L103" s="22"/>
      <c r="M103" s="22"/>
      <c r="N103" s="253"/>
      <c r="O103" s="253"/>
      <c r="P103" s="253"/>
      <c r="Q103" s="253"/>
    </row>
    <row r="104" spans="1:17">
      <c r="A104" s="12"/>
      <c r="B104" s="13"/>
      <c r="C104" s="22"/>
      <c r="D104" s="22"/>
      <c r="E104" s="253"/>
      <c r="F104" s="253"/>
      <c r="G104" s="253"/>
      <c r="H104" s="253"/>
      <c r="J104" s="12"/>
      <c r="K104" s="13"/>
      <c r="L104" s="22"/>
      <c r="M104" s="22"/>
      <c r="N104" s="253"/>
      <c r="O104" s="253"/>
      <c r="P104" s="253"/>
      <c r="Q104" s="253"/>
    </row>
    <row r="105" spans="1:17">
      <c r="A105" s="12"/>
      <c r="B105" s="13"/>
      <c r="C105" s="22"/>
      <c r="D105" s="29"/>
      <c r="E105" s="253"/>
      <c r="F105" s="253"/>
      <c r="G105" s="253"/>
      <c r="H105" s="253"/>
      <c r="J105" s="12"/>
      <c r="K105" s="13"/>
      <c r="L105" s="22"/>
      <c r="M105" s="29"/>
      <c r="N105" s="253"/>
      <c r="O105" s="253"/>
      <c r="P105" s="253"/>
      <c r="Q105" s="253"/>
    </row>
    <row r="106" spans="1:17" hidden="1">
      <c r="A106" s="12"/>
      <c r="B106" s="13"/>
      <c r="C106" s="22"/>
      <c r="D106" s="29"/>
      <c r="E106" s="253"/>
      <c r="F106" s="253"/>
      <c r="G106" s="253"/>
      <c r="H106" s="253"/>
      <c r="J106" s="12"/>
      <c r="K106" s="13"/>
      <c r="L106" s="22"/>
      <c r="M106" s="29"/>
      <c r="N106" s="253"/>
      <c r="O106" s="253"/>
      <c r="P106" s="253"/>
      <c r="Q106" s="253"/>
    </row>
    <row r="107" spans="1:17" hidden="1">
      <c r="A107" s="12"/>
      <c r="B107" s="13"/>
      <c r="C107" s="22"/>
      <c r="D107" s="29"/>
      <c r="E107" s="253"/>
      <c r="F107" s="253"/>
      <c r="G107" s="253"/>
      <c r="H107" s="253"/>
      <c r="J107" s="12"/>
      <c r="K107" s="13"/>
      <c r="L107" s="22"/>
      <c r="M107" s="29"/>
      <c r="N107" s="253"/>
      <c r="O107" s="253"/>
      <c r="P107" s="253"/>
      <c r="Q107" s="253"/>
    </row>
    <row r="108" spans="1:17" hidden="1">
      <c r="A108" s="12"/>
      <c r="B108" s="13"/>
      <c r="C108" s="22"/>
      <c r="D108" s="29"/>
      <c r="E108" s="253"/>
      <c r="F108" s="253"/>
      <c r="G108" s="253"/>
      <c r="H108" s="253"/>
      <c r="J108" s="12"/>
      <c r="K108" s="13"/>
      <c r="L108" s="22"/>
      <c r="M108" s="29"/>
      <c r="N108" s="253"/>
      <c r="O108" s="253"/>
      <c r="P108" s="253"/>
      <c r="Q108" s="253"/>
    </row>
    <row r="109" spans="1:17" hidden="1">
      <c r="A109" s="12"/>
      <c r="B109" s="13"/>
      <c r="C109" s="22"/>
      <c r="D109" s="29"/>
      <c r="E109" s="253"/>
      <c r="F109" s="253"/>
      <c r="G109" s="253"/>
      <c r="H109" s="253"/>
      <c r="J109" s="12"/>
      <c r="K109" s="13"/>
      <c r="L109" s="22"/>
      <c r="M109" s="29"/>
      <c r="N109" s="253"/>
      <c r="O109" s="253"/>
      <c r="P109" s="253"/>
      <c r="Q109" s="253"/>
    </row>
    <row r="110" spans="1:17" hidden="1">
      <c r="A110" s="12"/>
      <c r="B110" s="13"/>
      <c r="C110" s="22"/>
      <c r="D110" s="29"/>
      <c r="E110" s="253"/>
      <c r="F110" s="253"/>
      <c r="G110" s="253"/>
      <c r="H110" s="253"/>
      <c r="J110" s="12"/>
      <c r="K110" s="13"/>
      <c r="L110" s="22"/>
      <c r="M110" s="29"/>
      <c r="N110" s="253"/>
      <c r="O110" s="253"/>
      <c r="P110" s="253"/>
      <c r="Q110" s="253"/>
    </row>
    <row r="111" spans="1:17">
      <c r="A111" s="12"/>
      <c r="B111" s="13"/>
      <c r="C111" s="26" t="s">
        <v>34</v>
      </c>
      <c r="D111" s="27">
        <f>SUM(D102:D105)</f>
        <v>0</v>
      </c>
      <c r="E111" s="27">
        <v>0</v>
      </c>
      <c r="F111" s="27">
        <v>0</v>
      </c>
      <c r="G111" s="27"/>
      <c r="H111" s="27"/>
      <c r="J111" s="12"/>
      <c r="K111" s="13"/>
      <c r="L111" s="26" t="s">
        <v>34</v>
      </c>
      <c r="M111" s="27">
        <f>SUM(M102:M105)</f>
        <v>700000</v>
      </c>
      <c r="N111" s="27">
        <v>0</v>
      </c>
      <c r="O111" s="27">
        <v>0</v>
      </c>
      <c r="P111" s="27"/>
      <c r="Q111" s="27"/>
    </row>
    <row r="112" spans="1:17">
      <c r="A112" s="20"/>
      <c r="B112" s="19"/>
      <c r="C112" s="253" t="s">
        <v>21</v>
      </c>
      <c r="D112" s="10"/>
      <c r="E112" s="531">
        <f>D111</f>
        <v>0</v>
      </c>
      <c r="F112" s="532"/>
      <c r="G112" s="532"/>
      <c r="H112" s="533"/>
      <c r="J112" s="20"/>
      <c r="K112" s="19"/>
      <c r="L112" s="253" t="s">
        <v>21</v>
      </c>
      <c r="M112" s="10"/>
      <c r="N112" s="531">
        <f>M111</f>
        <v>700000</v>
      </c>
      <c r="O112" s="532"/>
      <c r="P112" s="532"/>
      <c r="Q112" s="533"/>
    </row>
    <row r="113" spans="1:17">
      <c r="A113" s="525" t="s">
        <v>35</v>
      </c>
      <c r="B113" s="525"/>
      <c r="C113" s="525"/>
      <c r="D113" s="249"/>
      <c r="E113" s="526">
        <f>E50+E55+E100+E112+E80+E86+E62</f>
        <v>108259000</v>
      </c>
      <c r="F113" s="526"/>
      <c r="G113" s="526"/>
      <c r="H113" s="526"/>
      <c r="J113" s="525" t="s">
        <v>35</v>
      </c>
      <c r="K113" s="525"/>
      <c r="L113" s="525"/>
      <c r="M113" s="249"/>
      <c r="N113" s="526">
        <f>N50+N55+N100+N112+N80+N86+N62</f>
        <v>108959000</v>
      </c>
      <c r="O113" s="526"/>
      <c r="P113" s="526"/>
      <c r="Q113" s="526"/>
    </row>
    <row r="114" spans="1:17">
      <c r="A114" s="522" t="s">
        <v>36</v>
      </c>
      <c r="B114" s="522"/>
      <c r="C114" s="522"/>
      <c r="D114" s="252"/>
      <c r="E114" s="523">
        <f>+E31+E113</f>
        <v>112295812</v>
      </c>
      <c r="F114" s="523"/>
      <c r="G114" s="523"/>
      <c r="H114" s="523"/>
      <c r="J114" s="522" t="s">
        <v>36</v>
      </c>
      <c r="K114" s="522"/>
      <c r="L114" s="522"/>
      <c r="M114" s="252"/>
      <c r="N114" s="523">
        <f>+N31+N113</f>
        <v>110848000</v>
      </c>
      <c r="O114" s="523"/>
      <c r="P114" s="523"/>
      <c r="Q114" s="523"/>
    </row>
    <row r="115" spans="1:17">
      <c r="A115" s="524" t="s">
        <v>32</v>
      </c>
      <c r="B115" s="524"/>
      <c r="C115" s="524"/>
      <c r="D115" s="524"/>
      <c r="E115" s="524"/>
      <c r="F115" s="524"/>
      <c r="G115" s="524"/>
      <c r="H115" s="524"/>
      <c r="J115" s="524" t="s">
        <v>32</v>
      </c>
      <c r="K115" s="524"/>
      <c r="L115" s="524"/>
      <c r="M115" s="524"/>
      <c r="N115" s="524"/>
      <c r="O115" s="524"/>
      <c r="P115" s="524"/>
      <c r="Q115" s="524"/>
    </row>
    <row r="116" spans="1:17">
      <c r="A116" s="33"/>
      <c r="B116" s="13"/>
      <c r="C116" s="22"/>
      <c r="D116" s="22"/>
      <c r="E116" s="22"/>
      <c r="F116" s="22"/>
      <c r="G116" s="16"/>
      <c r="H116" s="16"/>
      <c r="J116" s="33"/>
      <c r="K116" s="13"/>
      <c r="L116" s="22"/>
      <c r="M116" s="22"/>
      <c r="N116" s="22"/>
      <c r="O116" s="22"/>
      <c r="P116" s="16"/>
      <c r="Q116" s="16"/>
    </row>
    <row r="117" spans="1:17">
      <c r="A117" s="33"/>
      <c r="B117" s="13"/>
      <c r="C117" s="22"/>
      <c r="D117" s="22"/>
      <c r="E117" s="22"/>
      <c r="F117" s="22"/>
      <c r="G117" s="16"/>
      <c r="H117" s="16"/>
      <c r="J117" s="33"/>
      <c r="K117" s="13"/>
      <c r="L117" s="22"/>
      <c r="M117" s="22"/>
      <c r="N117" s="22"/>
      <c r="O117" s="22"/>
      <c r="P117" s="16"/>
      <c r="Q117" s="16"/>
    </row>
    <row r="118" spans="1:17">
      <c r="A118" s="33"/>
      <c r="B118" s="13"/>
      <c r="C118" s="22"/>
      <c r="D118" s="22"/>
      <c r="E118" s="22"/>
      <c r="F118" s="22"/>
      <c r="G118" s="16"/>
      <c r="H118" s="16"/>
      <c r="J118" s="33"/>
      <c r="K118" s="13"/>
      <c r="L118" s="22"/>
      <c r="M118" s="22"/>
      <c r="N118" s="22"/>
      <c r="O118" s="22"/>
      <c r="P118" s="16"/>
      <c r="Q118" s="16"/>
    </row>
    <row r="119" spans="1:17">
      <c r="A119" s="20"/>
      <c r="B119" s="13"/>
      <c r="C119" s="22"/>
      <c r="D119" s="22"/>
      <c r="E119" s="22"/>
      <c r="F119" s="16"/>
      <c r="G119" s="16"/>
      <c r="H119" s="16"/>
      <c r="J119" s="20"/>
      <c r="K119" s="13"/>
      <c r="L119" s="22"/>
      <c r="M119" s="22"/>
      <c r="N119" s="22"/>
      <c r="O119" s="16"/>
      <c r="P119" s="16"/>
      <c r="Q119" s="16"/>
    </row>
    <row r="120" spans="1:17" hidden="1">
      <c r="A120" s="20"/>
      <c r="B120" s="13"/>
      <c r="C120" s="22"/>
      <c r="D120" s="22"/>
      <c r="E120" s="22"/>
      <c r="F120" s="16"/>
      <c r="G120" s="16"/>
      <c r="H120" s="16"/>
      <c r="J120" s="20"/>
      <c r="K120" s="13"/>
      <c r="L120" s="22"/>
      <c r="M120" s="22"/>
      <c r="N120" s="22"/>
      <c r="O120" s="16"/>
      <c r="P120" s="16"/>
      <c r="Q120" s="16"/>
    </row>
    <row r="121" spans="1:17">
      <c r="A121" s="525" t="s">
        <v>37</v>
      </c>
      <c r="B121" s="525"/>
      <c r="C121" s="525"/>
      <c r="D121" s="249">
        <f>SUM(D116:D120)</f>
        <v>0</v>
      </c>
      <c r="E121" s="526"/>
      <c r="F121" s="526"/>
      <c r="G121" s="526"/>
      <c r="H121" s="526"/>
      <c r="J121" s="525" t="s">
        <v>37</v>
      </c>
      <c r="K121" s="525"/>
      <c r="L121" s="525"/>
      <c r="M121" s="249">
        <f>SUM(M116:M120)</f>
        <v>0</v>
      </c>
      <c r="N121" s="526"/>
      <c r="O121" s="526"/>
      <c r="P121" s="526"/>
      <c r="Q121" s="526"/>
    </row>
    <row r="122" spans="1:17">
      <c r="A122" s="34" t="s">
        <v>38</v>
      </c>
      <c r="B122" s="35"/>
      <c r="C122" s="249"/>
      <c r="D122" s="249"/>
      <c r="E122" s="250"/>
      <c r="F122" s="250"/>
      <c r="G122" s="526"/>
      <c r="H122" s="526"/>
      <c r="J122" s="34" t="s">
        <v>38</v>
      </c>
      <c r="K122" s="35"/>
      <c r="L122" s="249"/>
      <c r="M122" s="249"/>
      <c r="N122" s="250"/>
      <c r="O122" s="250"/>
      <c r="P122" s="526"/>
      <c r="Q122" s="526"/>
    </row>
    <row r="123" spans="1:17">
      <c r="A123" s="37"/>
      <c r="B123" s="38"/>
      <c r="C123" s="39"/>
      <c r="D123" s="39"/>
      <c r="E123" s="39"/>
      <c r="F123" s="39"/>
      <c r="G123" s="39"/>
      <c r="H123" s="39"/>
      <c r="J123" s="37"/>
      <c r="K123" s="38"/>
      <c r="L123" s="39"/>
      <c r="M123" s="39"/>
      <c r="N123" s="39"/>
      <c r="O123" s="39"/>
      <c r="P123" s="39"/>
      <c r="Q123" s="39"/>
    </row>
    <row r="124" spans="1:17">
      <c r="A124" s="519" t="s">
        <v>13</v>
      </c>
      <c r="B124" s="520"/>
      <c r="C124" s="520"/>
      <c r="D124" s="520"/>
      <c r="E124" s="521"/>
      <c r="F124" s="39"/>
      <c r="G124" s="39"/>
      <c r="H124" s="40"/>
      <c r="J124" s="519" t="s">
        <v>13</v>
      </c>
      <c r="K124" s="520"/>
      <c r="L124" s="520"/>
      <c r="M124" s="520"/>
      <c r="N124" s="521"/>
      <c r="O124" s="39"/>
      <c r="P124" s="39"/>
      <c r="Q124" s="40"/>
    </row>
    <row r="125" spans="1:17">
      <c r="A125" s="41" t="s">
        <v>39</v>
      </c>
      <c r="B125" s="42" t="s">
        <v>40</v>
      </c>
      <c r="C125" s="43" t="s">
        <v>41</v>
      </c>
      <c r="D125" s="43" t="s">
        <v>42</v>
      </c>
      <c r="E125" s="43" t="s">
        <v>43</v>
      </c>
      <c r="F125" s="39"/>
      <c r="G125" s="39"/>
      <c r="H125" s="39"/>
      <c r="J125" s="41" t="s">
        <v>39</v>
      </c>
      <c r="K125" s="42" t="s">
        <v>40</v>
      </c>
      <c r="L125" s="43" t="s">
        <v>41</v>
      </c>
      <c r="M125" s="43" t="s">
        <v>42</v>
      </c>
      <c r="N125" s="43" t="s">
        <v>43</v>
      </c>
      <c r="O125" s="39"/>
      <c r="P125" s="39"/>
      <c r="Q125" s="39"/>
    </row>
    <row r="126" spans="1:17">
      <c r="A126" s="41"/>
      <c r="B126" s="44"/>
      <c r="C126" s="45"/>
      <c r="D126" s="46"/>
      <c r="E126" s="46"/>
      <c r="F126" s="39"/>
      <c r="G126" s="39"/>
      <c r="H126" s="39"/>
      <c r="J126" s="41"/>
      <c r="K126" s="44"/>
      <c r="L126" s="45" t="s">
        <v>714</v>
      </c>
      <c r="M126" s="46">
        <v>110847000</v>
      </c>
      <c r="N126" s="46"/>
      <c r="O126" s="39"/>
      <c r="P126" s="39"/>
      <c r="Q126" s="39"/>
    </row>
    <row r="127" spans="1:17">
      <c r="A127" s="41"/>
      <c r="B127" s="44"/>
      <c r="C127" s="45"/>
      <c r="D127" s="46"/>
      <c r="E127" s="46"/>
      <c r="F127" s="39"/>
      <c r="G127" s="39"/>
      <c r="H127" s="39"/>
      <c r="J127" s="41"/>
      <c r="K127" s="44"/>
      <c r="L127" s="45"/>
      <c r="M127" s="46"/>
      <c r="N127" s="46"/>
      <c r="O127" s="39"/>
      <c r="P127" s="39"/>
      <c r="Q127" s="39"/>
    </row>
    <row r="128" spans="1:17">
      <c r="A128" s="41"/>
      <c r="B128" s="44"/>
      <c r="C128" s="45"/>
      <c r="D128" s="46"/>
      <c r="E128" s="46"/>
      <c r="F128" s="39"/>
      <c r="G128" s="39"/>
      <c r="H128" s="39"/>
      <c r="J128" s="41"/>
      <c r="K128" s="44"/>
      <c r="L128" s="45"/>
      <c r="M128" s="46"/>
      <c r="N128" s="46"/>
      <c r="O128" s="39"/>
      <c r="P128" s="39"/>
      <c r="Q128" s="39"/>
    </row>
    <row r="129" spans="1:17">
      <c r="A129" s="41"/>
      <c r="B129" s="44"/>
      <c r="C129" s="47"/>
      <c r="D129" s="46"/>
      <c r="E129" s="46"/>
      <c r="F129" s="39"/>
      <c r="G129" s="39"/>
      <c r="H129" s="39"/>
      <c r="J129" s="41"/>
      <c r="K129" s="44"/>
      <c r="L129" s="47"/>
      <c r="M129" s="46"/>
      <c r="N129" s="46"/>
      <c r="O129" s="39"/>
      <c r="P129" s="39"/>
      <c r="Q129" s="39"/>
    </row>
    <row r="130" spans="1:17">
      <c r="A130" s="41"/>
      <c r="B130" s="44"/>
      <c r="C130" s="46"/>
      <c r="D130" s="48"/>
      <c r="E130" s="46"/>
      <c r="F130" s="39"/>
      <c r="G130" s="39"/>
      <c r="H130" s="39"/>
      <c r="J130" s="41"/>
      <c r="K130" s="44"/>
      <c r="L130" s="46"/>
      <c r="M130" s="48"/>
      <c r="N130" s="46"/>
      <c r="O130" s="39"/>
      <c r="P130" s="39"/>
      <c r="Q130" s="39"/>
    </row>
    <row r="131" spans="1:17">
      <c r="A131" s="49"/>
      <c r="B131" s="50"/>
      <c r="C131" s="51" t="s">
        <v>44</v>
      </c>
      <c r="D131" s="51">
        <f>SUM(D126:D130)</f>
        <v>0</v>
      </c>
      <c r="E131" s="52"/>
      <c r="F131" s="39"/>
      <c r="G131" s="39"/>
      <c r="H131" s="39"/>
      <c r="J131" s="49"/>
      <c r="K131" s="50"/>
      <c r="L131" s="51" t="s">
        <v>44</v>
      </c>
      <c r="M131" s="51">
        <f>SUM(M126:M130)</f>
        <v>110847000</v>
      </c>
      <c r="N131" s="52"/>
      <c r="O131" s="39"/>
      <c r="P131" s="39"/>
      <c r="Q131" s="39"/>
    </row>
    <row r="132" spans="1:17">
      <c r="A132" s="53"/>
      <c r="B132" s="54"/>
      <c r="C132" s="55"/>
      <c r="D132" s="116"/>
      <c r="E132" s="3"/>
      <c r="F132" s="39"/>
      <c r="G132" s="39"/>
      <c r="H132" s="39"/>
      <c r="J132" s="53"/>
      <c r="K132" s="54"/>
      <c r="L132" s="55" t="s">
        <v>319</v>
      </c>
      <c r="M132" s="116">
        <f>M131-N114</f>
        <v>-1000</v>
      </c>
      <c r="N132" s="3"/>
      <c r="O132" s="39"/>
      <c r="P132" s="39"/>
      <c r="Q132" s="39"/>
    </row>
  </sheetData>
  <mergeCells count="66">
    <mergeCell ref="J115:Q115"/>
    <mergeCell ref="J121:L121"/>
    <mergeCell ref="N121:Q121"/>
    <mergeCell ref="P122:Q122"/>
    <mergeCell ref="J124:N124"/>
    <mergeCell ref="J114:L114"/>
    <mergeCell ref="N114:Q114"/>
    <mergeCell ref="N62:Q62"/>
    <mergeCell ref="J63:Q63"/>
    <mergeCell ref="N80:Q80"/>
    <mergeCell ref="J81:Q81"/>
    <mergeCell ref="N86:Q86"/>
    <mergeCell ref="J87:Q87"/>
    <mergeCell ref="N100:Q100"/>
    <mergeCell ref="J101:Q101"/>
    <mergeCell ref="N112:Q112"/>
    <mergeCell ref="J113:L113"/>
    <mergeCell ref="N113:Q113"/>
    <mergeCell ref="N31:Q31"/>
    <mergeCell ref="J32:Q32"/>
    <mergeCell ref="N50:Q50"/>
    <mergeCell ref="J51:Q51"/>
    <mergeCell ref="N55:Q55"/>
    <mergeCell ref="J56:Q56"/>
    <mergeCell ref="A124:E124"/>
    <mergeCell ref="J3:Q3"/>
    <mergeCell ref="J12:P12"/>
    <mergeCell ref="J13:Q13"/>
    <mergeCell ref="J14:J15"/>
    <mergeCell ref="K14:K15"/>
    <mergeCell ref="L14:L15"/>
    <mergeCell ref="M14:M15"/>
    <mergeCell ref="N14:Q14"/>
    <mergeCell ref="J31:M31"/>
    <mergeCell ref="A114:C114"/>
    <mergeCell ref="E114:H114"/>
    <mergeCell ref="A115:H115"/>
    <mergeCell ref="A121:C121"/>
    <mergeCell ref="E121:H121"/>
    <mergeCell ref="G122:H122"/>
    <mergeCell ref="A87:H87"/>
    <mergeCell ref="E100:H100"/>
    <mergeCell ref="A101:H101"/>
    <mergeCell ref="E112:H112"/>
    <mergeCell ref="A113:C113"/>
    <mergeCell ref="E113:H113"/>
    <mergeCell ref="E86:H86"/>
    <mergeCell ref="A31:D31"/>
    <mergeCell ref="E31:H31"/>
    <mergeCell ref="A32:H32"/>
    <mergeCell ref="E50:H50"/>
    <mergeCell ref="A51:H51"/>
    <mergeCell ref="E55:H55"/>
    <mergeCell ref="A56:H56"/>
    <mergeCell ref="E62:H62"/>
    <mergeCell ref="A63:H63"/>
    <mergeCell ref="E80:H80"/>
    <mergeCell ref="A81:H81"/>
    <mergeCell ref="A3:H3"/>
    <mergeCell ref="A12:G12"/>
    <mergeCell ref="A13:H13"/>
    <mergeCell ref="A14:A15"/>
    <mergeCell ref="B14:B15"/>
    <mergeCell ref="C14:C15"/>
    <mergeCell ref="D14:D15"/>
    <mergeCell ref="E14:H14"/>
  </mergeCells>
  <pageMargins left="0.11811023622047245" right="0.11811023622047245" top="0.43307086614173229" bottom="0.27559055118110237" header="0.11811023622047245" footer="0.31496062992125984"/>
  <pageSetup paperSize="9" scale="80" orientation="portrait" r:id="rId1"/>
  <rowBreaks count="1" manualBreakCount="1">
    <brk id="100" max="7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32"/>
  <sheetViews>
    <sheetView workbookViewId="0"/>
  </sheetViews>
  <sheetFormatPr defaultRowHeight="15"/>
  <cols>
    <col min="1" max="1" width="40.7109375" bestFit="1" customWidth="1"/>
    <col min="2" max="2" width="10.5703125" bestFit="1" customWidth="1"/>
    <col min="3" max="3" width="51" bestFit="1" customWidth="1"/>
    <col min="4" max="4" width="10.5703125" bestFit="1" customWidth="1"/>
    <col min="5" max="5" width="80.42578125" bestFit="1" customWidth="1"/>
    <col min="6" max="6" width="10.5703125" bestFit="1" customWidth="1"/>
    <col min="7" max="7" width="47.85546875" bestFit="1" customWidth="1"/>
    <col min="8" max="8" width="12.5703125" bestFit="1" customWidth="1"/>
    <col min="9" max="9" width="19.28515625" bestFit="1" customWidth="1"/>
    <col min="10" max="10" width="9" bestFit="1" customWidth="1"/>
    <col min="12" max="12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84" customFormat="1">
      <c r="A2" s="23" t="s">
        <v>690</v>
      </c>
      <c r="B2" s="23">
        <f>120000+160000</f>
        <v>280000</v>
      </c>
      <c r="C2" s="24" t="s">
        <v>410</v>
      </c>
      <c r="D2" s="23">
        <v>1200000</v>
      </c>
      <c r="E2" s="15" t="s">
        <v>692</v>
      </c>
      <c r="F2" s="22">
        <v>810000</v>
      </c>
      <c r="G2" s="14" t="s">
        <v>686</v>
      </c>
      <c r="H2" s="15">
        <v>350000</v>
      </c>
      <c r="I2" s="14" t="s">
        <v>494</v>
      </c>
      <c r="J2" s="77">
        <v>48000</v>
      </c>
    </row>
    <row r="3" spans="1:10" s="184" customFormat="1">
      <c r="A3" s="23" t="s">
        <v>615</v>
      </c>
      <c r="B3" s="23">
        <v>4505000</v>
      </c>
      <c r="C3" s="24" t="s">
        <v>702</v>
      </c>
      <c r="D3" s="23"/>
      <c r="E3" s="15" t="s">
        <v>693</v>
      </c>
      <c r="F3" s="22">
        <v>170000</v>
      </c>
      <c r="G3" s="14" t="s">
        <v>687</v>
      </c>
      <c r="H3" s="167">
        <v>185000</v>
      </c>
      <c r="I3" s="14" t="s">
        <v>705</v>
      </c>
      <c r="J3" s="15">
        <v>250000</v>
      </c>
    </row>
    <row r="4" spans="1:10" s="184" customFormat="1">
      <c r="A4" s="24" t="s">
        <v>263</v>
      </c>
      <c r="B4" s="23">
        <v>1320000</v>
      </c>
      <c r="C4" s="183"/>
      <c r="D4" s="30"/>
      <c r="E4" s="23" t="s">
        <v>695</v>
      </c>
      <c r="F4" s="23">
        <v>420000</v>
      </c>
      <c r="G4" s="14" t="s">
        <v>357</v>
      </c>
      <c r="H4" s="15">
        <v>202500</v>
      </c>
      <c r="I4" s="183"/>
      <c r="J4" s="30"/>
    </row>
    <row r="5" spans="1:10" s="184" customFormat="1">
      <c r="A5" s="24" t="s">
        <v>706</v>
      </c>
      <c r="B5" s="23">
        <v>300000</v>
      </c>
      <c r="C5" s="30"/>
      <c r="D5" s="185"/>
      <c r="E5" s="23"/>
      <c r="F5" s="23"/>
      <c r="G5" s="24" t="s">
        <v>19</v>
      </c>
      <c r="H5" s="23">
        <v>503500</v>
      </c>
      <c r="I5" s="183"/>
      <c r="J5" s="183"/>
    </row>
    <row r="6" spans="1:10" s="187" customFormat="1">
      <c r="A6" s="24" t="s">
        <v>704</v>
      </c>
      <c r="B6" s="23">
        <v>500000</v>
      </c>
      <c r="C6" s="186"/>
      <c r="D6" s="185"/>
      <c r="E6" s="183"/>
      <c r="F6" s="30"/>
      <c r="G6" s="24" t="s">
        <v>689</v>
      </c>
      <c r="H6" s="23">
        <v>350000</v>
      </c>
      <c r="I6" s="23"/>
      <c r="J6" s="23"/>
    </row>
    <row r="7" spans="1:10" s="187" customFormat="1">
      <c r="A7" s="22"/>
      <c r="B7" s="22"/>
      <c r="C7" s="30"/>
      <c r="D7" s="188"/>
      <c r="E7" s="183"/>
      <c r="F7" s="30"/>
      <c r="G7" s="15" t="s">
        <v>711</v>
      </c>
      <c r="H7" s="22">
        <v>955000</v>
      </c>
      <c r="I7" s="14"/>
      <c r="J7" s="15"/>
    </row>
    <row r="8" spans="1:10" s="187" customFormat="1">
      <c r="A8" s="22"/>
      <c r="B8" s="22"/>
      <c r="C8" s="30"/>
      <c r="D8" s="188"/>
      <c r="E8" s="30"/>
      <c r="F8" s="188"/>
      <c r="G8" s="15" t="s">
        <v>712</v>
      </c>
      <c r="H8" s="23">
        <v>100000</v>
      </c>
      <c r="I8" s="30"/>
      <c r="J8" s="188"/>
    </row>
    <row r="9" spans="1:10" s="187" customFormat="1">
      <c r="A9" s="22"/>
      <c r="B9" s="29"/>
      <c r="C9" s="30"/>
      <c r="D9" s="188"/>
      <c r="E9" s="185"/>
      <c r="F9" s="189"/>
      <c r="G9" s="23" t="s">
        <v>710</v>
      </c>
      <c r="H9" s="23">
        <v>625000</v>
      </c>
      <c r="I9" s="30"/>
      <c r="J9" s="188"/>
    </row>
    <row r="10" spans="1:10" s="187" customFormat="1">
      <c r="A10" s="22"/>
      <c r="B10" s="29"/>
      <c r="C10" s="190"/>
      <c r="D10" s="190"/>
      <c r="E10" s="185"/>
      <c r="F10" s="189"/>
      <c r="G10" s="23" t="s">
        <v>700</v>
      </c>
      <c r="H10" s="23">
        <v>26824000</v>
      </c>
      <c r="I10" s="30"/>
      <c r="J10" s="188"/>
    </row>
    <row r="11" spans="1:10" s="187" customFormat="1">
      <c r="A11" s="23"/>
      <c r="B11" s="23"/>
      <c r="C11" s="190"/>
      <c r="D11" s="190"/>
      <c r="E11" s="185"/>
      <c r="F11" s="189"/>
      <c r="G11" s="23" t="s">
        <v>618</v>
      </c>
      <c r="H11" s="23">
        <v>20000000</v>
      </c>
      <c r="I11" s="30"/>
      <c r="J11" s="188"/>
    </row>
    <row r="12" spans="1:10" s="187" customFormat="1">
      <c r="A12" s="186"/>
      <c r="B12" s="185"/>
      <c r="C12" s="190"/>
      <c r="D12" s="190"/>
      <c r="E12" s="185"/>
      <c r="F12" s="189"/>
      <c r="G12" s="23" t="s">
        <v>617</v>
      </c>
      <c r="H12" s="23">
        <v>50000000</v>
      </c>
      <c r="I12" s="30"/>
      <c r="J12" s="188"/>
    </row>
    <row r="13" spans="1:10" s="187" customFormat="1">
      <c r="A13" s="186"/>
      <c r="B13" s="185"/>
      <c r="C13" s="190"/>
      <c r="D13" s="190"/>
      <c r="E13" s="185"/>
      <c r="F13" s="189"/>
      <c r="G13" s="22" t="s">
        <v>713</v>
      </c>
      <c r="H13" s="22">
        <v>700000</v>
      </c>
      <c r="I13" s="191"/>
      <c r="J13" s="192"/>
    </row>
    <row r="14" spans="1:10" s="187" customFormat="1">
      <c r="A14" s="193"/>
      <c r="B14" s="194"/>
      <c r="C14" s="194"/>
      <c r="D14" s="194"/>
      <c r="E14" s="194"/>
      <c r="F14" s="194"/>
      <c r="G14" s="23"/>
      <c r="H14" s="23"/>
      <c r="I14" s="193"/>
      <c r="J14" s="194"/>
    </row>
    <row r="15" spans="1:10" s="187" customFormat="1">
      <c r="A15" s="193"/>
      <c r="B15" s="194"/>
      <c r="C15" s="194"/>
      <c r="D15" s="194"/>
      <c r="E15" s="194"/>
      <c r="F15" s="194"/>
      <c r="G15" s="23"/>
      <c r="H15" s="23"/>
      <c r="I15" s="193"/>
      <c r="J15" s="194"/>
    </row>
    <row r="16" spans="1:10" s="187" customFormat="1">
      <c r="A16" s="193"/>
      <c r="B16" s="194"/>
      <c r="C16" s="194"/>
      <c r="D16" s="194"/>
      <c r="E16" s="194"/>
      <c r="F16" s="194"/>
      <c r="G16" s="22"/>
      <c r="H16" s="22"/>
      <c r="I16" s="193"/>
      <c r="J16" s="194"/>
    </row>
    <row r="17" spans="1:12" s="187" customFormat="1">
      <c r="A17" s="193"/>
      <c r="B17" s="194"/>
      <c r="C17" s="194"/>
      <c r="D17" s="194"/>
      <c r="E17" s="194"/>
      <c r="F17" s="194"/>
      <c r="G17" s="15"/>
      <c r="H17" s="23"/>
      <c r="I17" s="193"/>
      <c r="J17" s="194"/>
    </row>
    <row r="18" spans="1:12" s="187" customFormat="1">
      <c r="A18" s="193"/>
      <c r="B18" s="194"/>
      <c r="C18" s="194"/>
      <c r="D18" s="194"/>
      <c r="E18" s="194"/>
      <c r="F18" s="194"/>
      <c r="G18" s="22"/>
      <c r="H18" s="22"/>
      <c r="I18" s="193"/>
      <c r="J18" s="194"/>
    </row>
    <row r="19" spans="1:12" s="187" customFormat="1">
      <c r="A19" s="193"/>
      <c r="B19" s="194"/>
      <c r="C19" s="194"/>
      <c r="D19" s="194"/>
      <c r="E19" s="194"/>
      <c r="F19" s="194"/>
      <c r="G19" s="24"/>
      <c r="H19" s="23"/>
      <c r="I19" s="193"/>
      <c r="J19" s="194"/>
    </row>
    <row r="20" spans="1:12" s="187" customFormat="1">
      <c r="A20" s="193"/>
      <c r="B20" s="194"/>
      <c r="C20" s="194"/>
      <c r="D20" s="194"/>
      <c r="E20" s="194"/>
      <c r="F20" s="194"/>
      <c r="G20" s="186"/>
      <c r="H20" s="185"/>
      <c r="I20" s="193"/>
      <c r="J20" s="194"/>
    </row>
    <row r="21" spans="1:12" s="187" customFormat="1">
      <c r="A21" s="193"/>
      <c r="B21" s="194"/>
      <c r="C21" s="194"/>
      <c r="D21" s="194"/>
      <c r="E21" s="194"/>
      <c r="F21" s="194"/>
      <c r="G21" s="186"/>
      <c r="H21" s="185"/>
      <c r="I21" s="193"/>
      <c r="J21" s="194"/>
    </row>
    <row r="22" spans="1:12" s="187" customFormat="1">
      <c r="A22" s="193"/>
      <c r="B22" s="194"/>
      <c r="C22" s="194"/>
      <c r="D22" s="194"/>
      <c r="E22" s="194"/>
      <c r="F22" s="194"/>
      <c r="G22" s="196"/>
      <c r="H22" s="196"/>
      <c r="I22" s="193"/>
      <c r="J22" s="194"/>
    </row>
    <row r="23" spans="1:12" s="187" customFormat="1">
      <c r="A23" s="193"/>
      <c r="B23" s="194"/>
      <c r="C23" s="194"/>
      <c r="D23" s="194"/>
      <c r="E23" s="194"/>
      <c r="F23" s="194"/>
      <c r="G23" s="196"/>
      <c r="H23" s="196"/>
      <c r="I23" s="193"/>
      <c r="J23" s="194"/>
    </row>
    <row r="24" spans="1:12" s="187" customFormat="1">
      <c r="A24" s="193"/>
      <c r="B24" s="194"/>
      <c r="C24" s="194"/>
      <c r="D24" s="194"/>
      <c r="E24" s="194"/>
      <c r="F24" s="194"/>
      <c r="G24" s="196"/>
      <c r="H24" s="196"/>
      <c r="I24" s="193"/>
      <c r="J24" s="194"/>
    </row>
    <row r="25" spans="1:12" s="187" customFormat="1">
      <c r="A25" s="193"/>
      <c r="B25" s="194"/>
      <c r="C25" s="194"/>
      <c r="D25" s="194"/>
      <c r="E25" s="194"/>
      <c r="F25" s="194"/>
      <c r="G25" s="196"/>
      <c r="H25" s="196"/>
      <c r="I25" s="193"/>
      <c r="J25" s="194"/>
    </row>
    <row r="26" spans="1:12" s="187" customFormat="1">
      <c r="A26" s="193"/>
      <c r="B26" s="194"/>
      <c r="C26" s="194"/>
      <c r="D26" s="194"/>
      <c r="E26" s="194"/>
      <c r="F26" s="194"/>
      <c r="G26" s="196"/>
      <c r="H26" s="196"/>
      <c r="I26" s="193"/>
      <c r="J26" s="194"/>
    </row>
    <row r="27" spans="1:12">
      <c r="A27" s="68"/>
      <c r="B27" s="69"/>
      <c r="C27" s="69"/>
      <c r="D27" s="69"/>
      <c r="E27" s="69"/>
      <c r="F27" s="69"/>
      <c r="G27" s="119"/>
      <c r="H27" s="120"/>
      <c r="I27" s="68"/>
      <c r="J27" s="69"/>
    </row>
    <row r="28" spans="1:12">
      <c r="A28" s="70"/>
      <c r="B28" s="71">
        <f>SUM(B2:B26)</f>
        <v>6905000</v>
      </c>
      <c r="C28" s="71">
        <f t="shared" ref="C28:J28" si="0">SUM(C2:C26)</f>
        <v>0</v>
      </c>
      <c r="D28" s="71">
        <f t="shared" si="0"/>
        <v>1200000</v>
      </c>
      <c r="E28" s="71">
        <f t="shared" si="0"/>
        <v>0</v>
      </c>
      <c r="F28" s="71">
        <f t="shared" si="0"/>
        <v>1400000</v>
      </c>
      <c r="G28" s="71">
        <f>SUM(G2:G26)</f>
        <v>0</v>
      </c>
      <c r="H28" s="71">
        <f>SUM(H2:H26)</f>
        <v>100795000</v>
      </c>
      <c r="I28" s="71">
        <f t="shared" si="0"/>
        <v>0</v>
      </c>
      <c r="J28" s="71">
        <f t="shared" si="0"/>
        <v>298000</v>
      </c>
      <c r="K28" s="72"/>
      <c r="L28" s="72">
        <f>SUM(B28:K28)</f>
        <v>110598000</v>
      </c>
    </row>
    <row r="29" spans="1:12">
      <c r="B29" s="77"/>
      <c r="C29" t="s">
        <v>317</v>
      </c>
      <c r="D29" s="77">
        <v>100000</v>
      </c>
      <c r="E29" s="77"/>
      <c r="F29" s="77"/>
      <c r="L29" s="72">
        <f>L28-Sheet26!N114</f>
        <v>-250000</v>
      </c>
    </row>
    <row r="30" spans="1:12">
      <c r="C30" t="s">
        <v>716</v>
      </c>
      <c r="D30" s="72">
        <v>141000</v>
      </c>
    </row>
    <row r="32" spans="1:12">
      <c r="D32" s="72">
        <f>D28-D29-D30</f>
        <v>959000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132"/>
  <sheetViews>
    <sheetView workbookViewId="0"/>
  </sheetViews>
  <sheetFormatPr defaultRowHeight="15"/>
  <cols>
    <col min="3" max="3" width="75.5703125" customWidth="1"/>
    <col min="4" max="4" width="12" bestFit="1" customWidth="1"/>
    <col min="5" max="5" width="7.7109375" customWidth="1"/>
    <col min="6" max="6" width="7.140625" customWidth="1"/>
    <col min="7" max="7" width="7.42578125" customWidth="1"/>
    <col min="8" max="8" width="12" bestFit="1" customWidth="1"/>
    <col min="12" max="12" width="70.42578125" customWidth="1"/>
    <col min="13" max="13" width="11.7109375" bestFit="1" customWidth="1"/>
    <col min="17" max="17" width="11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747</v>
      </c>
      <c r="B2" s="2"/>
      <c r="C2" s="3"/>
      <c r="D2" s="3"/>
      <c r="E2" s="3"/>
      <c r="F2" s="3"/>
      <c r="G2" s="3"/>
      <c r="H2" s="3"/>
      <c r="J2" s="1" t="s">
        <v>747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 t="s">
        <v>746</v>
      </c>
      <c r="E4" s="6"/>
      <c r="F4" s="6"/>
      <c r="G4" s="6"/>
      <c r="H4" s="6"/>
      <c r="J4" s="4"/>
      <c r="K4" s="5"/>
      <c r="L4" s="6" t="s">
        <v>2</v>
      </c>
      <c r="M4" s="7" t="s">
        <v>746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/>
      <c r="E5" s="6"/>
      <c r="F5" s="6"/>
      <c r="G5" s="6"/>
      <c r="H5" s="6"/>
      <c r="J5" s="4"/>
      <c r="K5" s="5"/>
      <c r="L5" s="6" t="s">
        <v>590</v>
      </c>
      <c r="M5" s="7"/>
      <c r="N5" s="6"/>
      <c r="O5" s="6"/>
      <c r="P5" s="6"/>
      <c r="Q5" s="6"/>
    </row>
    <row r="6" spans="1:17">
      <c r="A6" s="4"/>
      <c r="B6" s="5"/>
      <c r="C6" s="6" t="s">
        <v>3</v>
      </c>
      <c r="D6" s="8">
        <v>290765</v>
      </c>
      <c r="E6" s="6"/>
      <c r="F6" s="6"/>
      <c r="G6" s="6"/>
      <c r="H6" s="6"/>
      <c r="J6" s="4"/>
      <c r="K6" s="5"/>
      <c r="L6" s="6" t="s">
        <v>3</v>
      </c>
      <c r="M6" s="8">
        <v>290765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1189810.5900000334</v>
      </c>
      <c r="E7" s="6"/>
      <c r="F7" s="6"/>
      <c r="G7" s="6"/>
      <c r="H7" s="6"/>
      <c r="J7" s="4"/>
      <c r="K7" s="5"/>
      <c r="L7" s="6" t="s">
        <v>4</v>
      </c>
      <c r="M7" s="115">
        <v>1189810.5900000334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17000000</v>
      </c>
      <c r="E10" s="6"/>
      <c r="F10" s="6"/>
      <c r="G10" s="6"/>
      <c r="H10" s="6"/>
      <c r="J10" s="4"/>
      <c r="K10" s="5"/>
      <c r="L10" s="6" t="s">
        <v>7</v>
      </c>
      <c r="M10" s="6">
        <v>17000000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748</v>
      </c>
      <c r="B12" s="532"/>
      <c r="C12" s="532"/>
      <c r="D12" s="532"/>
      <c r="E12" s="532"/>
      <c r="F12" s="532"/>
      <c r="G12" s="533"/>
      <c r="H12" s="10">
        <f>SUM(D4:D10)</f>
        <v>22924464.103333361</v>
      </c>
      <c r="J12" s="531" t="s">
        <v>748</v>
      </c>
      <c r="K12" s="532"/>
      <c r="L12" s="532"/>
      <c r="M12" s="532"/>
      <c r="N12" s="532"/>
      <c r="O12" s="532"/>
      <c r="P12" s="533"/>
      <c r="Q12" s="10">
        <f>SUM(M4:M10)</f>
        <v>22924464.103333361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258" t="s">
        <v>14</v>
      </c>
      <c r="F15" s="258" t="s">
        <v>15</v>
      </c>
      <c r="G15" s="258" t="s">
        <v>16</v>
      </c>
      <c r="H15" s="258" t="s">
        <v>17</v>
      </c>
      <c r="J15" s="536"/>
      <c r="K15" s="537"/>
      <c r="L15" s="538"/>
      <c r="M15" s="538"/>
      <c r="N15" s="262" t="s">
        <v>14</v>
      </c>
      <c r="O15" s="262" t="s">
        <v>15</v>
      </c>
      <c r="P15" s="262" t="s">
        <v>16</v>
      </c>
      <c r="Q15" s="262" t="s">
        <v>17</v>
      </c>
    </row>
    <row r="16" spans="1:17">
      <c r="A16" s="12"/>
      <c r="B16" s="19" t="s">
        <v>685</v>
      </c>
      <c r="C16" s="14" t="s">
        <v>180</v>
      </c>
      <c r="D16" s="15">
        <v>1194312</v>
      </c>
      <c r="E16" s="168"/>
      <c r="F16" s="168"/>
      <c r="G16" s="168"/>
      <c r="H16" s="168"/>
      <c r="J16" s="12"/>
      <c r="K16" s="19" t="s">
        <v>685</v>
      </c>
      <c r="L16" s="14" t="s">
        <v>180</v>
      </c>
      <c r="M16" s="15">
        <v>1194312</v>
      </c>
      <c r="N16" s="168"/>
      <c r="O16" s="168"/>
      <c r="P16" s="168"/>
      <c r="Q16" s="168"/>
    </row>
    <row r="17" spans="1:17">
      <c r="A17" s="12"/>
      <c r="B17" s="19" t="s">
        <v>685</v>
      </c>
      <c r="C17" s="14" t="s">
        <v>356</v>
      </c>
      <c r="D17" s="15">
        <v>450000</v>
      </c>
      <c r="E17" s="16"/>
      <c r="F17" s="16"/>
      <c r="G17" s="16"/>
      <c r="H17" s="16"/>
      <c r="J17" s="12"/>
      <c r="K17" s="19" t="s">
        <v>685</v>
      </c>
      <c r="L17" s="14" t="s">
        <v>356</v>
      </c>
      <c r="M17" s="15">
        <v>450000</v>
      </c>
      <c r="N17" s="16"/>
      <c r="O17" s="16"/>
      <c r="P17" s="16"/>
      <c r="Q17" s="16"/>
    </row>
    <row r="18" spans="1:17">
      <c r="A18" s="12"/>
      <c r="B18" s="19" t="s">
        <v>685</v>
      </c>
      <c r="C18" s="14" t="s">
        <v>19</v>
      </c>
      <c r="D18" s="15">
        <v>503500</v>
      </c>
      <c r="E18" s="16"/>
      <c r="F18" s="16"/>
      <c r="G18" s="16"/>
      <c r="H18" s="16"/>
      <c r="J18" s="12"/>
      <c r="K18" s="19" t="s">
        <v>685</v>
      </c>
      <c r="L18" s="14" t="s">
        <v>19</v>
      </c>
      <c r="M18" s="15">
        <v>503500</v>
      </c>
      <c r="N18" s="16"/>
      <c r="O18" s="16"/>
      <c r="P18" s="16"/>
      <c r="Q18" s="16"/>
    </row>
    <row r="19" spans="1:17">
      <c r="A19" s="12"/>
      <c r="B19" s="19" t="s">
        <v>736</v>
      </c>
      <c r="C19" s="14" t="s">
        <v>735</v>
      </c>
      <c r="D19" s="15">
        <v>1750000</v>
      </c>
      <c r="E19" s="16"/>
      <c r="F19" s="16"/>
      <c r="G19" s="16"/>
      <c r="H19" s="16"/>
      <c r="J19" s="12"/>
      <c r="K19" s="19" t="s">
        <v>736</v>
      </c>
      <c r="L19" s="14" t="s">
        <v>735</v>
      </c>
      <c r="M19" s="15">
        <v>1750000</v>
      </c>
      <c r="N19" s="16"/>
      <c r="O19" s="16"/>
      <c r="P19" s="16"/>
      <c r="Q19" s="16"/>
    </row>
    <row r="20" spans="1:17">
      <c r="A20" s="12"/>
      <c r="B20" s="19"/>
      <c r="C20" s="14"/>
      <c r="D20" s="15"/>
      <c r="E20" s="16"/>
      <c r="F20" s="16"/>
      <c r="G20" s="16"/>
      <c r="H20" s="16"/>
      <c r="J20" s="12"/>
      <c r="K20" s="19"/>
      <c r="L20" s="14"/>
      <c r="M20" s="15"/>
      <c r="N20" s="16"/>
      <c r="O20" s="16"/>
      <c r="P20" s="16"/>
      <c r="Q20" s="16"/>
    </row>
    <row r="21" spans="1:17" hidden="1">
      <c r="A21" s="12"/>
      <c r="B21" s="19"/>
      <c r="C21" s="14"/>
      <c r="D21" s="15"/>
      <c r="E21" s="16"/>
      <c r="F21" s="16"/>
      <c r="G21" s="16"/>
      <c r="H21" s="16"/>
      <c r="J21" s="12"/>
      <c r="K21" s="19"/>
      <c r="L21" s="14"/>
      <c r="M21" s="15"/>
      <c r="N21" s="16"/>
      <c r="O21" s="16"/>
      <c r="P21" s="16"/>
      <c r="Q21" s="16"/>
    </row>
    <row r="22" spans="1:17" hidden="1">
      <c r="A22" s="12"/>
      <c r="B22" s="19"/>
      <c r="C22" s="14"/>
      <c r="D22" s="15"/>
      <c r="E22" s="16"/>
      <c r="F22" s="16"/>
      <c r="G22" s="16"/>
      <c r="H22" s="16"/>
      <c r="J22" s="12"/>
      <c r="K22" s="19"/>
      <c r="L22" s="14"/>
      <c r="M22" s="15"/>
      <c r="N22" s="16"/>
      <c r="O22" s="16"/>
      <c r="P22" s="16"/>
      <c r="Q22" s="16"/>
    </row>
    <row r="23" spans="1:17" hidden="1">
      <c r="A23" s="12"/>
      <c r="B23" s="19"/>
      <c r="C23" s="14"/>
      <c r="D23" s="15"/>
      <c r="E23" s="16"/>
      <c r="F23" s="16"/>
      <c r="G23" s="16"/>
      <c r="H23" s="16"/>
      <c r="J23" s="12"/>
      <c r="K23" s="19"/>
      <c r="L23" s="14"/>
      <c r="M23" s="15"/>
      <c r="N23" s="16"/>
      <c r="O23" s="16"/>
      <c r="P23" s="16"/>
      <c r="Q23" s="16"/>
    </row>
    <row r="24" spans="1:17" hidden="1">
      <c r="A24" s="12"/>
      <c r="B24" s="19"/>
      <c r="C24" s="14"/>
      <c r="D24" s="15"/>
      <c r="E24" s="16"/>
      <c r="F24" s="16"/>
      <c r="G24" s="16"/>
      <c r="H24" s="16"/>
      <c r="J24" s="12"/>
      <c r="K24" s="19"/>
      <c r="L24" s="14"/>
      <c r="M24" s="15"/>
      <c r="N24" s="16"/>
      <c r="O24" s="16"/>
      <c r="P24" s="16"/>
      <c r="Q24" s="16"/>
    </row>
    <row r="25" spans="1:17" hidden="1">
      <c r="A25" s="12"/>
      <c r="B25" s="19"/>
      <c r="C25" s="14"/>
      <c r="D25" s="15"/>
      <c r="E25" s="16"/>
      <c r="F25" s="16"/>
      <c r="G25" s="16"/>
      <c r="H25" s="16"/>
      <c r="J25" s="12"/>
      <c r="K25" s="19"/>
      <c r="L25" s="14"/>
      <c r="M25" s="15"/>
      <c r="N25" s="16"/>
      <c r="O25" s="16"/>
      <c r="P25" s="16"/>
      <c r="Q25" s="16"/>
    </row>
    <row r="26" spans="1:17" hidden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7" hidden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7" hidden="1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258" t="s">
        <v>20</v>
      </c>
      <c r="D29" s="10">
        <f>SUM(D16:D26)</f>
        <v>3897812</v>
      </c>
      <c r="E29" s="10"/>
      <c r="F29" s="10"/>
      <c r="G29" s="10"/>
      <c r="H29" s="10"/>
      <c r="J29" s="18"/>
      <c r="K29" s="19"/>
      <c r="L29" s="262" t="s">
        <v>20</v>
      </c>
      <c r="M29" s="10">
        <f>SUM(M16:M26)</f>
        <v>3897812</v>
      </c>
      <c r="N29" s="10"/>
      <c r="O29" s="10"/>
      <c r="P29" s="10"/>
      <c r="Q29" s="10"/>
    </row>
    <row r="30" spans="1:17">
      <c r="A30" s="20"/>
      <c r="B30" s="256"/>
      <c r="C30" s="152" t="s">
        <v>21</v>
      </c>
      <c r="D30" s="150"/>
      <c r="E30" s="150"/>
      <c r="F30" s="150"/>
      <c r="G30" s="151"/>
      <c r="H30" s="21">
        <f>+D29</f>
        <v>3897812</v>
      </c>
      <c r="J30" s="20"/>
      <c r="K30" s="263"/>
      <c r="L30" s="152" t="s">
        <v>21</v>
      </c>
      <c r="M30" s="150"/>
      <c r="N30" s="150"/>
      <c r="O30" s="150"/>
      <c r="P30" s="151"/>
      <c r="Q30" s="21">
        <f>+M29</f>
        <v>3897812</v>
      </c>
    </row>
    <row r="31" spans="1:17">
      <c r="A31" s="526" t="s">
        <v>22</v>
      </c>
      <c r="B31" s="526"/>
      <c r="C31" s="526"/>
      <c r="D31" s="526"/>
      <c r="E31" s="526">
        <f>+H30</f>
        <v>3897812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3897812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7">
      <c r="A33" s="12"/>
      <c r="B33" s="19" t="s">
        <v>722</v>
      </c>
      <c r="C33" s="15" t="s">
        <v>718</v>
      </c>
      <c r="D33" s="22">
        <v>242000</v>
      </c>
      <c r="E33" s="22"/>
      <c r="F33" s="22"/>
      <c r="G33" s="16"/>
      <c r="H33" s="16"/>
      <c r="J33" s="12"/>
      <c r="K33" s="19" t="s">
        <v>722</v>
      </c>
      <c r="L33" s="15" t="s">
        <v>718</v>
      </c>
      <c r="M33" s="22">
        <v>242000</v>
      </c>
      <c r="N33" s="22"/>
      <c r="O33" s="22"/>
      <c r="P33" s="16"/>
      <c r="Q33" s="16"/>
    </row>
    <row r="34" spans="1:17">
      <c r="A34" s="12"/>
      <c r="B34" s="19" t="s">
        <v>722</v>
      </c>
      <c r="C34" s="15" t="s">
        <v>719</v>
      </c>
      <c r="D34" s="22">
        <v>150000</v>
      </c>
      <c r="E34" s="22"/>
      <c r="F34" s="22"/>
      <c r="G34" s="16"/>
      <c r="H34" s="16"/>
      <c r="J34" s="12"/>
      <c r="K34" s="19" t="s">
        <v>722</v>
      </c>
      <c r="L34" s="15" t="s">
        <v>719</v>
      </c>
      <c r="M34" s="22">
        <v>150000</v>
      </c>
      <c r="N34" s="22"/>
      <c r="O34" s="22"/>
      <c r="P34" s="16"/>
      <c r="Q34" s="16"/>
    </row>
    <row r="35" spans="1:17">
      <c r="A35" s="12"/>
      <c r="B35" s="19" t="s">
        <v>722</v>
      </c>
      <c r="C35" s="15" t="s">
        <v>720</v>
      </c>
      <c r="D35" s="22">
        <v>120000</v>
      </c>
      <c r="E35" s="22"/>
      <c r="F35" s="22"/>
      <c r="G35" s="16"/>
      <c r="H35" s="16"/>
      <c r="J35" s="12"/>
      <c r="K35" s="19" t="s">
        <v>722</v>
      </c>
      <c r="L35" s="15" t="s">
        <v>720</v>
      </c>
      <c r="M35" s="22">
        <v>120000</v>
      </c>
      <c r="N35" s="22"/>
      <c r="O35" s="22"/>
      <c r="P35" s="16"/>
      <c r="Q35" s="16"/>
    </row>
    <row r="36" spans="1:17">
      <c r="A36" s="12"/>
      <c r="B36" s="19" t="s">
        <v>722</v>
      </c>
      <c r="C36" s="15" t="s">
        <v>726</v>
      </c>
      <c r="D36" s="23">
        <v>34000</v>
      </c>
      <c r="E36" s="22"/>
      <c r="F36" s="22"/>
      <c r="G36" s="16"/>
      <c r="H36" s="16"/>
      <c r="J36" s="12"/>
      <c r="K36" s="19" t="s">
        <v>722</v>
      </c>
      <c r="L36" s="15" t="s">
        <v>726</v>
      </c>
      <c r="M36" s="23">
        <v>34000</v>
      </c>
      <c r="N36" s="22"/>
      <c r="O36" s="22"/>
      <c r="P36" s="16"/>
      <c r="Q36" s="16"/>
    </row>
    <row r="37" spans="1:17">
      <c r="A37" s="12"/>
      <c r="B37" s="19" t="s">
        <v>723</v>
      </c>
      <c r="C37" s="15" t="s">
        <v>721</v>
      </c>
      <c r="D37" s="23">
        <v>202000</v>
      </c>
      <c r="E37" s="22"/>
      <c r="F37" s="22"/>
      <c r="G37" s="16"/>
      <c r="H37" s="16"/>
      <c r="J37" s="12"/>
      <c r="K37" s="19" t="s">
        <v>723</v>
      </c>
      <c r="L37" s="15" t="s">
        <v>721</v>
      </c>
      <c r="M37" s="23">
        <v>202000</v>
      </c>
      <c r="N37" s="22"/>
      <c r="O37" s="22"/>
      <c r="P37" s="16"/>
      <c r="Q37" s="16"/>
    </row>
    <row r="38" spans="1:17">
      <c r="A38" s="12"/>
      <c r="B38" s="19" t="s">
        <v>724</v>
      </c>
      <c r="C38" s="15" t="s">
        <v>725</v>
      </c>
      <c r="D38" s="23">
        <v>420000</v>
      </c>
      <c r="E38" s="22"/>
      <c r="F38" s="22"/>
      <c r="G38" s="16"/>
      <c r="H38" s="16"/>
      <c r="J38" s="12"/>
      <c r="K38" s="19" t="s">
        <v>724</v>
      </c>
      <c r="L38" s="15" t="s">
        <v>725</v>
      </c>
      <c r="M38" s="23">
        <v>420000</v>
      </c>
      <c r="N38" s="22"/>
      <c r="O38" s="22"/>
      <c r="P38" s="16"/>
      <c r="Q38" s="16"/>
    </row>
    <row r="39" spans="1:17">
      <c r="A39" s="12"/>
      <c r="B39" s="19" t="s">
        <v>724</v>
      </c>
      <c r="C39" s="15" t="s">
        <v>727</v>
      </c>
      <c r="D39" s="23">
        <v>200000</v>
      </c>
      <c r="E39" s="22"/>
      <c r="F39" s="22"/>
      <c r="G39" s="16"/>
      <c r="H39" s="16"/>
      <c r="J39" s="12"/>
      <c r="K39" s="19" t="s">
        <v>724</v>
      </c>
      <c r="L39" s="15" t="s">
        <v>727</v>
      </c>
      <c r="M39" s="23">
        <v>285000</v>
      </c>
      <c r="N39" s="22"/>
      <c r="O39" s="22"/>
      <c r="P39" s="16"/>
      <c r="Q39" s="16"/>
    </row>
    <row r="40" spans="1:17">
      <c r="A40" s="12"/>
      <c r="B40" s="19"/>
      <c r="C40" s="15"/>
      <c r="D40" s="23"/>
      <c r="E40" s="22"/>
      <c r="F40" s="22"/>
      <c r="G40" s="16"/>
      <c r="H40" s="16"/>
      <c r="J40" s="12"/>
      <c r="K40" s="19"/>
      <c r="L40" s="15"/>
      <c r="M40" s="23"/>
      <c r="N40" s="22"/>
      <c r="O40" s="22"/>
      <c r="P40" s="16"/>
      <c r="Q40" s="16"/>
    </row>
    <row r="41" spans="1:17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7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7" hidden="1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7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 hidden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7" hidden="1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7" hidden="1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7" hidden="1">
      <c r="A48" s="12"/>
      <c r="B48" s="13"/>
      <c r="C48" s="15"/>
      <c r="D48" s="23"/>
      <c r="E48" s="22"/>
      <c r="F48" s="22"/>
      <c r="G48" s="16"/>
      <c r="H48" s="16"/>
      <c r="J48" s="12"/>
      <c r="K48" s="13"/>
      <c r="L48" s="15"/>
      <c r="M48" s="23"/>
      <c r="N48" s="22"/>
      <c r="O48" s="22"/>
      <c r="P48" s="16"/>
      <c r="Q48" s="16"/>
    </row>
    <row r="49" spans="1:17">
      <c r="A49" s="25"/>
      <c r="B49" s="19"/>
      <c r="C49" s="26" t="s">
        <v>24</v>
      </c>
      <c r="D49" s="27">
        <f>SUM(D33:D48)</f>
        <v>1368000</v>
      </c>
      <c r="E49" s="27"/>
      <c r="F49" s="27"/>
      <c r="G49" s="27"/>
      <c r="H49" s="27"/>
      <c r="J49" s="25"/>
      <c r="K49" s="19"/>
      <c r="L49" s="26" t="s">
        <v>24</v>
      </c>
      <c r="M49" s="27">
        <f>SUM(M33:M48)</f>
        <v>1453000</v>
      </c>
      <c r="N49" s="27"/>
      <c r="O49" s="27"/>
      <c r="P49" s="27"/>
      <c r="Q49" s="27"/>
    </row>
    <row r="50" spans="1:17">
      <c r="A50" s="20"/>
      <c r="B50" s="19"/>
      <c r="C50" s="258" t="s">
        <v>21</v>
      </c>
      <c r="D50" s="10"/>
      <c r="E50" s="530">
        <f>D49</f>
        <v>1368000</v>
      </c>
      <c r="F50" s="530"/>
      <c r="G50" s="530"/>
      <c r="H50" s="530"/>
      <c r="J50" s="20"/>
      <c r="K50" s="19"/>
      <c r="L50" s="262" t="s">
        <v>21</v>
      </c>
      <c r="M50" s="10"/>
      <c r="N50" s="530">
        <f>M49</f>
        <v>1453000</v>
      </c>
      <c r="O50" s="530"/>
      <c r="P50" s="530"/>
      <c r="Q50" s="530"/>
    </row>
    <row r="51" spans="1:17">
      <c r="A51" s="524" t="s">
        <v>349</v>
      </c>
      <c r="B51" s="524"/>
      <c r="C51" s="524"/>
      <c r="D51" s="524"/>
      <c r="E51" s="524"/>
      <c r="F51" s="524"/>
      <c r="G51" s="524"/>
      <c r="H51" s="524"/>
      <c r="J51" s="524" t="s">
        <v>349</v>
      </c>
      <c r="K51" s="524"/>
      <c r="L51" s="524"/>
      <c r="M51" s="524"/>
      <c r="N51" s="524"/>
      <c r="O51" s="524"/>
      <c r="P51" s="524"/>
      <c r="Q51" s="524"/>
    </row>
    <row r="52" spans="1:17">
      <c r="A52" s="28"/>
      <c r="B52" s="23" t="s">
        <v>717</v>
      </c>
      <c r="C52" s="23" t="s">
        <v>749</v>
      </c>
      <c r="D52" s="23">
        <v>120000</v>
      </c>
      <c r="E52" s="28"/>
      <c r="F52" s="28"/>
      <c r="G52" s="28"/>
      <c r="H52" s="28"/>
      <c r="J52" s="28"/>
      <c r="K52" s="23" t="s">
        <v>717</v>
      </c>
      <c r="L52" s="23" t="s">
        <v>749</v>
      </c>
      <c r="M52" s="23">
        <v>120000</v>
      </c>
      <c r="N52" s="28"/>
      <c r="O52" s="28"/>
      <c r="P52" s="28"/>
      <c r="Q52" s="28"/>
    </row>
    <row r="53" spans="1:17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>
      <c r="A54" s="12"/>
      <c r="B54" s="13"/>
      <c r="C54" s="26" t="s">
        <v>448</v>
      </c>
      <c r="D54" s="27">
        <f>SUM(D52:D53)</f>
        <v>120000</v>
      </c>
      <c r="E54" s="27">
        <v>0</v>
      </c>
      <c r="F54" s="27">
        <v>0</v>
      </c>
      <c r="G54" s="27"/>
      <c r="H54" s="27"/>
      <c r="J54" s="12"/>
      <c r="K54" s="13"/>
      <c r="L54" s="26" t="s">
        <v>448</v>
      </c>
      <c r="M54" s="27">
        <f>SUM(M52:M53)</f>
        <v>120000</v>
      </c>
      <c r="N54" s="27">
        <v>0</v>
      </c>
      <c r="O54" s="27">
        <v>0</v>
      </c>
      <c r="P54" s="27"/>
      <c r="Q54" s="27"/>
    </row>
    <row r="55" spans="1:17">
      <c r="A55" s="20"/>
      <c r="B55" s="19"/>
      <c r="C55" s="258" t="s">
        <v>21</v>
      </c>
      <c r="D55" s="10"/>
      <c r="E55" s="530">
        <f>D54</f>
        <v>120000</v>
      </c>
      <c r="F55" s="530"/>
      <c r="G55" s="530"/>
      <c r="H55" s="530"/>
      <c r="J55" s="20"/>
      <c r="K55" s="19"/>
      <c r="L55" s="262" t="s">
        <v>21</v>
      </c>
      <c r="M55" s="10"/>
      <c r="N55" s="530">
        <f>M54</f>
        <v>120000</v>
      </c>
      <c r="O55" s="530"/>
      <c r="P55" s="530"/>
      <c r="Q55" s="530"/>
    </row>
    <row r="56" spans="1:17">
      <c r="A56" s="524" t="s">
        <v>694</v>
      </c>
      <c r="B56" s="524"/>
      <c r="C56" s="524"/>
      <c r="D56" s="524"/>
      <c r="E56" s="524"/>
      <c r="F56" s="524"/>
      <c r="G56" s="524"/>
      <c r="H56" s="524"/>
      <c r="J56" s="524" t="s">
        <v>694</v>
      </c>
      <c r="K56" s="524"/>
      <c r="L56" s="524"/>
      <c r="M56" s="524"/>
      <c r="N56" s="524"/>
      <c r="O56" s="524"/>
      <c r="P56" s="524"/>
      <c r="Q56" s="524"/>
    </row>
    <row r="57" spans="1:17">
      <c r="A57" s="28"/>
      <c r="B57" s="19" t="s">
        <v>728</v>
      </c>
      <c r="C57" s="23" t="s">
        <v>729</v>
      </c>
      <c r="D57" s="23">
        <v>1650000</v>
      </c>
      <c r="E57" s="28"/>
      <c r="F57" s="28"/>
      <c r="G57" s="28"/>
      <c r="H57" s="28"/>
      <c r="J57" s="28"/>
      <c r="K57" s="19" t="s">
        <v>728</v>
      </c>
      <c r="L57" s="23" t="s">
        <v>729</v>
      </c>
      <c r="M57" s="23">
        <v>1650000</v>
      </c>
      <c r="N57" s="28"/>
      <c r="O57" s="28"/>
      <c r="P57" s="28"/>
      <c r="Q57" s="28"/>
    </row>
    <row r="58" spans="1:17">
      <c r="A58" s="28"/>
      <c r="B58" s="23"/>
      <c r="C58" s="23"/>
      <c r="D58" s="23"/>
      <c r="E58" s="28"/>
      <c r="F58" s="28"/>
      <c r="G58" s="28"/>
      <c r="H58" s="28"/>
      <c r="J58" s="28"/>
      <c r="K58" s="23"/>
      <c r="L58" s="23"/>
      <c r="M58" s="23"/>
      <c r="N58" s="28"/>
      <c r="O58" s="28"/>
      <c r="P58" s="28"/>
      <c r="Q58" s="28"/>
    </row>
    <row r="59" spans="1:17" hidden="1">
      <c r="A59" s="28"/>
      <c r="B59" s="23"/>
      <c r="C59" s="23"/>
      <c r="D59" s="23"/>
      <c r="E59" s="28"/>
      <c r="F59" s="28"/>
      <c r="G59" s="28"/>
      <c r="H59" s="28"/>
      <c r="J59" s="28"/>
      <c r="K59" s="23"/>
      <c r="L59" s="23"/>
      <c r="M59" s="23"/>
      <c r="N59" s="28"/>
      <c r="O59" s="28"/>
      <c r="P59" s="28"/>
      <c r="Q59" s="28"/>
    </row>
    <row r="60" spans="1:17" hidden="1">
      <c r="A60" s="28"/>
      <c r="B60" s="23"/>
      <c r="C60" s="23"/>
      <c r="D60" s="23"/>
      <c r="E60" s="28"/>
      <c r="F60" s="28"/>
      <c r="G60" s="28"/>
      <c r="H60" s="28"/>
      <c r="J60" s="28"/>
      <c r="K60" s="23"/>
      <c r="L60" s="23"/>
      <c r="M60" s="23"/>
      <c r="N60" s="28"/>
      <c r="O60" s="28"/>
      <c r="P60" s="28"/>
      <c r="Q60" s="28"/>
    </row>
    <row r="61" spans="1:17">
      <c r="A61" s="12"/>
      <c r="B61" s="13"/>
      <c r="C61" s="26" t="s">
        <v>703</v>
      </c>
      <c r="D61" s="27">
        <f>SUM(D57:D60)</f>
        <v>1650000</v>
      </c>
      <c r="E61" s="27">
        <v>0</v>
      </c>
      <c r="F61" s="27">
        <v>0</v>
      </c>
      <c r="G61" s="27"/>
      <c r="H61" s="27"/>
      <c r="J61" s="12"/>
      <c r="K61" s="13"/>
      <c r="L61" s="26" t="s">
        <v>703</v>
      </c>
      <c r="M61" s="27">
        <f>SUM(M57:M60)</f>
        <v>1650000</v>
      </c>
      <c r="N61" s="27">
        <v>0</v>
      </c>
      <c r="O61" s="27">
        <v>0</v>
      </c>
      <c r="P61" s="27"/>
      <c r="Q61" s="27"/>
    </row>
    <row r="62" spans="1:17">
      <c r="A62" s="20"/>
      <c r="B62" s="19"/>
      <c r="C62" s="258" t="s">
        <v>21</v>
      </c>
      <c r="D62" s="10"/>
      <c r="E62" s="530">
        <f>D61</f>
        <v>1650000</v>
      </c>
      <c r="F62" s="530"/>
      <c r="G62" s="530"/>
      <c r="H62" s="530"/>
      <c r="J62" s="20"/>
      <c r="K62" s="19"/>
      <c r="L62" s="262" t="s">
        <v>21</v>
      </c>
      <c r="M62" s="10"/>
      <c r="N62" s="530">
        <f>M61</f>
        <v>1650000</v>
      </c>
      <c r="O62" s="530"/>
      <c r="P62" s="530"/>
      <c r="Q62" s="530"/>
    </row>
    <row r="63" spans="1:17">
      <c r="A63" s="524" t="s">
        <v>54</v>
      </c>
      <c r="B63" s="524"/>
      <c r="C63" s="524"/>
      <c r="D63" s="524"/>
      <c r="E63" s="524"/>
      <c r="F63" s="524"/>
      <c r="G63" s="524"/>
      <c r="H63" s="524"/>
      <c r="J63" s="524" t="s">
        <v>54</v>
      </c>
      <c r="K63" s="524"/>
      <c r="L63" s="524"/>
      <c r="M63" s="524"/>
      <c r="N63" s="524"/>
      <c r="O63" s="524"/>
      <c r="P63" s="524"/>
      <c r="Q63" s="524"/>
    </row>
    <row r="64" spans="1:17">
      <c r="A64" s="28"/>
      <c r="B64" s="19" t="s">
        <v>730</v>
      </c>
      <c r="C64" s="23" t="s">
        <v>731</v>
      </c>
      <c r="D64" s="23">
        <v>5735000</v>
      </c>
      <c r="E64" s="28"/>
      <c r="F64" s="28"/>
      <c r="G64" s="28"/>
      <c r="H64" s="28"/>
      <c r="J64" s="28"/>
      <c r="K64" s="19" t="s">
        <v>730</v>
      </c>
      <c r="L64" s="23" t="s">
        <v>731</v>
      </c>
      <c r="M64" s="23">
        <v>5735000</v>
      </c>
      <c r="N64" s="28"/>
      <c r="O64" s="28"/>
      <c r="P64" s="28"/>
      <c r="Q64" s="28"/>
    </row>
    <row r="65" spans="1:17">
      <c r="A65" s="28"/>
      <c r="B65" s="19" t="s">
        <v>730</v>
      </c>
      <c r="C65" s="23" t="s">
        <v>732</v>
      </c>
      <c r="D65" s="23">
        <v>20000000</v>
      </c>
      <c r="E65" s="28"/>
      <c r="F65" s="28"/>
      <c r="G65" s="28"/>
      <c r="H65" s="28"/>
      <c r="J65" s="28"/>
      <c r="K65" s="19" t="s">
        <v>730</v>
      </c>
      <c r="L65" s="23" t="s">
        <v>732</v>
      </c>
      <c r="M65" s="23">
        <v>20000000</v>
      </c>
      <c r="N65" s="28"/>
      <c r="O65" s="28"/>
      <c r="P65" s="28"/>
      <c r="Q65" s="28"/>
    </row>
    <row r="66" spans="1:17">
      <c r="A66" s="28"/>
      <c r="B66" s="19" t="s">
        <v>730</v>
      </c>
      <c r="C66" s="23" t="s">
        <v>263</v>
      </c>
      <c r="D66" s="23">
        <v>660000</v>
      </c>
      <c r="E66" s="28"/>
      <c r="F66" s="28"/>
      <c r="G66" s="28"/>
      <c r="H66" s="28"/>
      <c r="J66" s="28"/>
      <c r="K66" s="19" t="s">
        <v>730</v>
      </c>
      <c r="L66" s="23" t="s">
        <v>263</v>
      </c>
      <c r="M66" s="23">
        <v>660000</v>
      </c>
      <c r="N66" s="28"/>
      <c r="O66" s="28"/>
      <c r="P66" s="28"/>
      <c r="Q66" s="28"/>
    </row>
    <row r="67" spans="1:17">
      <c r="A67" s="12"/>
      <c r="B67" s="19" t="s">
        <v>730</v>
      </c>
      <c r="C67" s="23" t="s">
        <v>410</v>
      </c>
      <c r="D67" s="23">
        <v>300000</v>
      </c>
      <c r="E67" s="258"/>
      <c r="F67" s="258"/>
      <c r="G67" s="258"/>
      <c r="H67" s="258"/>
      <c r="J67" s="12"/>
      <c r="K67" s="19" t="s">
        <v>730</v>
      </c>
      <c r="L67" s="23" t="s">
        <v>410</v>
      </c>
      <c r="M67" s="23">
        <v>300000</v>
      </c>
      <c r="N67" s="262"/>
      <c r="O67" s="262"/>
      <c r="P67" s="262"/>
      <c r="Q67" s="262"/>
    </row>
    <row r="68" spans="1:17">
      <c r="A68" s="12"/>
      <c r="B68" s="19" t="s">
        <v>730</v>
      </c>
      <c r="C68" s="24" t="s">
        <v>733</v>
      </c>
      <c r="D68" s="23">
        <v>240000</v>
      </c>
      <c r="E68" s="258"/>
      <c r="F68" s="258"/>
      <c r="G68" s="258"/>
      <c r="H68" s="258"/>
      <c r="J68" s="12"/>
      <c r="K68" s="19" t="s">
        <v>730</v>
      </c>
      <c r="L68" s="24" t="s">
        <v>733</v>
      </c>
      <c r="M68" s="23">
        <v>240000</v>
      </c>
      <c r="N68" s="262"/>
      <c r="O68" s="262"/>
      <c r="P68" s="262"/>
      <c r="Q68" s="262"/>
    </row>
    <row r="69" spans="1:17">
      <c r="A69" s="12"/>
      <c r="B69" s="19" t="s">
        <v>730</v>
      </c>
      <c r="C69" s="24" t="s">
        <v>734</v>
      </c>
      <c r="D69" s="23">
        <v>300000</v>
      </c>
      <c r="E69" s="258"/>
      <c r="F69" s="258"/>
      <c r="G69" s="258"/>
      <c r="H69" s="258"/>
      <c r="J69" s="12"/>
      <c r="K69" s="19" t="s">
        <v>730</v>
      </c>
      <c r="L69" s="24" t="s">
        <v>734</v>
      </c>
      <c r="M69" s="23">
        <v>300000</v>
      </c>
      <c r="N69" s="262"/>
      <c r="O69" s="262"/>
      <c r="P69" s="262"/>
      <c r="Q69" s="262"/>
    </row>
    <row r="70" spans="1:17">
      <c r="A70" s="12"/>
      <c r="B70" s="19"/>
      <c r="C70" s="24"/>
      <c r="D70" s="23"/>
      <c r="E70" s="258"/>
      <c r="F70" s="258"/>
      <c r="G70" s="258"/>
      <c r="H70" s="258"/>
      <c r="J70" s="12"/>
      <c r="K70" s="19"/>
      <c r="L70" s="24"/>
      <c r="M70" s="23"/>
      <c r="N70" s="262"/>
      <c r="O70" s="262"/>
      <c r="P70" s="262"/>
      <c r="Q70" s="262"/>
    </row>
    <row r="71" spans="1:17" hidden="1">
      <c r="A71" s="12"/>
      <c r="B71" s="19"/>
      <c r="C71" s="24"/>
      <c r="D71" s="23"/>
      <c r="E71" s="258"/>
      <c r="F71" s="258"/>
      <c r="G71" s="258"/>
      <c r="H71" s="258"/>
      <c r="J71" s="12"/>
      <c r="K71" s="19"/>
      <c r="L71" s="24"/>
      <c r="M71" s="23"/>
      <c r="N71" s="262"/>
      <c r="O71" s="262"/>
      <c r="P71" s="262"/>
      <c r="Q71" s="262"/>
    </row>
    <row r="72" spans="1:17" hidden="1">
      <c r="A72" s="12"/>
      <c r="B72" s="19"/>
      <c r="C72" s="24"/>
      <c r="D72" s="23"/>
      <c r="E72" s="258"/>
      <c r="F72" s="258"/>
      <c r="G72" s="258"/>
      <c r="H72" s="258"/>
      <c r="J72" s="12"/>
      <c r="K72" s="19"/>
      <c r="L72" s="24"/>
      <c r="M72" s="23"/>
      <c r="N72" s="262"/>
      <c r="O72" s="262"/>
      <c r="P72" s="262"/>
      <c r="Q72" s="262"/>
    </row>
    <row r="73" spans="1:17" hidden="1">
      <c r="A73" s="12"/>
      <c r="B73" s="19"/>
      <c r="C73" s="24"/>
      <c r="D73" s="23"/>
      <c r="E73" s="258"/>
      <c r="F73" s="258"/>
      <c r="G73" s="258"/>
      <c r="H73" s="258"/>
      <c r="J73" s="12"/>
      <c r="K73" s="19"/>
      <c r="L73" s="24"/>
      <c r="M73" s="23"/>
      <c r="N73" s="262"/>
      <c r="O73" s="262"/>
      <c r="P73" s="262"/>
      <c r="Q73" s="262"/>
    </row>
    <row r="74" spans="1:17" hidden="1">
      <c r="A74" s="12"/>
      <c r="B74" s="19"/>
      <c r="C74" s="24"/>
      <c r="D74" s="23"/>
      <c r="E74" s="258"/>
      <c r="F74" s="258"/>
      <c r="G74" s="258"/>
      <c r="H74" s="258"/>
      <c r="J74" s="12"/>
      <c r="K74" s="19"/>
      <c r="L74" s="24"/>
      <c r="M74" s="23"/>
      <c r="N74" s="262"/>
      <c r="O74" s="262"/>
      <c r="P74" s="262"/>
      <c r="Q74" s="262"/>
    </row>
    <row r="75" spans="1:17" hidden="1">
      <c r="A75" s="12"/>
      <c r="B75" s="19"/>
      <c r="C75" s="24"/>
      <c r="D75" s="23"/>
      <c r="E75" s="258"/>
      <c r="F75" s="258"/>
      <c r="G75" s="258"/>
      <c r="H75" s="258"/>
      <c r="J75" s="12"/>
      <c r="K75" s="19"/>
      <c r="L75" s="24"/>
      <c r="M75" s="23"/>
      <c r="N75" s="262"/>
      <c r="O75" s="262"/>
      <c r="P75" s="262"/>
      <c r="Q75" s="262"/>
    </row>
    <row r="76" spans="1:17" hidden="1">
      <c r="A76" s="12"/>
      <c r="B76" s="19"/>
      <c r="C76" s="24"/>
      <c r="D76" s="23"/>
      <c r="E76" s="258"/>
      <c r="F76" s="258"/>
      <c r="G76" s="258"/>
      <c r="H76" s="258"/>
      <c r="J76" s="12"/>
      <c r="K76" s="19"/>
      <c r="L76" s="24"/>
      <c r="M76" s="23"/>
      <c r="N76" s="262"/>
      <c r="O76" s="262"/>
      <c r="P76" s="262"/>
      <c r="Q76" s="262"/>
    </row>
    <row r="77" spans="1:17" hidden="1">
      <c r="A77" s="12"/>
      <c r="B77" s="19"/>
      <c r="C77" s="24"/>
      <c r="D77" s="23"/>
      <c r="E77" s="258"/>
      <c r="F77" s="258"/>
      <c r="G77" s="258"/>
      <c r="H77" s="258"/>
      <c r="J77" s="12"/>
      <c r="K77" s="19"/>
      <c r="L77" s="24"/>
      <c r="M77" s="23"/>
      <c r="N77" s="262"/>
      <c r="O77" s="262"/>
      <c r="P77" s="262"/>
      <c r="Q77" s="262"/>
    </row>
    <row r="78" spans="1:17" hidden="1">
      <c r="A78" s="12"/>
      <c r="B78" s="19"/>
      <c r="C78" s="24"/>
      <c r="D78" s="23"/>
      <c r="E78" s="258"/>
      <c r="F78" s="258"/>
      <c r="G78" s="258"/>
      <c r="H78" s="258"/>
      <c r="J78" s="12"/>
      <c r="K78" s="19"/>
      <c r="L78" s="24"/>
      <c r="M78" s="23"/>
      <c r="N78" s="262"/>
      <c r="O78" s="262"/>
      <c r="P78" s="262"/>
      <c r="Q78" s="262"/>
    </row>
    <row r="79" spans="1:17">
      <c r="A79" s="12"/>
      <c r="B79" s="13"/>
      <c r="C79" s="26" t="s">
        <v>55</v>
      </c>
      <c r="D79" s="27">
        <f>SUM(D64:D77)</f>
        <v>27235000</v>
      </c>
      <c r="E79" s="27">
        <v>0</v>
      </c>
      <c r="F79" s="27">
        <v>0</v>
      </c>
      <c r="G79" s="27"/>
      <c r="H79" s="27"/>
      <c r="J79" s="12"/>
      <c r="K79" s="13"/>
      <c r="L79" s="26" t="s">
        <v>55</v>
      </c>
      <c r="M79" s="27">
        <f>SUM(M64:M77)</f>
        <v>27235000</v>
      </c>
      <c r="N79" s="27">
        <v>0</v>
      </c>
      <c r="O79" s="27">
        <v>0</v>
      </c>
      <c r="P79" s="27"/>
      <c r="Q79" s="27"/>
    </row>
    <row r="80" spans="1:17">
      <c r="A80" s="20"/>
      <c r="B80" s="19"/>
      <c r="C80" s="258" t="s">
        <v>21</v>
      </c>
      <c r="D80" s="10"/>
      <c r="E80" s="530">
        <f>D79</f>
        <v>27235000</v>
      </c>
      <c r="F80" s="530"/>
      <c r="G80" s="530"/>
      <c r="H80" s="530"/>
      <c r="J80" s="20"/>
      <c r="K80" s="19"/>
      <c r="L80" s="262" t="s">
        <v>21</v>
      </c>
      <c r="M80" s="10"/>
      <c r="N80" s="530">
        <f>M79</f>
        <v>27235000</v>
      </c>
      <c r="O80" s="530"/>
      <c r="P80" s="530"/>
      <c r="Q80" s="530"/>
    </row>
    <row r="81" spans="1:17" hidden="1">
      <c r="A81" s="524" t="s">
        <v>453</v>
      </c>
      <c r="B81" s="524"/>
      <c r="C81" s="524"/>
      <c r="D81" s="524"/>
      <c r="E81" s="524"/>
      <c r="F81" s="524"/>
      <c r="G81" s="524"/>
      <c r="H81" s="524"/>
      <c r="J81" s="524" t="s">
        <v>453</v>
      </c>
      <c r="K81" s="524"/>
      <c r="L81" s="524"/>
      <c r="M81" s="524"/>
      <c r="N81" s="524"/>
      <c r="O81" s="524"/>
      <c r="P81" s="524"/>
      <c r="Q81" s="524"/>
    </row>
    <row r="82" spans="1:17" hidden="1">
      <c r="A82" s="28"/>
      <c r="B82" s="23"/>
      <c r="C82" s="23"/>
      <c r="D82" s="23"/>
      <c r="E82" s="28"/>
      <c r="F82" s="28"/>
      <c r="G82" s="28"/>
      <c r="H82" s="28"/>
      <c r="J82" s="28"/>
      <c r="K82" s="23"/>
      <c r="L82" s="23"/>
      <c r="M82" s="23"/>
      <c r="N82" s="28"/>
      <c r="O82" s="28"/>
      <c r="P82" s="28"/>
      <c r="Q82" s="28"/>
    </row>
    <row r="83" spans="1:17" hidden="1">
      <c r="A83" s="28"/>
      <c r="B83" s="23"/>
      <c r="C83" s="23"/>
      <c r="D83" s="23"/>
      <c r="E83" s="28"/>
      <c r="F83" s="28"/>
      <c r="G83" s="28"/>
      <c r="H83" s="28"/>
      <c r="J83" s="28"/>
      <c r="K83" s="23"/>
      <c r="L83" s="23"/>
      <c r="M83" s="23"/>
      <c r="N83" s="28"/>
      <c r="O83" s="28"/>
      <c r="P83" s="28"/>
      <c r="Q83" s="28"/>
    </row>
    <row r="84" spans="1:17" hidden="1">
      <c r="A84" s="12"/>
      <c r="B84" s="19"/>
      <c r="C84" s="24"/>
      <c r="D84" s="23"/>
      <c r="E84" s="258"/>
      <c r="F84" s="258"/>
      <c r="G84" s="258"/>
      <c r="H84" s="258"/>
      <c r="J84" s="12"/>
      <c r="K84" s="19"/>
      <c r="L84" s="24"/>
      <c r="M84" s="23"/>
      <c r="N84" s="262"/>
      <c r="O84" s="262"/>
      <c r="P84" s="262"/>
      <c r="Q84" s="262"/>
    </row>
    <row r="85" spans="1:17" hidden="1">
      <c r="A85" s="12"/>
      <c r="B85" s="13"/>
      <c r="C85" s="26" t="s">
        <v>196</v>
      </c>
      <c r="D85" s="27">
        <f>SUM(D82:D84)</f>
        <v>0</v>
      </c>
      <c r="E85" s="27">
        <v>0</v>
      </c>
      <c r="F85" s="27">
        <v>0</v>
      </c>
      <c r="G85" s="27"/>
      <c r="H85" s="27"/>
      <c r="J85" s="12"/>
      <c r="K85" s="13"/>
      <c r="L85" s="26" t="s">
        <v>196</v>
      </c>
      <c r="M85" s="27">
        <f>SUM(M82:M84)</f>
        <v>0</v>
      </c>
      <c r="N85" s="27">
        <v>0</v>
      </c>
      <c r="O85" s="27">
        <v>0</v>
      </c>
      <c r="P85" s="27"/>
      <c r="Q85" s="27"/>
    </row>
    <row r="86" spans="1:17" hidden="1">
      <c r="A86" s="20"/>
      <c r="B86" s="19"/>
      <c r="C86" s="258" t="s">
        <v>21</v>
      </c>
      <c r="D86" s="10"/>
      <c r="E86" s="530">
        <f>D85</f>
        <v>0</v>
      </c>
      <c r="F86" s="530"/>
      <c r="G86" s="530"/>
      <c r="H86" s="530"/>
      <c r="J86" s="20"/>
      <c r="K86" s="19"/>
      <c r="L86" s="262" t="s">
        <v>21</v>
      </c>
      <c r="M86" s="10"/>
      <c r="N86" s="530">
        <f>M85</f>
        <v>0</v>
      </c>
      <c r="O86" s="530"/>
      <c r="P86" s="530"/>
      <c r="Q86" s="530"/>
    </row>
    <row r="87" spans="1:17">
      <c r="A87" s="527" t="s">
        <v>26</v>
      </c>
      <c r="B87" s="528"/>
      <c r="C87" s="528"/>
      <c r="D87" s="528"/>
      <c r="E87" s="528"/>
      <c r="F87" s="528"/>
      <c r="G87" s="528"/>
      <c r="H87" s="529"/>
      <c r="J87" s="527" t="s">
        <v>26</v>
      </c>
      <c r="K87" s="528"/>
      <c r="L87" s="528"/>
      <c r="M87" s="528"/>
      <c r="N87" s="528"/>
      <c r="O87" s="528"/>
      <c r="P87" s="528"/>
      <c r="Q87" s="529"/>
    </row>
    <row r="88" spans="1:17">
      <c r="A88" s="12"/>
      <c r="B88" s="19" t="s">
        <v>737</v>
      </c>
      <c r="C88" s="24" t="s">
        <v>738</v>
      </c>
      <c r="D88" s="23">
        <v>720000</v>
      </c>
      <c r="E88" s="22"/>
      <c r="F88" s="22"/>
      <c r="G88" s="16"/>
      <c r="H88" s="16"/>
      <c r="J88" s="12"/>
      <c r="K88" s="19" t="s">
        <v>737</v>
      </c>
      <c r="L88" s="24" t="s">
        <v>738</v>
      </c>
      <c r="M88" s="23">
        <v>720000</v>
      </c>
      <c r="N88" s="22"/>
      <c r="O88" s="22"/>
      <c r="P88" s="16"/>
      <c r="Q88" s="16"/>
    </row>
    <row r="89" spans="1:17">
      <c r="A89" s="12"/>
      <c r="B89" s="19" t="s">
        <v>739</v>
      </c>
      <c r="C89" s="24" t="s">
        <v>740</v>
      </c>
      <c r="D89" s="23">
        <v>30000</v>
      </c>
      <c r="E89" s="22"/>
      <c r="F89" s="22"/>
      <c r="G89" s="16"/>
      <c r="H89" s="16"/>
      <c r="J89" s="12"/>
      <c r="K89" s="19" t="s">
        <v>739</v>
      </c>
      <c r="L89" s="24" t="s">
        <v>740</v>
      </c>
      <c r="M89" s="23">
        <v>30000</v>
      </c>
      <c r="N89" s="22"/>
      <c r="O89" s="22"/>
      <c r="P89" s="16"/>
      <c r="Q89" s="16"/>
    </row>
    <row r="90" spans="1:17">
      <c r="A90" s="12"/>
      <c r="B90" s="19" t="s">
        <v>741</v>
      </c>
      <c r="C90" s="24" t="s">
        <v>742</v>
      </c>
      <c r="D90" s="23">
        <v>646000</v>
      </c>
      <c r="E90" s="22"/>
      <c r="F90" s="22"/>
      <c r="G90" s="16"/>
      <c r="H90" s="16"/>
      <c r="J90" s="12"/>
      <c r="K90" s="19" t="s">
        <v>741</v>
      </c>
      <c r="L90" s="24" t="s">
        <v>742</v>
      </c>
      <c r="M90" s="23">
        <v>646000</v>
      </c>
      <c r="N90" s="22"/>
      <c r="O90" s="22"/>
      <c r="P90" s="16"/>
      <c r="Q90" s="16"/>
    </row>
    <row r="91" spans="1:17">
      <c r="A91" s="12"/>
      <c r="B91" s="19" t="s">
        <v>741</v>
      </c>
      <c r="C91" s="24" t="s">
        <v>743</v>
      </c>
      <c r="D91" s="23">
        <v>295000</v>
      </c>
      <c r="E91" s="22"/>
      <c r="F91" s="22"/>
      <c r="G91" s="16"/>
      <c r="H91" s="16"/>
      <c r="J91" s="12"/>
      <c r="K91" s="19" t="s">
        <v>741</v>
      </c>
      <c r="L91" s="24" t="s">
        <v>743</v>
      </c>
      <c r="M91" s="23">
        <v>295000</v>
      </c>
      <c r="N91" s="22"/>
      <c r="O91" s="22"/>
      <c r="P91" s="16"/>
      <c r="Q91" s="16"/>
    </row>
    <row r="92" spans="1:17">
      <c r="A92" s="12"/>
      <c r="B92" s="19" t="s">
        <v>744</v>
      </c>
      <c r="C92" s="24" t="s">
        <v>745</v>
      </c>
      <c r="D92" s="23">
        <v>400500</v>
      </c>
      <c r="E92" s="22"/>
      <c r="F92" s="22"/>
      <c r="G92" s="16"/>
      <c r="H92" s="16"/>
      <c r="J92" s="12"/>
      <c r="K92" s="19" t="s">
        <v>744</v>
      </c>
      <c r="L92" s="24" t="s">
        <v>745</v>
      </c>
      <c r="M92" s="23">
        <v>400500</v>
      </c>
      <c r="N92" s="22"/>
      <c r="O92" s="22"/>
      <c r="P92" s="16"/>
      <c r="Q92" s="16"/>
    </row>
    <row r="93" spans="1:17">
      <c r="A93" s="12"/>
      <c r="B93" s="19"/>
      <c r="C93" s="24"/>
      <c r="D93" s="23"/>
      <c r="E93" s="22"/>
      <c r="F93" s="22"/>
      <c r="G93" s="16"/>
      <c r="H93" s="16"/>
      <c r="J93" s="12"/>
      <c r="K93" s="19"/>
      <c r="L93" s="24"/>
      <c r="M93" s="23"/>
      <c r="N93" s="22"/>
      <c r="O93" s="22"/>
      <c r="P93" s="16"/>
      <c r="Q93" s="16"/>
    </row>
    <row r="94" spans="1:17" hidden="1">
      <c r="A94" s="12"/>
      <c r="B94" s="19"/>
      <c r="C94" s="23"/>
      <c r="D94" s="23"/>
      <c r="E94" s="22"/>
      <c r="F94" s="22"/>
      <c r="G94" s="16"/>
      <c r="H94" s="16"/>
      <c r="J94" s="12"/>
      <c r="K94" s="19"/>
      <c r="L94" s="23"/>
      <c r="M94" s="23"/>
      <c r="N94" s="22"/>
      <c r="O94" s="22"/>
      <c r="P94" s="16"/>
      <c r="Q94" s="16"/>
    </row>
    <row r="95" spans="1:17" hidden="1">
      <c r="A95" s="12"/>
      <c r="B95" s="19"/>
      <c r="C95" s="23"/>
      <c r="D95" s="23"/>
      <c r="E95" s="22"/>
      <c r="F95" s="22"/>
      <c r="G95" s="16"/>
      <c r="H95" s="16"/>
      <c r="J95" s="12"/>
      <c r="K95" s="19"/>
      <c r="L95" s="23"/>
      <c r="M95" s="23"/>
      <c r="N95" s="22"/>
      <c r="O95" s="22"/>
      <c r="P95" s="16"/>
      <c r="Q95" s="16"/>
    </row>
    <row r="96" spans="1:17" hidden="1">
      <c r="A96" s="12"/>
      <c r="B96" s="19"/>
      <c r="C96" s="23"/>
      <c r="D96" s="23"/>
      <c r="E96" s="22"/>
      <c r="F96" s="22"/>
      <c r="G96" s="16"/>
      <c r="H96" s="16"/>
      <c r="J96" s="12"/>
      <c r="K96" s="19"/>
      <c r="L96" s="23"/>
      <c r="M96" s="23"/>
      <c r="N96" s="22"/>
      <c r="O96" s="22"/>
      <c r="P96" s="16"/>
      <c r="Q96" s="16"/>
    </row>
    <row r="97" spans="1:17" hidden="1">
      <c r="A97" s="12"/>
      <c r="B97" s="19"/>
      <c r="C97" s="24"/>
      <c r="D97" s="23"/>
      <c r="E97" s="22"/>
      <c r="F97" s="22"/>
      <c r="G97" s="16"/>
      <c r="H97" s="16"/>
      <c r="J97" s="12"/>
      <c r="K97" s="19"/>
      <c r="L97" s="24"/>
      <c r="M97" s="23"/>
      <c r="N97" s="22"/>
      <c r="O97" s="22"/>
      <c r="P97" s="16"/>
      <c r="Q97" s="16"/>
    </row>
    <row r="98" spans="1:17" hidden="1">
      <c r="A98" s="12"/>
      <c r="B98" s="19"/>
      <c r="C98" s="24"/>
      <c r="D98" s="23"/>
      <c r="E98" s="22"/>
      <c r="F98" s="22"/>
      <c r="G98" s="16"/>
      <c r="H98" s="16"/>
      <c r="J98" s="12"/>
      <c r="K98" s="19"/>
      <c r="L98" s="24"/>
      <c r="M98" s="23"/>
      <c r="N98" s="22"/>
      <c r="O98" s="22"/>
      <c r="P98" s="16"/>
      <c r="Q98" s="16"/>
    </row>
    <row r="99" spans="1:17">
      <c r="A99" s="25"/>
      <c r="B99" s="19"/>
      <c r="C99" s="26" t="s">
        <v>31</v>
      </c>
      <c r="D99" s="27">
        <f>SUM(D88:D98)</f>
        <v>2091500</v>
      </c>
      <c r="E99" s="27"/>
      <c r="F99" s="27"/>
      <c r="G99" s="27"/>
      <c r="H99" s="27"/>
      <c r="J99" s="25"/>
      <c r="K99" s="19"/>
      <c r="L99" s="26" t="s">
        <v>31</v>
      </c>
      <c r="M99" s="27">
        <f>SUM(M88:M98)</f>
        <v>2091500</v>
      </c>
      <c r="N99" s="27"/>
      <c r="O99" s="27"/>
      <c r="P99" s="27"/>
      <c r="Q99" s="27"/>
    </row>
    <row r="100" spans="1:17">
      <c r="A100" s="20"/>
      <c r="B100" s="19"/>
      <c r="C100" s="258" t="s">
        <v>21</v>
      </c>
      <c r="D100" s="10"/>
      <c r="E100" s="530">
        <f>D99</f>
        <v>2091500</v>
      </c>
      <c r="F100" s="530"/>
      <c r="G100" s="530"/>
      <c r="H100" s="530"/>
      <c r="J100" s="20"/>
      <c r="K100" s="19"/>
      <c r="L100" s="262" t="s">
        <v>21</v>
      </c>
      <c r="M100" s="10"/>
      <c r="N100" s="530">
        <f>M99</f>
        <v>2091500</v>
      </c>
      <c r="O100" s="530"/>
      <c r="P100" s="530"/>
      <c r="Q100" s="530"/>
    </row>
    <row r="101" spans="1:17">
      <c r="A101" s="527" t="s">
        <v>32</v>
      </c>
      <c r="B101" s="528"/>
      <c r="C101" s="528"/>
      <c r="D101" s="528"/>
      <c r="E101" s="528"/>
      <c r="F101" s="528"/>
      <c r="G101" s="528"/>
      <c r="H101" s="529"/>
      <c r="J101" s="527" t="s">
        <v>32</v>
      </c>
      <c r="K101" s="528"/>
      <c r="L101" s="528"/>
      <c r="M101" s="528"/>
      <c r="N101" s="528"/>
      <c r="O101" s="528"/>
      <c r="P101" s="528"/>
      <c r="Q101" s="529"/>
    </row>
    <row r="102" spans="1:17">
      <c r="A102" s="12"/>
      <c r="B102" s="13"/>
      <c r="C102" s="22"/>
      <c r="D102" s="22"/>
      <c r="E102" s="258"/>
      <c r="F102" s="258"/>
      <c r="G102" s="258"/>
      <c r="H102" s="258"/>
      <c r="J102" s="12"/>
      <c r="K102" s="13"/>
      <c r="L102" s="22"/>
      <c r="M102" s="22"/>
      <c r="N102" s="262"/>
      <c r="O102" s="262"/>
      <c r="P102" s="262"/>
      <c r="Q102" s="262"/>
    </row>
    <row r="103" spans="1:17">
      <c r="A103" s="12"/>
      <c r="B103" s="13"/>
      <c r="C103" s="22"/>
      <c r="D103" s="22"/>
      <c r="E103" s="258"/>
      <c r="F103" s="258"/>
      <c r="G103" s="258"/>
      <c r="H103" s="258"/>
      <c r="J103" s="12"/>
      <c r="K103" s="13"/>
      <c r="L103" s="22"/>
      <c r="M103" s="22"/>
      <c r="N103" s="262"/>
      <c r="O103" s="262"/>
      <c r="P103" s="262"/>
      <c r="Q103" s="262"/>
    </row>
    <row r="104" spans="1:17">
      <c r="A104" s="12"/>
      <c r="B104" s="13"/>
      <c r="C104" s="22"/>
      <c r="D104" s="22"/>
      <c r="E104" s="258"/>
      <c r="F104" s="258"/>
      <c r="G104" s="258"/>
      <c r="H104" s="258"/>
      <c r="J104" s="12"/>
      <c r="K104" s="13"/>
      <c r="L104" s="22"/>
      <c r="M104" s="22"/>
      <c r="N104" s="262"/>
      <c r="O104" s="262"/>
      <c r="P104" s="262"/>
      <c r="Q104" s="262"/>
    </row>
    <row r="105" spans="1:17">
      <c r="A105" s="12"/>
      <c r="B105" s="13"/>
      <c r="C105" s="22"/>
      <c r="D105" s="29"/>
      <c r="E105" s="258"/>
      <c r="F105" s="258"/>
      <c r="G105" s="258"/>
      <c r="H105" s="258"/>
      <c r="J105" s="12"/>
      <c r="K105" s="13"/>
      <c r="L105" s="22"/>
      <c r="M105" s="29"/>
      <c r="N105" s="262"/>
      <c r="O105" s="262"/>
      <c r="P105" s="262"/>
      <c r="Q105" s="262"/>
    </row>
    <row r="106" spans="1:17">
      <c r="A106" s="12"/>
      <c r="B106" s="13"/>
      <c r="C106" s="22"/>
      <c r="D106" s="29"/>
      <c r="E106" s="258"/>
      <c r="F106" s="258"/>
      <c r="G106" s="258"/>
      <c r="H106" s="258"/>
      <c r="J106" s="12"/>
      <c r="K106" s="13"/>
      <c r="L106" s="22"/>
      <c r="M106" s="29"/>
      <c r="N106" s="262"/>
      <c r="O106" s="262"/>
      <c r="P106" s="262"/>
      <c r="Q106" s="262"/>
    </row>
    <row r="107" spans="1:17" hidden="1">
      <c r="A107" s="12"/>
      <c r="B107" s="13"/>
      <c r="C107" s="22"/>
      <c r="D107" s="29"/>
      <c r="E107" s="258"/>
      <c r="F107" s="258"/>
      <c r="G107" s="258"/>
      <c r="H107" s="258"/>
      <c r="J107" s="12"/>
      <c r="K107" s="13"/>
      <c r="L107" s="22"/>
      <c r="M107" s="29"/>
      <c r="N107" s="262"/>
      <c r="O107" s="262"/>
      <c r="P107" s="262"/>
      <c r="Q107" s="262"/>
    </row>
    <row r="108" spans="1:17" hidden="1">
      <c r="A108" s="12"/>
      <c r="B108" s="13"/>
      <c r="C108" s="22"/>
      <c r="D108" s="29"/>
      <c r="E108" s="258"/>
      <c r="F108" s="258"/>
      <c r="G108" s="258"/>
      <c r="H108" s="258"/>
      <c r="J108" s="12"/>
      <c r="K108" s="13"/>
      <c r="L108" s="22"/>
      <c r="M108" s="29"/>
      <c r="N108" s="262"/>
      <c r="O108" s="262"/>
      <c r="P108" s="262"/>
      <c r="Q108" s="262"/>
    </row>
    <row r="109" spans="1:17" hidden="1">
      <c r="A109" s="12"/>
      <c r="B109" s="13"/>
      <c r="C109" s="22"/>
      <c r="D109" s="29"/>
      <c r="E109" s="258"/>
      <c r="F109" s="258"/>
      <c r="G109" s="258"/>
      <c r="H109" s="258"/>
      <c r="J109" s="12"/>
      <c r="K109" s="13"/>
      <c r="L109" s="22"/>
      <c r="M109" s="29"/>
      <c r="N109" s="262"/>
      <c r="O109" s="262"/>
      <c r="P109" s="262"/>
      <c r="Q109" s="262"/>
    </row>
    <row r="110" spans="1:17" hidden="1">
      <c r="A110" s="12"/>
      <c r="B110" s="13"/>
      <c r="C110" s="22"/>
      <c r="D110" s="29"/>
      <c r="E110" s="258"/>
      <c r="F110" s="258"/>
      <c r="G110" s="258"/>
      <c r="H110" s="258"/>
      <c r="J110" s="12"/>
      <c r="K110" s="13"/>
      <c r="L110" s="22"/>
      <c r="M110" s="29"/>
      <c r="N110" s="262"/>
      <c r="O110" s="262"/>
      <c r="P110" s="262"/>
      <c r="Q110" s="262"/>
    </row>
    <row r="111" spans="1:17">
      <c r="A111" s="12"/>
      <c r="B111" s="13"/>
      <c r="C111" s="26" t="s">
        <v>34</v>
      </c>
      <c r="D111" s="27">
        <f>SUM(D102:D105)</f>
        <v>0</v>
      </c>
      <c r="E111" s="27">
        <v>0</v>
      </c>
      <c r="F111" s="27">
        <v>0</v>
      </c>
      <c r="G111" s="27"/>
      <c r="H111" s="27"/>
      <c r="J111" s="12"/>
      <c r="K111" s="13"/>
      <c r="L111" s="26" t="s">
        <v>34</v>
      </c>
      <c r="M111" s="27">
        <f>SUM(M102:M105)</f>
        <v>0</v>
      </c>
      <c r="N111" s="27">
        <v>0</v>
      </c>
      <c r="O111" s="27">
        <v>0</v>
      </c>
      <c r="P111" s="27"/>
      <c r="Q111" s="27"/>
    </row>
    <row r="112" spans="1:17">
      <c r="A112" s="20"/>
      <c r="B112" s="19"/>
      <c r="C112" s="258" t="s">
        <v>21</v>
      </c>
      <c r="D112" s="10"/>
      <c r="E112" s="531">
        <f>D111</f>
        <v>0</v>
      </c>
      <c r="F112" s="532"/>
      <c r="G112" s="532"/>
      <c r="H112" s="533"/>
      <c r="J112" s="20"/>
      <c r="K112" s="19"/>
      <c r="L112" s="262" t="s">
        <v>21</v>
      </c>
      <c r="M112" s="10"/>
      <c r="N112" s="531">
        <f>M111</f>
        <v>0</v>
      </c>
      <c r="O112" s="532"/>
      <c r="P112" s="532"/>
      <c r="Q112" s="533"/>
    </row>
    <row r="113" spans="1:17">
      <c r="A113" s="525" t="s">
        <v>35</v>
      </c>
      <c r="B113" s="525"/>
      <c r="C113" s="525"/>
      <c r="D113" s="254"/>
      <c r="E113" s="526">
        <f>E50+E55+E100+E112+E80+E86+E62</f>
        <v>32464500</v>
      </c>
      <c r="F113" s="526"/>
      <c r="G113" s="526"/>
      <c r="H113" s="526"/>
      <c r="J113" s="525" t="s">
        <v>35</v>
      </c>
      <c r="K113" s="525"/>
      <c r="L113" s="525"/>
      <c r="M113" s="260"/>
      <c r="N113" s="526">
        <f>N50+N55+N100+N112+N80+N86+N62</f>
        <v>32549500</v>
      </c>
      <c r="O113" s="526"/>
      <c r="P113" s="526"/>
      <c r="Q113" s="526"/>
    </row>
    <row r="114" spans="1:17">
      <c r="A114" s="522" t="s">
        <v>36</v>
      </c>
      <c r="B114" s="522"/>
      <c r="C114" s="522"/>
      <c r="D114" s="257"/>
      <c r="E114" s="523">
        <f>+E31+E113</f>
        <v>36362312</v>
      </c>
      <c r="F114" s="523"/>
      <c r="G114" s="523"/>
      <c r="H114" s="523"/>
      <c r="J114" s="522" t="s">
        <v>36</v>
      </c>
      <c r="K114" s="522"/>
      <c r="L114" s="522"/>
      <c r="M114" s="259"/>
      <c r="N114" s="523">
        <f>+N31+N113</f>
        <v>36447312</v>
      </c>
      <c r="O114" s="523"/>
      <c r="P114" s="523"/>
      <c r="Q114" s="523"/>
    </row>
    <row r="115" spans="1:17">
      <c r="A115" s="524" t="s">
        <v>32</v>
      </c>
      <c r="B115" s="524"/>
      <c r="C115" s="524"/>
      <c r="D115" s="524"/>
      <c r="E115" s="524"/>
      <c r="F115" s="524"/>
      <c r="G115" s="524"/>
      <c r="H115" s="524"/>
      <c r="J115" s="524" t="s">
        <v>32</v>
      </c>
      <c r="K115" s="524"/>
      <c r="L115" s="524"/>
      <c r="M115" s="524"/>
      <c r="N115" s="524"/>
      <c r="O115" s="524"/>
      <c r="P115" s="524"/>
      <c r="Q115" s="524"/>
    </row>
    <row r="116" spans="1:17">
      <c r="A116" s="33"/>
      <c r="B116" s="13"/>
      <c r="C116" s="22"/>
      <c r="D116" s="22"/>
      <c r="E116" s="22"/>
      <c r="F116" s="22"/>
      <c r="G116" s="16"/>
      <c r="H116" s="16"/>
      <c r="J116" s="33"/>
      <c r="K116" s="13"/>
      <c r="L116" s="22"/>
      <c r="M116" s="22"/>
      <c r="N116" s="22"/>
      <c r="O116" s="22"/>
      <c r="P116" s="16"/>
      <c r="Q116" s="16"/>
    </row>
    <row r="117" spans="1:17">
      <c r="A117" s="33"/>
      <c r="B117" s="13"/>
      <c r="C117" s="22"/>
      <c r="D117" s="22"/>
      <c r="E117" s="22"/>
      <c r="F117" s="22"/>
      <c r="G117" s="16"/>
      <c r="H117" s="16"/>
      <c r="J117" s="33"/>
      <c r="K117" s="13"/>
      <c r="L117" s="22"/>
      <c r="M117" s="22"/>
      <c r="N117" s="22"/>
      <c r="O117" s="22"/>
      <c r="P117" s="16"/>
      <c r="Q117" s="16"/>
    </row>
    <row r="118" spans="1:17">
      <c r="A118" s="33"/>
      <c r="B118" s="13"/>
      <c r="C118" s="22"/>
      <c r="D118" s="22"/>
      <c r="E118" s="22"/>
      <c r="F118" s="22"/>
      <c r="G118" s="16"/>
      <c r="H118" s="16"/>
      <c r="J118" s="33"/>
      <c r="K118" s="13"/>
      <c r="L118" s="22"/>
      <c r="M118" s="22"/>
      <c r="N118" s="22"/>
      <c r="O118" s="22"/>
      <c r="P118" s="16"/>
      <c r="Q118" s="16"/>
    </row>
    <row r="119" spans="1:17">
      <c r="A119" s="20"/>
      <c r="B119" s="13"/>
      <c r="C119" s="22"/>
      <c r="D119" s="22"/>
      <c r="E119" s="22"/>
      <c r="F119" s="16"/>
      <c r="G119" s="16"/>
      <c r="H119" s="16"/>
      <c r="J119" s="20"/>
      <c r="K119" s="13"/>
      <c r="L119" s="22"/>
      <c r="M119" s="22"/>
      <c r="N119" s="22"/>
      <c r="O119" s="16"/>
      <c r="P119" s="16"/>
      <c r="Q119" s="16"/>
    </row>
    <row r="120" spans="1:17">
      <c r="A120" s="20"/>
      <c r="B120" s="13"/>
      <c r="C120" s="22"/>
      <c r="D120" s="22"/>
      <c r="E120" s="22"/>
      <c r="F120" s="16"/>
      <c r="G120" s="16"/>
      <c r="H120" s="16"/>
      <c r="J120" s="20"/>
      <c r="K120" s="13"/>
      <c r="L120" s="22"/>
      <c r="M120" s="22"/>
      <c r="N120" s="22"/>
      <c r="O120" s="16"/>
      <c r="P120" s="16"/>
      <c r="Q120" s="16"/>
    </row>
    <row r="121" spans="1:17">
      <c r="A121" s="525" t="s">
        <v>37</v>
      </c>
      <c r="B121" s="525"/>
      <c r="C121" s="525"/>
      <c r="D121" s="254">
        <f>SUM(D116:D120)</f>
        <v>0</v>
      </c>
      <c r="E121" s="526"/>
      <c r="F121" s="526"/>
      <c r="G121" s="526"/>
      <c r="H121" s="526"/>
      <c r="J121" s="525" t="s">
        <v>37</v>
      </c>
      <c r="K121" s="525"/>
      <c r="L121" s="525"/>
      <c r="M121" s="260">
        <f>SUM(M116:M120)</f>
        <v>0</v>
      </c>
      <c r="N121" s="526"/>
      <c r="O121" s="526"/>
      <c r="P121" s="526"/>
      <c r="Q121" s="526"/>
    </row>
    <row r="122" spans="1:17">
      <c r="A122" s="34" t="s">
        <v>38</v>
      </c>
      <c r="B122" s="35"/>
      <c r="C122" s="254"/>
      <c r="D122" s="254"/>
      <c r="E122" s="255"/>
      <c r="F122" s="255"/>
      <c r="G122" s="526"/>
      <c r="H122" s="526"/>
      <c r="J122" s="34" t="s">
        <v>38</v>
      </c>
      <c r="K122" s="35"/>
      <c r="L122" s="260"/>
      <c r="M122" s="260"/>
      <c r="N122" s="261"/>
      <c r="O122" s="261"/>
      <c r="P122" s="526"/>
      <c r="Q122" s="526"/>
    </row>
    <row r="123" spans="1:17">
      <c r="A123" s="37"/>
      <c r="B123" s="38"/>
      <c r="C123" s="39"/>
      <c r="D123" s="39"/>
      <c r="E123" s="39"/>
      <c r="F123" s="39"/>
      <c r="G123" s="39"/>
      <c r="H123" s="39"/>
      <c r="J123" s="37"/>
      <c r="K123" s="38"/>
      <c r="L123" s="39"/>
      <c r="M123" s="39"/>
      <c r="N123" s="39"/>
      <c r="O123" s="39"/>
      <c r="P123" s="39"/>
      <c r="Q123" s="39"/>
    </row>
    <row r="124" spans="1:17">
      <c r="A124" s="519" t="s">
        <v>13</v>
      </c>
      <c r="B124" s="520"/>
      <c r="C124" s="520"/>
      <c r="D124" s="520"/>
      <c r="E124" s="521"/>
      <c r="F124" s="39"/>
      <c r="G124" s="39"/>
      <c r="H124" s="40"/>
      <c r="J124" s="519" t="s">
        <v>13</v>
      </c>
      <c r="K124" s="520"/>
      <c r="L124" s="520"/>
      <c r="M124" s="520"/>
      <c r="N124" s="521"/>
      <c r="O124" s="39"/>
      <c r="P124" s="39"/>
      <c r="Q124" s="40"/>
    </row>
    <row r="125" spans="1:17">
      <c r="A125" s="41" t="s">
        <v>39</v>
      </c>
      <c r="B125" s="42" t="s">
        <v>40</v>
      </c>
      <c r="C125" s="43" t="s">
        <v>41</v>
      </c>
      <c r="D125" s="43" t="s">
        <v>42</v>
      </c>
      <c r="E125" s="43" t="s">
        <v>43</v>
      </c>
      <c r="F125" s="39"/>
      <c r="G125" s="39"/>
      <c r="H125" s="39"/>
      <c r="J125" s="41" t="s">
        <v>39</v>
      </c>
      <c r="K125" s="42" t="s">
        <v>40</v>
      </c>
      <c r="L125" s="43" t="s">
        <v>41</v>
      </c>
      <c r="M125" s="43" t="s">
        <v>42</v>
      </c>
      <c r="N125" s="43" t="s">
        <v>43</v>
      </c>
      <c r="O125" s="39"/>
      <c r="P125" s="39"/>
      <c r="Q125" s="39"/>
    </row>
    <row r="126" spans="1:17">
      <c r="A126" s="41"/>
      <c r="B126" s="44"/>
      <c r="C126" s="45"/>
      <c r="D126" s="46"/>
      <c r="E126" s="46"/>
      <c r="F126" s="39"/>
      <c r="G126" s="39"/>
      <c r="H126" s="39"/>
      <c r="J126" s="41"/>
      <c r="K126" s="44"/>
      <c r="L126" s="45" t="s">
        <v>750</v>
      </c>
      <c r="M126" s="46">
        <v>36500000</v>
      </c>
      <c r="N126" s="46"/>
      <c r="O126" s="39"/>
      <c r="P126" s="39"/>
      <c r="Q126" s="39"/>
    </row>
    <row r="127" spans="1:17">
      <c r="A127" s="41"/>
      <c r="B127" s="44"/>
      <c r="C127" s="45"/>
      <c r="D127" s="46"/>
      <c r="E127" s="46"/>
      <c r="F127" s="39"/>
      <c r="G127" s="39"/>
      <c r="H127" s="39"/>
      <c r="J127" s="41"/>
      <c r="K127" s="44"/>
      <c r="L127" s="45"/>
      <c r="M127" s="46"/>
      <c r="N127" s="46"/>
      <c r="O127" s="39"/>
      <c r="P127" s="39"/>
      <c r="Q127" s="39"/>
    </row>
    <row r="128" spans="1:17">
      <c r="A128" s="41"/>
      <c r="B128" s="44"/>
      <c r="C128" s="45"/>
      <c r="D128" s="46"/>
      <c r="E128" s="46"/>
      <c r="F128" s="39"/>
      <c r="G128" s="39"/>
      <c r="H128" s="39"/>
      <c r="J128" s="41"/>
      <c r="K128" s="44"/>
      <c r="L128" s="45"/>
      <c r="M128" s="46"/>
      <c r="N128" s="46"/>
      <c r="O128" s="39"/>
      <c r="P128" s="39"/>
      <c r="Q128" s="39"/>
    </row>
    <row r="129" spans="1:17">
      <c r="A129" s="41"/>
      <c r="B129" s="44"/>
      <c r="C129" s="47"/>
      <c r="D129" s="46"/>
      <c r="E129" s="46"/>
      <c r="F129" s="39"/>
      <c r="G129" s="39"/>
      <c r="H129" s="39"/>
      <c r="J129" s="41"/>
      <c r="K129" s="44"/>
      <c r="L129" s="47"/>
      <c r="M129" s="46"/>
      <c r="N129" s="46"/>
      <c r="O129" s="39"/>
      <c r="P129" s="39"/>
      <c r="Q129" s="39"/>
    </row>
    <row r="130" spans="1:17">
      <c r="A130" s="41"/>
      <c r="B130" s="44"/>
      <c r="C130" s="46"/>
      <c r="D130" s="48"/>
      <c r="E130" s="46"/>
      <c r="F130" s="39"/>
      <c r="G130" s="39"/>
      <c r="H130" s="39"/>
      <c r="J130" s="41"/>
      <c r="K130" s="44"/>
      <c r="L130" s="46"/>
      <c r="M130" s="48"/>
      <c r="N130" s="46"/>
      <c r="O130" s="39"/>
      <c r="P130" s="39"/>
      <c r="Q130" s="39"/>
    </row>
    <row r="131" spans="1:17">
      <c r="A131" s="49"/>
      <c r="B131" s="50"/>
      <c r="C131" s="51" t="s">
        <v>44</v>
      </c>
      <c r="D131" s="51">
        <f>SUM(D126:D130)</f>
        <v>0</v>
      </c>
      <c r="E131" s="52"/>
      <c r="F131" s="39"/>
      <c r="G131" s="39"/>
      <c r="H131" s="39"/>
      <c r="J131" s="49"/>
      <c r="K131" s="50"/>
      <c r="L131" s="51" t="s">
        <v>44</v>
      </c>
      <c r="M131" s="51">
        <f>SUM(M126:M130)</f>
        <v>36500000</v>
      </c>
      <c r="N131" s="52"/>
      <c r="O131" s="39"/>
      <c r="P131" s="39"/>
      <c r="Q131" s="39"/>
    </row>
    <row r="132" spans="1:17">
      <c r="A132" s="53"/>
      <c r="B132" s="54"/>
      <c r="C132" s="55"/>
      <c r="D132" s="116"/>
      <c r="E132" s="3"/>
      <c r="F132" s="39"/>
      <c r="G132" s="39"/>
      <c r="H132" s="39"/>
      <c r="J132" s="53"/>
      <c r="K132" s="54"/>
      <c r="L132" s="55" t="s">
        <v>751</v>
      </c>
      <c r="M132" s="116">
        <f>M126-N114</f>
        <v>52688</v>
      </c>
      <c r="N132" s="3"/>
      <c r="O132" s="39"/>
      <c r="P132" s="39"/>
      <c r="Q132" s="39"/>
    </row>
  </sheetData>
  <mergeCells count="66">
    <mergeCell ref="A124:E124"/>
    <mergeCell ref="A114:C114"/>
    <mergeCell ref="E114:H114"/>
    <mergeCell ref="A115:H115"/>
    <mergeCell ref="A121:C121"/>
    <mergeCell ref="E121:H121"/>
    <mergeCell ref="G122:H122"/>
    <mergeCell ref="A87:H87"/>
    <mergeCell ref="E100:H100"/>
    <mergeCell ref="A101:H101"/>
    <mergeCell ref="E112:H112"/>
    <mergeCell ref="A113:C113"/>
    <mergeCell ref="E113:H113"/>
    <mergeCell ref="E86:H86"/>
    <mergeCell ref="A31:D31"/>
    <mergeCell ref="E31:H31"/>
    <mergeCell ref="A32:H32"/>
    <mergeCell ref="E50:H50"/>
    <mergeCell ref="A51:H51"/>
    <mergeCell ref="E55:H55"/>
    <mergeCell ref="A56:H56"/>
    <mergeCell ref="E62:H62"/>
    <mergeCell ref="A63:H63"/>
    <mergeCell ref="E80:H80"/>
    <mergeCell ref="A81:H81"/>
    <mergeCell ref="A3:H3"/>
    <mergeCell ref="A12:G12"/>
    <mergeCell ref="A13:H13"/>
    <mergeCell ref="A14:A15"/>
    <mergeCell ref="B14:B15"/>
    <mergeCell ref="C14:C15"/>
    <mergeCell ref="D14:D15"/>
    <mergeCell ref="E14:H14"/>
    <mergeCell ref="J3:Q3"/>
    <mergeCell ref="J12:P12"/>
    <mergeCell ref="J13:Q13"/>
    <mergeCell ref="J14:J15"/>
    <mergeCell ref="K14:K15"/>
    <mergeCell ref="L14:L15"/>
    <mergeCell ref="M14:M15"/>
    <mergeCell ref="N14:Q14"/>
    <mergeCell ref="J31:M31"/>
    <mergeCell ref="N31:Q31"/>
    <mergeCell ref="J32:Q32"/>
    <mergeCell ref="N50:Q50"/>
    <mergeCell ref="J51:Q51"/>
    <mergeCell ref="N55:Q55"/>
    <mergeCell ref="J56:Q56"/>
    <mergeCell ref="N62:Q62"/>
    <mergeCell ref="J63:Q63"/>
    <mergeCell ref="N80:Q80"/>
    <mergeCell ref="J81:Q81"/>
    <mergeCell ref="N86:Q86"/>
    <mergeCell ref="J87:Q87"/>
    <mergeCell ref="N100:Q100"/>
    <mergeCell ref="J101:Q101"/>
    <mergeCell ref="N112:Q112"/>
    <mergeCell ref="J113:L113"/>
    <mergeCell ref="N113:Q113"/>
    <mergeCell ref="J114:L114"/>
    <mergeCell ref="N114:Q114"/>
    <mergeCell ref="J115:Q115"/>
    <mergeCell ref="J121:L121"/>
    <mergeCell ref="N121:Q121"/>
    <mergeCell ref="P122:Q122"/>
    <mergeCell ref="J124:N124"/>
  </mergeCells>
  <pageMargins left="0.28999999999999998" right="0.11811023622047245" top="0.45" bottom="0.62992125984251968" header="0.11811023622047245" footer="0.31496062992125984"/>
  <pageSetup paperSize="9" scale="70" orientation="portrait" r:id="rId1"/>
  <rowBreaks count="1" manualBreakCount="1">
    <brk id="114" max="7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9"/>
  <sheetViews>
    <sheetView workbookViewId="0"/>
  </sheetViews>
  <sheetFormatPr defaultRowHeight="15"/>
  <cols>
    <col min="1" max="1" width="41.7109375" bestFit="1" customWidth="1"/>
    <col min="2" max="2" width="10.5703125" bestFit="1" customWidth="1"/>
    <col min="3" max="3" width="25" bestFit="1" customWidth="1"/>
    <col min="4" max="4" width="9" bestFit="1" customWidth="1"/>
    <col min="5" max="5" width="84.42578125" bestFit="1" customWidth="1"/>
    <col min="6" max="6" width="10.5703125" bestFit="1" customWidth="1"/>
    <col min="7" max="7" width="72.85546875" bestFit="1" customWidth="1"/>
    <col min="8" max="8" width="11.5703125" bestFit="1" customWidth="1"/>
    <col min="12" max="12" width="11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 s="184" customFormat="1">
      <c r="A2" s="15" t="s">
        <v>720</v>
      </c>
      <c r="B2" s="22">
        <v>120000</v>
      </c>
      <c r="C2" s="15" t="s">
        <v>719</v>
      </c>
      <c r="D2" s="22">
        <v>150000</v>
      </c>
      <c r="E2" s="15" t="s">
        <v>718</v>
      </c>
      <c r="F2" s="22">
        <v>242000</v>
      </c>
      <c r="G2" s="14" t="s">
        <v>180</v>
      </c>
      <c r="H2" s="15">
        <v>1194312</v>
      </c>
      <c r="I2" s="14"/>
      <c r="J2" s="77"/>
    </row>
    <row r="3" spans="1:10" s="184" customFormat="1">
      <c r="A3" s="23" t="s">
        <v>749</v>
      </c>
      <c r="B3" s="23">
        <v>120000</v>
      </c>
      <c r="C3" s="23" t="s">
        <v>410</v>
      </c>
      <c r="D3" s="23">
        <v>300000</v>
      </c>
      <c r="E3" s="15" t="s">
        <v>726</v>
      </c>
      <c r="F3" s="23">
        <v>34000</v>
      </c>
      <c r="G3" s="14" t="s">
        <v>356</v>
      </c>
      <c r="H3" s="15">
        <v>450000</v>
      </c>
      <c r="I3" s="14"/>
      <c r="J3" s="15"/>
    </row>
    <row r="4" spans="1:10" s="184" customFormat="1">
      <c r="A4" s="23" t="s">
        <v>731</v>
      </c>
      <c r="B4" s="23">
        <v>5735000</v>
      </c>
      <c r="C4" s="183"/>
      <c r="D4" s="30"/>
      <c r="E4" s="15" t="s">
        <v>721</v>
      </c>
      <c r="F4" s="23">
        <v>202000</v>
      </c>
      <c r="G4" s="14" t="s">
        <v>19</v>
      </c>
      <c r="H4" s="15">
        <v>503500</v>
      </c>
      <c r="I4" s="183"/>
      <c r="J4" s="30"/>
    </row>
    <row r="5" spans="1:10" s="184" customFormat="1">
      <c r="A5" s="23" t="s">
        <v>263</v>
      </c>
      <c r="B5" s="23">
        <v>660000</v>
      </c>
      <c r="C5" s="30"/>
      <c r="D5" s="185"/>
      <c r="E5" s="15" t="s">
        <v>725</v>
      </c>
      <c r="F5" s="23">
        <v>420000</v>
      </c>
      <c r="G5" s="14" t="s">
        <v>735</v>
      </c>
      <c r="H5" s="15">
        <v>1750000</v>
      </c>
      <c r="I5" s="183"/>
      <c r="J5" s="183"/>
    </row>
    <row r="6" spans="1:10" s="187" customFormat="1">
      <c r="A6" s="24" t="s">
        <v>733</v>
      </c>
      <c r="B6" s="23">
        <v>240000</v>
      </c>
      <c r="C6" s="186"/>
      <c r="D6" s="185"/>
      <c r="E6" s="23" t="s">
        <v>729</v>
      </c>
      <c r="F6" s="23">
        <v>1650000</v>
      </c>
      <c r="G6" s="15" t="s">
        <v>727</v>
      </c>
      <c r="H6" s="23">
        <v>285000</v>
      </c>
      <c r="I6" s="23"/>
      <c r="J6" s="23"/>
    </row>
    <row r="7" spans="1:10" s="187" customFormat="1">
      <c r="A7" s="24" t="s">
        <v>734</v>
      </c>
      <c r="B7" s="23">
        <v>300000</v>
      </c>
      <c r="C7" s="30"/>
      <c r="D7" s="188"/>
      <c r="E7" s="183"/>
      <c r="F7" s="30"/>
      <c r="G7" s="23" t="s">
        <v>732</v>
      </c>
      <c r="H7" s="23">
        <v>20000000</v>
      </c>
      <c r="I7" s="14"/>
      <c r="J7" s="15"/>
    </row>
    <row r="8" spans="1:10" s="187" customFormat="1">
      <c r="A8" s="22"/>
      <c r="B8" s="22"/>
      <c r="C8" s="30"/>
      <c r="D8" s="188"/>
      <c r="E8" s="30"/>
      <c r="F8" s="188"/>
      <c r="G8" s="24" t="s">
        <v>738</v>
      </c>
      <c r="H8" s="23">
        <v>720000</v>
      </c>
      <c r="I8" s="30"/>
      <c r="J8" s="188"/>
    </row>
    <row r="9" spans="1:10" s="187" customFormat="1">
      <c r="A9" s="22"/>
      <c r="B9" s="29"/>
      <c r="C9" s="30"/>
      <c r="D9" s="188"/>
      <c r="E9" s="185"/>
      <c r="F9" s="189"/>
      <c r="G9" s="24" t="s">
        <v>740</v>
      </c>
      <c r="H9" s="23">
        <v>30000</v>
      </c>
      <c r="I9" s="30"/>
      <c r="J9" s="188"/>
    </row>
    <row r="10" spans="1:10" s="187" customFormat="1">
      <c r="A10" s="22"/>
      <c r="B10" s="29"/>
      <c r="C10" s="190"/>
      <c r="D10" s="190"/>
      <c r="E10" s="185"/>
      <c r="F10" s="189"/>
      <c r="G10" s="24" t="s">
        <v>742</v>
      </c>
      <c r="H10" s="23">
        <v>646000</v>
      </c>
      <c r="I10" s="30"/>
      <c r="J10" s="188"/>
    </row>
    <row r="11" spans="1:10" s="187" customFormat="1">
      <c r="A11" s="23"/>
      <c r="B11" s="23"/>
      <c r="C11" s="190"/>
      <c r="D11" s="190"/>
      <c r="E11" s="185"/>
      <c r="F11" s="189"/>
      <c r="G11" s="24" t="s">
        <v>743</v>
      </c>
      <c r="H11" s="23">
        <v>295000</v>
      </c>
      <c r="I11" s="30"/>
      <c r="J11" s="188"/>
    </row>
    <row r="12" spans="1:10" s="187" customFormat="1">
      <c r="A12" s="186"/>
      <c r="B12" s="185"/>
      <c r="C12" s="190"/>
      <c r="D12" s="190"/>
      <c r="E12" s="185"/>
      <c r="F12" s="189"/>
      <c r="G12" s="24" t="s">
        <v>745</v>
      </c>
      <c r="H12" s="23">
        <v>400500</v>
      </c>
      <c r="I12" s="30"/>
      <c r="J12" s="188"/>
    </row>
    <row r="13" spans="1:10" s="187" customFormat="1">
      <c r="A13" s="186"/>
      <c r="B13" s="185"/>
      <c r="C13" s="190"/>
      <c r="D13" s="190"/>
      <c r="E13" s="185"/>
      <c r="F13" s="189"/>
      <c r="G13" s="23"/>
      <c r="H13" s="23"/>
      <c r="I13" s="191"/>
      <c r="J13" s="192"/>
    </row>
    <row r="14" spans="1:10" s="187" customFormat="1">
      <c r="A14" s="193"/>
      <c r="B14" s="194"/>
      <c r="C14" s="194"/>
      <c r="D14" s="194"/>
      <c r="E14" s="194"/>
      <c r="F14" s="194"/>
      <c r="G14" s="23"/>
      <c r="H14" s="23"/>
      <c r="I14" s="193"/>
      <c r="J14" s="194"/>
    </row>
    <row r="15" spans="1:10" s="187" customFormat="1">
      <c r="A15" s="193"/>
      <c r="B15" s="194"/>
      <c r="C15" s="194"/>
      <c r="D15" s="194"/>
      <c r="E15" s="194"/>
      <c r="F15" s="194"/>
      <c r="G15" s="23"/>
      <c r="H15" s="23"/>
      <c r="I15" s="193"/>
      <c r="J15" s="194"/>
    </row>
    <row r="16" spans="1:10" s="187" customFormat="1">
      <c r="A16" s="193"/>
      <c r="B16" s="194"/>
      <c r="C16" s="194"/>
      <c r="D16" s="194"/>
      <c r="E16" s="194"/>
      <c r="F16" s="194"/>
      <c r="G16" s="22"/>
      <c r="H16" s="22"/>
      <c r="I16" s="193"/>
      <c r="J16" s="194"/>
    </row>
    <row r="17" spans="1:12" s="187" customFormat="1">
      <c r="A17" s="193"/>
      <c r="B17" s="194"/>
      <c r="C17" s="194"/>
      <c r="D17" s="194"/>
      <c r="E17" s="194"/>
      <c r="F17" s="194"/>
      <c r="G17" s="15"/>
      <c r="H17" s="23"/>
      <c r="I17" s="193"/>
      <c r="J17" s="194"/>
    </row>
    <row r="18" spans="1:12" s="187" customFormat="1">
      <c r="A18" s="193"/>
      <c r="B18" s="194"/>
      <c r="C18" s="194"/>
      <c r="D18" s="194"/>
      <c r="E18" s="194"/>
      <c r="F18" s="194"/>
      <c r="G18" s="22"/>
      <c r="H18" s="22"/>
      <c r="I18" s="193"/>
      <c r="J18" s="194"/>
    </row>
    <row r="19" spans="1:12" s="187" customFormat="1">
      <c r="A19" s="193"/>
      <c r="B19" s="194"/>
      <c r="C19" s="194"/>
      <c r="D19" s="194"/>
      <c r="E19" s="194"/>
      <c r="F19" s="194"/>
      <c r="G19" s="24"/>
      <c r="H19" s="23"/>
      <c r="I19" s="193"/>
      <c r="J19" s="194"/>
    </row>
    <row r="20" spans="1:12" s="187" customFormat="1">
      <c r="A20" s="193"/>
      <c r="B20" s="194"/>
      <c r="C20" s="194"/>
      <c r="D20" s="194"/>
      <c r="E20" s="194"/>
      <c r="F20" s="194"/>
      <c r="G20" s="186"/>
      <c r="H20" s="185"/>
      <c r="I20" s="193"/>
      <c r="J20" s="194"/>
    </row>
    <row r="21" spans="1:12" s="187" customFormat="1">
      <c r="A21" s="193"/>
      <c r="B21" s="194"/>
      <c r="C21" s="194"/>
      <c r="D21" s="194"/>
      <c r="E21" s="194"/>
      <c r="F21" s="194"/>
      <c r="G21" s="186"/>
      <c r="H21" s="185"/>
      <c r="I21" s="193"/>
      <c r="J21" s="194"/>
    </row>
    <row r="22" spans="1:12" s="187" customFormat="1">
      <c r="A22" s="193"/>
      <c r="B22" s="194"/>
      <c r="C22" s="194"/>
      <c r="D22" s="194"/>
      <c r="E22" s="194"/>
      <c r="F22" s="194"/>
      <c r="G22" s="196"/>
      <c r="H22" s="196"/>
      <c r="I22" s="193"/>
      <c r="J22" s="194"/>
    </row>
    <row r="23" spans="1:12" s="187" customFormat="1">
      <c r="A23" s="193"/>
      <c r="B23" s="194"/>
      <c r="C23" s="194"/>
      <c r="D23" s="194"/>
      <c r="E23" s="194"/>
      <c r="F23" s="194"/>
      <c r="G23" s="196"/>
      <c r="H23" s="196"/>
      <c r="I23" s="193"/>
      <c r="J23" s="194"/>
    </row>
    <row r="24" spans="1:12" s="187" customFormat="1">
      <c r="A24" s="193"/>
      <c r="B24" s="194"/>
      <c r="C24" s="194"/>
      <c r="D24" s="194"/>
      <c r="E24" s="194"/>
      <c r="F24" s="194"/>
      <c r="G24" s="196"/>
      <c r="H24" s="196"/>
      <c r="I24" s="193"/>
      <c r="J24" s="194"/>
    </row>
    <row r="25" spans="1:12" s="187" customFormat="1">
      <c r="A25" s="193"/>
      <c r="B25" s="194"/>
      <c r="C25" s="194"/>
      <c r="D25" s="194"/>
      <c r="E25" s="194"/>
      <c r="F25" s="194"/>
      <c r="G25" s="196"/>
      <c r="H25" s="196"/>
      <c r="I25" s="193"/>
      <c r="J25" s="194"/>
    </row>
    <row r="26" spans="1:12" s="187" customFormat="1">
      <c r="A26" s="193"/>
      <c r="B26" s="194"/>
      <c r="C26" s="194"/>
      <c r="D26" s="194"/>
      <c r="E26" s="194"/>
      <c r="F26" s="194"/>
      <c r="G26" s="196"/>
      <c r="H26" s="196"/>
      <c r="I26" s="193"/>
      <c r="J26" s="194"/>
    </row>
    <row r="27" spans="1:12">
      <c r="A27" s="68"/>
      <c r="B27" s="69"/>
      <c r="C27" s="69"/>
      <c r="D27" s="69"/>
      <c r="E27" s="69"/>
      <c r="F27" s="69"/>
      <c r="G27" s="119"/>
      <c r="H27" s="120"/>
      <c r="I27" s="68"/>
      <c r="J27" s="69"/>
    </row>
    <row r="28" spans="1:12">
      <c r="A28" s="70"/>
      <c r="B28" s="71">
        <f>SUM(B2:B26)</f>
        <v>7175000</v>
      </c>
      <c r="C28" s="71">
        <f t="shared" ref="C28:J28" si="0">SUM(C2:C26)</f>
        <v>0</v>
      </c>
      <c r="D28" s="71">
        <f t="shared" si="0"/>
        <v>450000</v>
      </c>
      <c r="E28" s="71">
        <f t="shared" si="0"/>
        <v>0</v>
      </c>
      <c r="F28" s="71">
        <f t="shared" si="0"/>
        <v>2548000</v>
      </c>
      <c r="G28" s="71">
        <f>SUM(G2:G26)</f>
        <v>0</v>
      </c>
      <c r="H28" s="71">
        <f>SUM(H2:H26)</f>
        <v>26274312</v>
      </c>
      <c r="I28" s="71">
        <f t="shared" si="0"/>
        <v>0</v>
      </c>
      <c r="J28" s="71">
        <f t="shared" si="0"/>
        <v>0</v>
      </c>
      <c r="K28" s="72"/>
      <c r="L28" s="72">
        <f>SUM(B28:K28)</f>
        <v>36447312</v>
      </c>
    </row>
    <row r="29" spans="1:12">
      <c r="L29" s="72">
        <f>L28-Sheet28!N114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137"/>
  <sheetViews>
    <sheetView workbookViewId="0"/>
  </sheetViews>
  <sheetFormatPr defaultRowHeight="15"/>
  <cols>
    <col min="2" max="2" width="10" bestFit="1" customWidth="1"/>
    <col min="3" max="3" width="84.42578125" bestFit="1" customWidth="1"/>
    <col min="4" max="4" width="12" bestFit="1" customWidth="1"/>
    <col min="8" max="8" width="12" bestFit="1" customWidth="1"/>
    <col min="9" max="9" width="11.5703125" bestFit="1" customWidth="1"/>
    <col min="12" max="12" width="11.5703125" bestFit="1" customWidth="1"/>
    <col min="13" max="13" width="54.7109375" bestFit="1" customWidth="1"/>
    <col min="14" max="14" width="12" bestFit="1" customWidth="1"/>
    <col min="15" max="15" width="11" bestFit="1" customWidth="1"/>
    <col min="18" max="18" width="12" bestFit="1" customWidth="1"/>
    <col min="22" max="22" width="11.5703125" bestFit="1" customWidth="1"/>
    <col min="23" max="23" width="54.7109375" bestFit="1" customWidth="1"/>
    <col min="24" max="24" width="12" bestFit="1" customWidth="1"/>
    <col min="25" max="25" width="11" bestFit="1" customWidth="1"/>
    <col min="28" max="28" width="12" bestFit="1" customWidth="1"/>
    <col min="30" max="30" width="11.5703125" bestFit="1" customWidth="1"/>
    <col min="32" max="32" width="11.5703125" bestFit="1" customWidth="1"/>
  </cols>
  <sheetData>
    <row r="1" spans="1:28">
      <c r="A1" s="1" t="s">
        <v>0</v>
      </c>
      <c r="B1" s="2"/>
      <c r="C1" s="3"/>
      <c r="D1" s="3"/>
      <c r="E1" s="3"/>
      <c r="F1" s="3"/>
      <c r="G1" s="3"/>
      <c r="H1" s="3"/>
      <c r="K1" s="1" t="s">
        <v>0</v>
      </c>
      <c r="L1" s="2"/>
      <c r="M1" s="3"/>
      <c r="N1" s="3"/>
      <c r="O1" s="3"/>
      <c r="P1" s="3"/>
      <c r="Q1" s="3"/>
      <c r="R1" s="3"/>
      <c r="U1" s="1" t="s">
        <v>0</v>
      </c>
      <c r="V1" s="2"/>
      <c r="W1" s="3"/>
      <c r="X1" s="3"/>
      <c r="Y1" s="3"/>
      <c r="Z1" s="3"/>
      <c r="AA1" s="3"/>
      <c r="AB1" s="3"/>
    </row>
    <row r="2" spans="1:28">
      <c r="A2" s="1" t="s">
        <v>752</v>
      </c>
      <c r="B2" s="2"/>
      <c r="C2" s="3"/>
      <c r="D2" s="3"/>
      <c r="E2" s="3"/>
      <c r="F2" s="3"/>
      <c r="G2" s="3"/>
      <c r="H2" s="3"/>
      <c r="K2" s="1" t="s">
        <v>752</v>
      </c>
      <c r="L2" s="2"/>
      <c r="M2" s="3"/>
      <c r="N2" s="3"/>
      <c r="O2" s="3"/>
      <c r="P2" s="3"/>
      <c r="Q2" s="3"/>
      <c r="R2" s="3"/>
      <c r="U2" s="1" t="s">
        <v>752</v>
      </c>
      <c r="V2" s="2"/>
      <c r="W2" s="3"/>
      <c r="X2" s="3"/>
      <c r="Y2" s="3"/>
      <c r="Z2" s="3"/>
      <c r="AA2" s="3"/>
      <c r="AB2" s="3"/>
    </row>
    <row r="3" spans="1:28">
      <c r="A3" s="534" t="s">
        <v>1</v>
      </c>
      <c r="B3" s="534"/>
      <c r="C3" s="534"/>
      <c r="D3" s="534"/>
      <c r="E3" s="534"/>
      <c r="F3" s="534"/>
      <c r="G3" s="534"/>
      <c r="H3" s="534"/>
      <c r="K3" s="534" t="s">
        <v>1</v>
      </c>
      <c r="L3" s="534"/>
      <c r="M3" s="534"/>
      <c r="N3" s="534"/>
      <c r="O3" s="534"/>
      <c r="P3" s="534"/>
      <c r="Q3" s="534"/>
      <c r="R3" s="534"/>
      <c r="U3" s="534" t="s">
        <v>1</v>
      </c>
      <c r="V3" s="534"/>
      <c r="W3" s="534"/>
      <c r="X3" s="534"/>
      <c r="Y3" s="534"/>
      <c r="Z3" s="534"/>
      <c r="AA3" s="534"/>
      <c r="AB3" s="534"/>
    </row>
    <row r="4" spans="1:28">
      <c r="A4" s="4"/>
      <c r="B4" s="5"/>
      <c r="C4" s="6" t="s">
        <v>2</v>
      </c>
      <c r="D4" s="7" t="s">
        <v>746</v>
      </c>
      <c r="E4" s="6"/>
      <c r="F4" s="6"/>
      <c r="G4" s="6"/>
      <c r="H4" s="6"/>
      <c r="K4" s="4"/>
      <c r="L4" s="5"/>
      <c r="M4" s="6" t="s">
        <v>2</v>
      </c>
      <c r="N4" s="7" t="s">
        <v>746</v>
      </c>
      <c r="O4" s="6"/>
      <c r="P4" s="6"/>
      <c r="Q4" s="6"/>
      <c r="R4" s="6"/>
      <c r="U4" s="4"/>
      <c r="V4" s="5"/>
      <c r="W4" s="6" t="s">
        <v>2</v>
      </c>
      <c r="X4" s="7" t="s">
        <v>746</v>
      </c>
      <c r="Y4" s="6"/>
      <c r="Z4" s="6"/>
      <c r="AA4" s="6"/>
      <c r="AB4" s="6"/>
    </row>
    <row r="5" spans="1:28">
      <c r="A5" s="4"/>
      <c r="B5" s="5"/>
      <c r="C5" s="6" t="s">
        <v>590</v>
      </c>
      <c r="D5" s="7"/>
      <c r="E5" s="6"/>
      <c r="F5" s="6"/>
      <c r="G5" s="6"/>
      <c r="H5" s="6"/>
      <c r="K5" s="4"/>
      <c r="L5" s="5"/>
      <c r="M5" s="6" t="s">
        <v>590</v>
      </c>
      <c r="N5" s="7"/>
      <c r="O5" s="6"/>
      <c r="P5" s="6"/>
      <c r="Q5" s="6"/>
      <c r="R5" s="6"/>
      <c r="U5" s="4"/>
      <c r="V5" s="5"/>
      <c r="W5" s="6" t="s">
        <v>590</v>
      </c>
      <c r="X5" s="7"/>
      <c r="Y5" s="6"/>
      <c r="Z5" s="6"/>
      <c r="AA5" s="6"/>
      <c r="AB5" s="6"/>
    </row>
    <row r="6" spans="1:28">
      <c r="A6" s="4"/>
      <c r="B6" s="5"/>
      <c r="C6" s="6" t="s">
        <v>3</v>
      </c>
      <c r="D6" s="8">
        <v>104804765</v>
      </c>
      <c r="E6" s="6"/>
      <c r="F6" s="6"/>
      <c r="G6" s="6"/>
      <c r="H6" s="6"/>
      <c r="K6" s="4"/>
      <c r="L6" s="5"/>
      <c r="M6" s="6" t="s">
        <v>3</v>
      </c>
      <c r="N6" s="8">
        <v>104804765</v>
      </c>
      <c r="O6" s="6"/>
      <c r="P6" s="6"/>
      <c r="Q6" s="6"/>
      <c r="R6" s="6"/>
      <c r="U6" s="4"/>
      <c r="V6" s="5"/>
      <c r="W6" s="6" t="s">
        <v>3</v>
      </c>
      <c r="X6" s="8">
        <v>104804765</v>
      </c>
      <c r="Y6" s="6"/>
      <c r="Z6" s="6"/>
      <c r="AA6" s="6"/>
      <c r="AB6" s="6"/>
    </row>
    <row r="7" spans="1:28">
      <c r="A7" s="4"/>
      <c r="B7" s="5"/>
      <c r="C7" s="6" t="s">
        <v>4</v>
      </c>
      <c r="D7" s="115">
        <v>1164811</v>
      </c>
      <c r="E7" s="6"/>
      <c r="F7" s="6"/>
      <c r="G7" s="6"/>
      <c r="H7" s="6"/>
      <c r="K7" s="4"/>
      <c r="L7" s="5"/>
      <c r="M7" s="6" t="s">
        <v>4</v>
      </c>
      <c r="N7" s="115">
        <v>1164811</v>
      </c>
      <c r="O7" s="6"/>
      <c r="P7" s="6"/>
      <c r="Q7" s="6"/>
      <c r="R7" s="6"/>
      <c r="U7" s="4"/>
      <c r="V7" s="5"/>
      <c r="W7" s="6" t="s">
        <v>4</v>
      </c>
      <c r="X7" s="115">
        <v>1164811</v>
      </c>
      <c r="Y7" s="6"/>
      <c r="Z7" s="6"/>
      <c r="AA7" s="6"/>
      <c r="AB7" s="6"/>
    </row>
    <row r="8" spans="1:28">
      <c r="A8" s="4"/>
      <c r="B8" s="5"/>
      <c r="C8" s="6" t="s">
        <v>5</v>
      </c>
      <c r="D8" s="6">
        <v>1146153</v>
      </c>
      <c r="E8" s="6"/>
      <c r="F8" s="6"/>
      <c r="G8" s="6"/>
      <c r="H8" s="6"/>
      <c r="K8" s="4"/>
      <c r="L8" s="5"/>
      <c r="M8" s="6" t="s">
        <v>5</v>
      </c>
      <c r="N8" s="6">
        <v>1146153</v>
      </c>
      <c r="O8" s="6"/>
      <c r="P8" s="6"/>
      <c r="Q8" s="6"/>
      <c r="R8" s="6"/>
      <c r="U8" s="4"/>
      <c r="V8" s="5"/>
      <c r="W8" s="6" t="s">
        <v>5</v>
      </c>
      <c r="X8" s="6">
        <v>1146153</v>
      </c>
      <c r="Y8" s="6"/>
      <c r="Z8" s="6"/>
      <c r="AA8" s="6"/>
      <c r="AB8" s="6"/>
    </row>
    <row r="9" spans="1:28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K9" s="4"/>
      <c r="L9" s="5"/>
      <c r="M9" s="6" t="s">
        <v>6</v>
      </c>
      <c r="N9" s="6">
        <v>3297735.5133333281</v>
      </c>
      <c r="O9" s="6"/>
      <c r="P9" s="6"/>
      <c r="Q9" s="6"/>
      <c r="R9" s="6"/>
      <c r="U9" s="4"/>
      <c r="V9" s="5"/>
      <c r="W9" s="6" t="s">
        <v>6</v>
      </c>
      <c r="X9" s="6">
        <v>3297735.5133333281</v>
      </c>
      <c r="Y9" s="6"/>
      <c r="Z9" s="6"/>
      <c r="AA9" s="6"/>
      <c r="AB9" s="6"/>
    </row>
    <row r="10" spans="1:28">
      <c r="A10" s="4"/>
      <c r="B10" s="5"/>
      <c r="C10" s="6" t="s">
        <v>7</v>
      </c>
      <c r="D10" s="6">
        <v>17000000</v>
      </c>
      <c r="E10" s="6"/>
      <c r="F10" s="6"/>
      <c r="G10" s="6"/>
      <c r="H10" s="6"/>
      <c r="K10" s="4"/>
      <c r="L10" s="5"/>
      <c r="M10" s="6" t="s">
        <v>7</v>
      </c>
      <c r="N10" s="6">
        <v>17000000</v>
      </c>
      <c r="O10" s="6"/>
      <c r="P10" s="6"/>
      <c r="Q10" s="6"/>
      <c r="R10" s="6"/>
      <c r="U10" s="4"/>
      <c r="V10" s="5"/>
      <c r="W10" s="6" t="s">
        <v>7</v>
      </c>
      <c r="X10" s="6">
        <v>17000000</v>
      </c>
      <c r="Y10" s="6"/>
      <c r="Z10" s="6"/>
      <c r="AA10" s="6"/>
      <c r="AB10" s="6"/>
    </row>
    <row r="11" spans="1:28">
      <c r="A11" s="4"/>
      <c r="B11" s="5"/>
      <c r="C11" s="6"/>
      <c r="D11" s="6"/>
      <c r="E11" s="6"/>
      <c r="F11" s="6"/>
      <c r="G11" s="6"/>
      <c r="H11" s="6"/>
      <c r="K11" s="4"/>
      <c r="L11" s="5"/>
      <c r="M11" s="6"/>
      <c r="N11" s="6"/>
      <c r="O11" s="6"/>
      <c r="P11" s="6"/>
      <c r="Q11" s="6"/>
      <c r="R11" s="6"/>
      <c r="U11" s="4"/>
      <c r="V11" s="5"/>
      <c r="W11" s="6"/>
      <c r="X11" s="6"/>
      <c r="Y11" s="6"/>
      <c r="Z11" s="6"/>
      <c r="AA11" s="6"/>
      <c r="AB11" s="6"/>
    </row>
    <row r="12" spans="1:28">
      <c r="A12" s="531" t="s">
        <v>753</v>
      </c>
      <c r="B12" s="532"/>
      <c r="C12" s="532"/>
      <c r="D12" s="532"/>
      <c r="E12" s="532"/>
      <c r="F12" s="532"/>
      <c r="G12" s="533"/>
      <c r="H12" s="10">
        <f>SUM(D4:D10)</f>
        <v>127413464.51333332</v>
      </c>
      <c r="K12" s="531" t="s">
        <v>753</v>
      </c>
      <c r="L12" s="532"/>
      <c r="M12" s="532"/>
      <c r="N12" s="532"/>
      <c r="O12" s="532"/>
      <c r="P12" s="532"/>
      <c r="Q12" s="533"/>
      <c r="R12" s="10">
        <f>SUM(N4:N10)</f>
        <v>127413464.51333332</v>
      </c>
      <c r="U12" s="531" t="s">
        <v>753</v>
      </c>
      <c r="V12" s="532"/>
      <c r="W12" s="532"/>
      <c r="X12" s="532"/>
      <c r="Y12" s="532"/>
      <c r="Z12" s="532"/>
      <c r="AA12" s="533"/>
      <c r="AB12" s="10">
        <f>SUM(X4:X10)</f>
        <v>127413464.51333332</v>
      </c>
    </row>
    <row r="13" spans="1:28">
      <c r="A13" s="535" t="s">
        <v>8</v>
      </c>
      <c r="B13" s="535"/>
      <c r="C13" s="535"/>
      <c r="D13" s="535"/>
      <c r="E13" s="535"/>
      <c r="F13" s="535"/>
      <c r="G13" s="535"/>
      <c r="H13" s="535"/>
      <c r="K13" s="535" t="s">
        <v>8</v>
      </c>
      <c r="L13" s="535"/>
      <c r="M13" s="535"/>
      <c r="N13" s="535"/>
      <c r="O13" s="535"/>
      <c r="P13" s="535"/>
      <c r="Q13" s="535"/>
      <c r="R13" s="535"/>
      <c r="U13" s="535" t="s">
        <v>8</v>
      </c>
      <c r="V13" s="535"/>
      <c r="W13" s="535"/>
      <c r="X13" s="535"/>
      <c r="Y13" s="535"/>
      <c r="Z13" s="535"/>
      <c r="AA13" s="535"/>
      <c r="AB13" s="535"/>
    </row>
    <row r="14" spans="1:28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K14" s="536" t="s">
        <v>9</v>
      </c>
      <c r="L14" s="537" t="s">
        <v>10</v>
      </c>
      <c r="M14" s="538" t="s">
        <v>11</v>
      </c>
      <c r="N14" s="538" t="s">
        <v>12</v>
      </c>
      <c r="O14" s="530" t="s">
        <v>13</v>
      </c>
      <c r="P14" s="530"/>
      <c r="Q14" s="530"/>
      <c r="R14" s="530"/>
      <c r="U14" s="536" t="s">
        <v>9</v>
      </c>
      <c r="V14" s="537" t="s">
        <v>10</v>
      </c>
      <c r="W14" s="538" t="s">
        <v>11</v>
      </c>
      <c r="X14" s="538" t="s">
        <v>12</v>
      </c>
      <c r="Y14" s="530" t="s">
        <v>13</v>
      </c>
      <c r="Z14" s="530"/>
      <c r="AA14" s="530"/>
      <c r="AB14" s="530"/>
    </row>
    <row r="15" spans="1:28">
      <c r="A15" s="536"/>
      <c r="B15" s="537"/>
      <c r="C15" s="538"/>
      <c r="D15" s="538"/>
      <c r="E15" s="267" t="s">
        <v>14</v>
      </c>
      <c r="F15" s="267" t="s">
        <v>15</v>
      </c>
      <c r="G15" s="267" t="s">
        <v>16</v>
      </c>
      <c r="H15" s="267" t="s">
        <v>17</v>
      </c>
      <c r="K15" s="536"/>
      <c r="L15" s="537"/>
      <c r="M15" s="538"/>
      <c r="N15" s="538"/>
      <c r="O15" s="273" t="s">
        <v>14</v>
      </c>
      <c r="P15" s="273" t="s">
        <v>15</v>
      </c>
      <c r="Q15" s="273" t="s">
        <v>16</v>
      </c>
      <c r="R15" s="273" t="s">
        <v>17</v>
      </c>
      <c r="U15" s="536"/>
      <c r="V15" s="537"/>
      <c r="W15" s="538"/>
      <c r="X15" s="538"/>
      <c r="Y15" s="277" t="s">
        <v>14</v>
      </c>
      <c r="Z15" s="277" t="s">
        <v>15</v>
      </c>
      <c r="AA15" s="277" t="s">
        <v>16</v>
      </c>
      <c r="AB15" s="277" t="s">
        <v>17</v>
      </c>
    </row>
    <row r="16" spans="1:28">
      <c r="A16" s="12"/>
      <c r="B16" s="19" t="s">
        <v>736</v>
      </c>
      <c r="C16" s="14" t="s">
        <v>761</v>
      </c>
      <c r="D16" s="15">
        <v>89500</v>
      </c>
      <c r="E16" s="168"/>
      <c r="F16" s="168"/>
      <c r="G16" s="168"/>
      <c r="H16" s="168"/>
      <c r="K16" s="12"/>
      <c r="L16" s="19" t="s">
        <v>736</v>
      </c>
      <c r="M16" s="14" t="s">
        <v>778</v>
      </c>
      <c r="N16" s="15"/>
      <c r="O16" s="168"/>
      <c r="P16" s="168"/>
      <c r="Q16" s="168"/>
      <c r="R16" s="168"/>
      <c r="U16" s="12"/>
      <c r="V16" s="19" t="s">
        <v>736</v>
      </c>
      <c r="W16" s="14" t="s">
        <v>778</v>
      </c>
      <c r="X16" s="15">
        <v>89500</v>
      </c>
      <c r="Y16" s="168"/>
      <c r="Z16" s="168"/>
      <c r="AA16" s="168"/>
      <c r="AB16" s="168"/>
    </row>
    <row r="17" spans="1:28">
      <c r="A17" s="12"/>
      <c r="B17" s="19" t="s">
        <v>766</v>
      </c>
      <c r="C17" s="14" t="s">
        <v>414</v>
      </c>
      <c r="D17" s="15">
        <v>32000</v>
      </c>
      <c r="E17" s="16"/>
      <c r="F17" s="16"/>
      <c r="G17" s="16"/>
      <c r="H17" s="16"/>
      <c r="K17" s="12"/>
      <c r="L17" s="19" t="s">
        <v>766</v>
      </c>
      <c r="M17" s="14" t="s">
        <v>414</v>
      </c>
      <c r="N17" s="15"/>
      <c r="O17" s="16"/>
      <c r="P17" s="16"/>
      <c r="Q17" s="16"/>
      <c r="R17" s="16"/>
      <c r="U17" s="12"/>
      <c r="V17" s="19" t="s">
        <v>766</v>
      </c>
      <c r="W17" s="14" t="s">
        <v>414</v>
      </c>
      <c r="X17" s="15">
        <v>32000</v>
      </c>
      <c r="Y17" s="16"/>
      <c r="Z17" s="16"/>
      <c r="AA17" s="16"/>
      <c r="AB17" s="16"/>
    </row>
    <row r="18" spans="1:28">
      <c r="A18" s="12"/>
      <c r="B18" s="19" t="s">
        <v>767</v>
      </c>
      <c r="C18" s="14" t="s">
        <v>768</v>
      </c>
      <c r="D18" s="15">
        <v>5000000</v>
      </c>
      <c r="E18" s="16"/>
      <c r="F18" s="16"/>
      <c r="G18" s="16"/>
      <c r="H18" s="16"/>
      <c r="K18" s="12"/>
      <c r="L18" s="19" t="s">
        <v>767</v>
      </c>
      <c r="M18" s="14" t="s">
        <v>768</v>
      </c>
      <c r="N18" s="15"/>
      <c r="O18" s="16"/>
      <c r="P18" s="16"/>
      <c r="Q18" s="16"/>
      <c r="R18" s="16"/>
      <c r="U18" s="12"/>
      <c r="V18" s="19" t="s">
        <v>767</v>
      </c>
      <c r="W18" s="14" t="s">
        <v>768</v>
      </c>
      <c r="X18" s="15">
        <v>5000000</v>
      </c>
      <c r="Y18" s="16"/>
      <c r="Z18" s="16"/>
      <c r="AA18" s="16"/>
      <c r="AB18" s="16"/>
    </row>
    <row r="19" spans="1:28">
      <c r="A19" s="12"/>
      <c r="B19" s="19"/>
      <c r="C19" s="14"/>
      <c r="D19" s="15"/>
      <c r="E19" s="16"/>
      <c r="F19" s="16"/>
      <c r="G19" s="16"/>
      <c r="H19" s="16"/>
      <c r="K19" s="12"/>
      <c r="L19" s="19"/>
      <c r="M19" s="14"/>
      <c r="N19" s="15"/>
      <c r="O19" s="16"/>
      <c r="P19" s="16"/>
      <c r="Q19" s="16"/>
      <c r="R19" s="16"/>
      <c r="U19" s="12"/>
      <c r="V19" s="19"/>
      <c r="W19" s="14"/>
      <c r="X19" s="15"/>
      <c r="Y19" s="16"/>
      <c r="Z19" s="16"/>
      <c r="AA19" s="16"/>
      <c r="AB19" s="16"/>
    </row>
    <row r="20" spans="1:28" hidden="1">
      <c r="A20" s="12"/>
      <c r="B20" s="19"/>
      <c r="C20" s="14"/>
      <c r="D20" s="15"/>
      <c r="E20" s="16"/>
      <c r="F20" s="16"/>
      <c r="G20" s="16"/>
      <c r="H20" s="16"/>
      <c r="K20" s="12"/>
      <c r="L20" s="19"/>
      <c r="M20" s="14"/>
      <c r="N20" s="15"/>
      <c r="O20" s="16"/>
      <c r="P20" s="16"/>
      <c r="Q20" s="16"/>
      <c r="R20" s="16"/>
      <c r="U20" s="12"/>
      <c r="V20" s="19"/>
      <c r="W20" s="14"/>
      <c r="X20" s="15"/>
      <c r="Y20" s="16"/>
      <c r="Z20" s="16"/>
      <c r="AA20" s="16"/>
      <c r="AB20" s="16"/>
    </row>
    <row r="21" spans="1:28" hidden="1">
      <c r="A21" s="12"/>
      <c r="B21" s="19"/>
      <c r="C21" s="14"/>
      <c r="D21" s="15"/>
      <c r="E21" s="16"/>
      <c r="F21" s="16"/>
      <c r="G21" s="16"/>
      <c r="H21" s="16"/>
      <c r="K21" s="12"/>
      <c r="L21" s="19"/>
      <c r="M21" s="14"/>
      <c r="N21" s="15"/>
      <c r="O21" s="16"/>
      <c r="P21" s="16"/>
      <c r="Q21" s="16"/>
      <c r="R21" s="16"/>
      <c r="U21" s="12"/>
      <c r="V21" s="19"/>
      <c r="W21" s="14"/>
      <c r="X21" s="15"/>
      <c r="Y21" s="16"/>
      <c r="Z21" s="16"/>
      <c r="AA21" s="16"/>
      <c r="AB21" s="16"/>
    </row>
    <row r="22" spans="1:28" hidden="1">
      <c r="A22" s="12"/>
      <c r="B22" s="19"/>
      <c r="C22" s="14"/>
      <c r="D22" s="15"/>
      <c r="E22" s="16"/>
      <c r="F22" s="16"/>
      <c r="G22" s="16"/>
      <c r="H22" s="16"/>
      <c r="K22" s="12"/>
      <c r="L22" s="19"/>
      <c r="M22" s="14"/>
      <c r="N22" s="15"/>
      <c r="O22" s="16"/>
      <c r="P22" s="16"/>
      <c r="Q22" s="16"/>
      <c r="R22" s="16"/>
      <c r="U22" s="12"/>
      <c r="V22" s="19"/>
      <c r="W22" s="14"/>
      <c r="X22" s="15"/>
      <c r="Y22" s="16"/>
      <c r="Z22" s="16"/>
      <c r="AA22" s="16"/>
      <c r="AB22" s="16"/>
    </row>
    <row r="23" spans="1:28" hidden="1">
      <c r="A23" s="12"/>
      <c r="B23" s="19"/>
      <c r="C23" s="14"/>
      <c r="D23" s="15"/>
      <c r="E23" s="16"/>
      <c r="F23" s="16"/>
      <c r="G23" s="16"/>
      <c r="H23" s="16"/>
      <c r="K23" s="12"/>
      <c r="L23" s="19"/>
      <c r="M23" s="14"/>
      <c r="N23" s="15"/>
      <c r="O23" s="16"/>
      <c r="P23" s="16"/>
      <c r="Q23" s="16"/>
      <c r="R23" s="16"/>
      <c r="U23" s="12"/>
      <c r="V23" s="19"/>
      <c r="W23" s="14"/>
      <c r="X23" s="15"/>
      <c r="Y23" s="16"/>
      <c r="Z23" s="16"/>
      <c r="AA23" s="16"/>
      <c r="AB23" s="16"/>
    </row>
    <row r="24" spans="1:28" hidden="1">
      <c r="A24" s="12"/>
      <c r="B24" s="19"/>
      <c r="C24" s="14"/>
      <c r="D24" s="15"/>
      <c r="E24" s="16"/>
      <c r="F24" s="16"/>
      <c r="G24" s="16"/>
      <c r="H24" s="16"/>
      <c r="K24" s="12"/>
      <c r="L24" s="19"/>
      <c r="M24" s="14"/>
      <c r="N24" s="15"/>
      <c r="O24" s="16"/>
      <c r="P24" s="16"/>
      <c r="Q24" s="16"/>
      <c r="R24" s="16"/>
      <c r="U24" s="12"/>
      <c r="V24" s="19"/>
      <c r="W24" s="14"/>
      <c r="X24" s="15"/>
      <c r="Y24" s="16"/>
      <c r="Z24" s="16"/>
      <c r="AA24" s="16"/>
      <c r="AB24" s="16"/>
    </row>
    <row r="25" spans="1:28" hidden="1">
      <c r="A25" s="12"/>
      <c r="B25" s="19"/>
      <c r="C25" s="14"/>
      <c r="D25" s="15"/>
      <c r="E25" s="16"/>
      <c r="F25" s="16"/>
      <c r="G25" s="16"/>
      <c r="H25" s="16"/>
      <c r="K25" s="12"/>
      <c r="L25" s="19"/>
      <c r="M25" s="14"/>
      <c r="N25" s="15"/>
      <c r="O25" s="16"/>
      <c r="P25" s="16"/>
      <c r="Q25" s="16"/>
      <c r="R25" s="16"/>
      <c r="U25" s="12"/>
      <c r="V25" s="19"/>
      <c r="W25" s="14"/>
      <c r="X25" s="15"/>
      <c r="Y25" s="16"/>
      <c r="Z25" s="16"/>
      <c r="AA25" s="16"/>
      <c r="AB25" s="16"/>
    </row>
    <row r="26" spans="1:28" hidden="1">
      <c r="A26" s="12"/>
      <c r="B26" s="19"/>
      <c r="C26" s="14"/>
      <c r="D26" s="15"/>
      <c r="E26" s="16"/>
      <c r="F26" s="16"/>
      <c r="G26" s="16"/>
      <c r="H26" s="16"/>
      <c r="K26" s="12"/>
      <c r="L26" s="19"/>
      <c r="M26" s="14"/>
      <c r="N26" s="15"/>
      <c r="O26" s="16"/>
      <c r="P26" s="16"/>
      <c r="Q26" s="16"/>
      <c r="R26" s="16"/>
      <c r="U26" s="12"/>
      <c r="V26" s="19"/>
      <c r="W26" s="14"/>
      <c r="X26" s="15"/>
      <c r="Y26" s="16"/>
      <c r="Z26" s="16"/>
      <c r="AA26" s="16"/>
      <c r="AB26" s="16"/>
    </row>
    <row r="27" spans="1:28" hidden="1">
      <c r="A27" s="12"/>
      <c r="B27" s="19"/>
      <c r="C27" s="14"/>
      <c r="D27" s="15"/>
      <c r="E27" s="16"/>
      <c r="F27" s="16"/>
      <c r="G27" s="16"/>
      <c r="H27" s="16"/>
      <c r="K27" s="12"/>
      <c r="L27" s="19"/>
      <c r="M27" s="14"/>
      <c r="N27" s="15"/>
      <c r="O27" s="16"/>
      <c r="P27" s="16"/>
      <c r="Q27" s="16"/>
      <c r="R27" s="16"/>
      <c r="U27" s="12"/>
      <c r="V27" s="19"/>
      <c r="W27" s="14"/>
      <c r="X27" s="15"/>
      <c r="Y27" s="16"/>
      <c r="Z27" s="16"/>
      <c r="AA27" s="16"/>
      <c r="AB27" s="16"/>
    </row>
    <row r="28" spans="1:28" hidden="1">
      <c r="A28" s="12"/>
      <c r="B28" s="19"/>
      <c r="C28" s="14"/>
      <c r="D28" s="15"/>
      <c r="E28" s="16"/>
      <c r="F28" s="16"/>
      <c r="G28" s="16"/>
      <c r="H28" s="16"/>
      <c r="K28" s="12"/>
      <c r="L28" s="19"/>
      <c r="M28" s="14"/>
      <c r="N28" s="15"/>
      <c r="O28" s="16"/>
      <c r="P28" s="16"/>
      <c r="Q28" s="16"/>
      <c r="R28" s="16"/>
      <c r="U28" s="12"/>
      <c r="V28" s="19"/>
      <c r="W28" s="14"/>
      <c r="X28" s="15"/>
      <c r="Y28" s="16"/>
      <c r="Z28" s="16"/>
      <c r="AA28" s="16"/>
      <c r="AB28" s="16"/>
    </row>
    <row r="29" spans="1:28">
      <c r="A29" s="18"/>
      <c r="B29" s="19"/>
      <c r="C29" s="267" t="s">
        <v>20</v>
      </c>
      <c r="D29" s="10">
        <f>SUM(D16:D26)</f>
        <v>5121500</v>
      </c>
      <c r="E29" s="10"/>
      <c r="F29" s="10"/>
      <c r="G29" s="10"/>
      <c r="H29" s="10"/>
      <c r="K29" s="18"/>
      <c r="L29" s="19"/>
      <c r="M29" s="273" t="s">
        <v>20</v>
      </c>
      <c r="N29" s="10">
        <f>SUM(N16:N26)</f>
        <v>0</v>
      </c>
      <c r="O29" s="10"/>
      <c r="P29" s="10"/>
      <c r="Q29" s="10"/>
      <c r="R29" s="10"/>
      <c r="U29" s="18"/>
      <c r="V29" s="19"/>
      <c r="W29" s="277" t="s">
        <v>20</v>
      </c>
      <c r="X29" s="10">
        <f>SUM(X16:X26)</f>
        <v>5121500</v>
      </c>
      <c r="Y29" s="10"/>
      <c r="Z29" s="10"/>
      <c r="AA29" s="10"/>
      <c r="AB29" s="10"/>
    </row>
    <row r="30" spans="1:28">
      <c r="A30" s="20"/>
      <c r="B30" s="268"/>
      <c r="C30" s="152" t="s">
        <v>21</v>
      </c>
      <c r="D30" s="150"/>
      <c r="E30" s="150"/>
      <c r="F30" s="150"/>
      <c r="G30" s="151"/>
      <c r="H30" s="21">
        <f>+D29</f>
        <v>5121500</v>
      </c>
      <c r="K30" s="20"/>
      <c r="L30" s="271"/>
      <c r="M30" s="152" t="s">
        <v>21</v>
      </c>
      <c r="N30" s="150"/>
      <c r="O30" s="150"/>
      <c r="P30" s="150"/>
      <c r="Q30" s="151"/>
      <c r="R30" s="21">
        <f>+N29</f>
        <v>0</v>
      </c>
      <c r="U30" s="20"/>
      <c r="V30" s="278"/>
      <c r="W30" s="152" t="s">
        <v>21</v>
      </c>
      <c r="X30" s="150"/>
      <c r="Y30" s="150"/>
      <c r="Z30" s="150"/>
      <c r="AA30" s="151"/>
      <c r="AB30" s="21">
        <f>+X29</f>
        <v>5121500</v>
      </c>
    </row>
    <row r="31" spans="1:28">
      <c r="A31" s="526" t="s">
        <v>22</v>
      </c>
      <c r="B31" s="526"/>
      <c r="C31" s="526"/>
      <c r="D31" s="526"/>
      <c r="E31" s="526">
        <f>+H30</f>
        <v>5121500</v>
      </c>
      <c r="F31" s="526"/>
      <c r="G31" s="526"/>
      <c r="H31" s="526"/>
      <c r="K31" s="526" t="s">
        <v>22</v>
      </c>
      <c r="L31" s="526"/>
      <c r="M31" s="526"/>
      <c r="N31" s="526"/>
      <c r="O31" s="526">
        <f>+R30</f>
        <v>0</v>
      </c>
      <c r="P31" s="526"/>
      <c r="Q31" s="526"/>
      <c r="R31" s="526"/>
      <c r="U31" s="526" t="s">
        <v>22</v>
      </c>
      <c r="V31" s="526"/>
      <c r="W31" s="526"/>
      <c r="X31" s="526"/>
      <c r="Y31" s="526">
        <f>+AB30</f>
        <v>5121500</v>
      </c>
      <c r="Z31" s="526"/>
      <c r="AA31" s="526"/>
      <c r="AB31" s="526"/>
    </row>
    <row r="32" spans="1:28">
      <c r="A32" s="524" t="s">
        <v>23</v>
      </c>
      <c r="B32" s="524"/>
      <c r="C32" s="524"/>
      <c r="D32" s="524"/>
      <c r="E32" s="524"/>
      <c r="F32" s="524"/>
      <c r="G32" s="524"/>
      <c r="H32" s="524"/>
      <c r="K32" s="524" t="s">
        <v>23</v>
      </c>
      <c r="L32" s="524"/>
      <c r="M32" s="524"/>
      <c r="N32" s="524"/>
      <c r="O32" s="524"/>
      <c r="P32" s="524"/>
      <c r="Q32" s="524"/>
      <c r="R32" s="524"/>
      <c r="U32" s="524" t="s">
        <v>23</v>
      </c>
      <c r="V32" s="524"/>
      <c r="W32" s="524"/>
      <c r="X32" s="524"/>
      <c r="Y32" s="524"/>
      <c r="Z32" s="524"/>
      <c r="AA32" s="524"/>
      <c r="AB32" s="524"/>
    </row>
    <row r="33" spans="1:28">
      <c r="A33" s="12"/>
      <c r="B33" s="19" t="s">
        <v>771</v>
      </c>
      <c r="C33" s="15" t="s">
        <v>769</v>
      </c>
      <c r="D33" s="22">
        <v>650000</v>
      </c>
      <c r="E33" s="22"/>
      <c r="F33" s="22"/>
      <c r="G33" s="16"/>
      <c r="H33" s="16"/>
      <c r="K33" s="12"/>
      <c r="L33" s="19" t="s">
        <v>771</v>
      </c>
      <c r="M33" s="15" t="s">
        <v>769</v>
      </c>
      <c r="N33" s="22"/>
      <c r="O33" s="22"/>
      <c r="P33" s="22"/>
      <c r="Q33" s="16"/>
      <c r="R33" s="16"/>
      <c r="U33" s="12"/>
      <c r="V33" s="19" t="s">
        <v>771</v>
      </c>
      <c r="W33" s="15" t="s">
        <v>769</v>
      </c>
      <c r="X33" s="22">
        <v>650000</v>
      </c>
      <c r="Y33" s="22"/>
      <c r="Z33" s="22"/>
      <c r="AA33" s="16"/>
      <c r="AB33" s="16"/>
    </row>
    <row r="34" spans="1:28">
      <c r="A34" s="12"/>
      <c r="B34" s="19" t="s">
        <v>771</v>
      </c>
      <c r="C34" s="15" t="s">
        <v>770</v>
      </c>
      <c r="D34" s="22">
        <v>1661000</v>
      </c>
      <c r="E34" s="22"/>
      <c r="F34" s="22"/>
      <c r="G34" s="16"/>
      <c r="H34" s="16"/>
      <c r="K34" s="12"/>
      <c r="L34" s="19" t="s">
        <v>771</v>
      </c>
      <c r="M34" s="15" t="s">
        <v>770</v>
      </c>
      <c r="N34" s="22">
        <v>1108000</v>
      </c>
      <c r="O34" s="22"/>
      <c r="P34" s="22"/>
      <c r="Q34" s="16"/>
      <c r="R34" s="16"/>
      <c r="U34" s="12"/>
      <c r="V34" s="19" t="s">
        <v>771</v>
      </c>
      <c r="W34" s="15" t="s">
        <v>770</v>
      </c>
      <c r="X34" s="22"/>
      <c r="Y34" s="22"/>
      <c r="Z34" s="22"/>
      <c r="AA34" s="16"/>
      <c r="AB34" s="16"/>
    </row>
    <row r="35" spans="1:28">
      <c r="A35" s="12"/>
      <c r="B35" s="19" t="s">
        <v>772</v>
      </c>
      <c r="C35" s="15" t="s">
        <v>773</v>
      </c>
      <c r="D35" s="22">
        <v>550000</v>
      </c>
      <c r="E35" s="22"/>
      <c r="F35" s="22"/>
      <c r="G35" s="16"/>
      <c r="H35" s="16"/>
      <c r="K35" s="12"/>
      <c r="L35" s="19" t="s">
        <v>772</v>
      </c>
      <c r="M35" s="15" t="s">
        <v>773</v>
      </c>
      <c r="N35" s="22"/>
      <c r="O35" s="22"/>
      <c r="P35" s="22"/>
      <c r="Q35" s="16"/>
      <c r="R35" s="16"/>
      <c r="U35" s="12"/>
      <c r="V35" s="19" t="s">
        <v>772</v>
      </c>
      <c r="W35" s="15" t="s">
        <v>773</v>
      </c>
      <c r="X35" s="22">
        <v>550000</v>
      </c>
      <c r="Y35" s="22"/>
      <c r="Z35" s="22"/>
      <c r="AA35" s="16"/>
      <c r="AB35" s="16"/>
    </row>
    <row r="36" spans="1:28">
      <c r="A36" s="12"/>
      <c r="B36" s="19"/>
      <c r="C36" s="15"/>
      <c r="D36" s="23"/>
      <c r="E36" s="22"/>
      <c r="F36" s="22"/>
      <c r="G36" s="16"/>
      <c r="H36" s="16"/>
      <c r="K36" s="12"/>
      <c r="L36" s="19"/>
      <c r="M36" s="15"/>
      <c r="N36" s="23"/>
      <c r="O36" s="22"/>
      <c r="P36" s="22"/>
      <c r="Q36" s="16"/>
      <c r="R36" s="16"/>
      <c r="U36" s="12"/>
      <c r="V36" s="19"/>
      <c r="W36" s="15"/>
      <c r="X36" s="23"/>
      <c r="Y36" s="22"/>
      <c r="Z36" s="22"/>
      <c r="AA36" s="16"/>
      <c r="AB36" s="16"/>
    </row>
    <row r="37" spans="1:28" hidden="1">
      <c r="A37" s="12"/>
      <c r="B37" s="19"/>
      <c r="C37" s="15"/>
      <c r="D37" s="23"/>
      <c r="E37" s="22"/>
      <c r="F37" s="22"/>
      <c r="G37" s="16"/>
      <c r="H37" s="16"/>
      <c r="K37" s="12"/>
      <c r="L37" s="19"/>
      <c r="M37" s="15"/>
      <c r="N37" s="23"/>
      <c r="O37" s="22"/>
      <c r="P37" s="22"/>
      <c r="Q37" s="16"/>
      <c r="R37" s="16"/>
      <c r="U37" s="12"/>
      <c r="V37" s="19"/>
      <c r="W37" s="15"/>
      <c r="X37" s="23"/>
      <c r="Y37" s="22"/>
      <c r="Z37" s="22"/>
      <c r="AA37" s="16"/>
      <c r="AB37" s="16"/>
    </row>
    <row r="38" spans="1:28" hidden="1">
      <c r="A38" s="12"/>
      <c r="B38" s="19"/>
      <c r="C38" s="15"/>
      <c r="D38" s="23"/>
      <c r="E38" s="22"/>
      <c r="F38" s="22"/>
      <c r="G38" s="16"/>
      <c r="H38" s="16"/>
      <c r="K38" s="12"/>
      <c r="L38" s="19"/>
      <c r="M38" s="15"/>
      <c r="N38" s="23"/>
      <c r="O38" s="22"/>
      <c r="P38" s="22"/>
      <c r="Q38" s="16"/>
      <c r="R38" s="16"/>
      <c r="U38" s="12"/>
      <c r="V38" s="19"/>
      <c r="W38" s="15"/>
      <c r="X38" s="23"/>
      <c r="Y38" s="22"/>
      <c r="Z38" s="22"/>
      <c r="AA38" s="16"/>
      <c r="AB38" s="16"/>
    </row>
    <row r="39" spans="1:28" hidden="1">
      <c r="A39" s="12"/>
      <c r="B39" s="19"/>
      <c r="C39" s="15"/>
      <c r="D39" s="23"/>
      <c r="E39" s="22"/>
      <c r="F39" s="22"/>
      <c r="G39" s="16"/>
      <c r="H39" s="16"/>
      <c r="K39" s="12"/>
      <c r="L39" s="19"/>
      <c r="M39" s="15"/>
      <c r="N39" s="23"/>
      <c r="O39" s="22"/>
      <c r="P39" s="22"/>
      <c r="Q39" s="16"/>
      <c r="R39" s="16"/>
      <c r="U39" s="12"/>
      <c r="V39" s="19"/>
      <c r="W39" s="15"/>
      <c r="X39" s="23"/>
      <c r="Y39" s="22"/>
      <c r="Z39" s="22"/>
      <c r="AA39" s="16"/>
      <c r="AB39" s="16"/>
    </row>
    <row r="40" spans="1:28" hidden="1">
      <c r="A40" s="12"/>
      <c r="B40" s="19"/>
      <c r="C40" s="15"/>
      <c r="D40" s="23"/>
      <c r="E40" s="22"/>
      <c r="F40" s="22"/>
      <c r="G40" s="16"/>
      <c r="H40" s="16"/>
      <c r="K40" s="12"/>
      <c r="L40" s="19"/>
      <c r="M40" s="15"/>
      <c r="N40" s="23"/>
      <c r="O40" s="22"/>
      <c r="P40" s="22"/>
      <c r="Q40" s="16"/>
      <c r="R40" s="16"/>
      <c r="U40" s="12"/>
      <c r="V40" s="19"/>
      <c r="W40" s="15"/>
      <c r="X40" s="23"/>
      <c r="Y40" s="22"/>
      <c r="Z40" s="22"/>
      <c r="AA40" s="16"/>
      <c r="AB40" s="16"/>
    </row>
    <row r="41" spans="1:28" hidden="1">
      <c r="A41" s="12"/>
      <c r="B41" s="13"/>
      <c r="C41" s="15"/>
      <c r="D41" s="23"/>
      <c r="E41" s="22"/>
      <c r="F41" s="22"/>
      <c r="G41" s="16"/>
      <c r="H41" s="16"/>
      <c r="K41" s="12"/>
      <c r="L41" s="13"/>
      <c r="M41" s="15"/>
      <c r="N41" s="23"/>
      <c r="O41" s="22"/>
      <c r="P41" s="22"/>
      <c r="Q41" s="16"/>
      <c r="R41" s="16"/>
      <c r="U41" s="12"/>
      <c r="V41" s="13"/>
      <c r="W41" s="15"/>
      <c r="X41" s="23"/>
      <c r="Y41" s="22"/>
      <c r="Z41" s="22"/>
      <c r="AA41" s="16"/>
      <c r="AB41" s="16"/>
    </row>
    <row r="42" spans="1:28" hidden="1">
      <c r="A42" s="12"/>
      <c r="B42" s="13"/>
      <c r="C42" s="15"/>
      <c r="D42" s="23"/>
      <c r="E42" s="22"/>
      <c r="F42" s="22"/>
      <c r="G42" s="16"/>
      <c r="H42" s="16"/>
      <c r="K42" s="12"/>
      <c r="L42" s="13"/>
      <c r="M42" s="15"/>
      <c r="N42" s="23"/>
      <c r="O42" s="22"/>
      <c r="P42" s="22"/>
      <c r="Q42" s="16"/>
      <c r="R42" s="16"/>
      <c r="U42" s="12"/>
      <c r="V42" s="13"/>
      <c r="W42" s="15"/>
      <c r="X42" s="23"/>
      <c r="Y42" s="22"/>
      <c r="Z42" s="22"/>
      <c r="AA42" s="16"/>
      <c r="AB42" s="16"/>
    </row>
    <row r="43" spans="1:28" hidden="1">
      <c r="A43" s="12"/>
      <c r="B43" s="13"/>
      <c r="C43" s="15"/>
      <c r="D43" s="23"/>
      <c r="E43" s="22"/>
      <c r="F43" s="22"/>
      <c r="G43" s="16"/>
      <c r="H43" s="16"/>
      <c r="K43" s="12"/>
      <c r="L43" s="13"/>
      <c r="M43" s="15"/>
      <c r="N43" s="23"/>
      <c r="O43" s="22"/>
      <c r="P43" s="22"/>
      <c r="Q43" s="16"/>
      <c r="R43" s="16"/>
      <c r="U43" s="12"/>
      <c r="V43" s="13"/>
      <c r="W43" s="15"/>
      <c r="X43" s="23"/>
      <c r="Y43" s="22"/>
      <c r="Z43" s="22"/>
      <c r="AA43" s="16"/>
      <c r="AB43" s="16"/>
    </row>
    <row r="44" spans="1:28" hidden="1">
      <c r="A44" s="12"/>
      <c r="B44" s="13"/>
      <c r="C44" s="15"/>
      <c r="D44" s="23"/>
      <c r="E44" s="22"/>
      <c r="F44" s="22"/>
      <c r="G44" s="16"/>
      <c r="H44" s="16"/>
      <c r="K44" s="12"/>
      <c r="L44" s="13"/>
      <c r="M44" s="15"/>
      <c r="N44" s="23"/>
      <c r="O44" s="22"/>
      <c r="P44" s="22"/>
      <c r="Q44" s="16"/>
      <c r="R44" s="16"/>
      <c r="U44" s="12"/>
      <c r="V44" s="13"/>
      <c r="W44" s="15"/>
      <c r="X44" s="23"/>
      <c r="Y44" s="22"/>
      <c r="Z44" s="22"/>
      <c r="AA44" s="16"/>
      <c r="AB44" s="16"/>
    </row>
    <row r="45" spans="1:28" hidden="1">
      <c r="A45" s="12"/>
      <c r="B45" s="13"/>
      <c r="C45" s="15"/>
      <c r="D45" s="23"/>
      <c r="E45" s="22"/>
      <c r="F45" s="22"/>
      <c r="G45" s="16"/>
      <c r="H45" s="16"/>
      <c r="K45" s="12"/>
      <c r="L45" s="13"/>
      <c r="M45" s="15"/>
      <c r="N45" s="23"/>
      <c r="O45" s="22"/>
      <c r="P45" s="22"/>
      <c r="Q45" s="16"/>
      <c r="R45" s="16"/>
      <c r="U45" s="12"/>
      <c r="V45" s="13"/>
      <c r="W45" s="15"/>
      <c r="X45" s="23"/>
      <c r="Y45" s="22"/>
      <c r="Z45" s="22"/>
      <c r="AA45" s="16"/>
      <c r="AB45" s="16"/>
    </row>
    <row r="46" spans="1:28" hidden="1">
      <c r="A46" s="12"/>
      <c r="B46" s="13"/>
      <c r="C46" s="15"/>
      <c r="D46" s="23"/>
      <c r="E46" s="22"/>
      <c r="F46" s="22"/>
      <c r="G46" s="16"/>
      <c r="H46" s="16"/>
      <c r="K46" s="12"/>
      <c r="L46" s="13"/>
      <c r="M46" s="15"/>
      <c r="N46" s="23"/>
      <c r="O46" s="22"/>
      <c r="P46" s="22"/>
      <c r="Q46" s="16"/>
      <c r="R46" s="16"/>
      <c r="U46" s="12"/>
      <c r="V46" s="13"/>
      <c r="W46" s="15"/>
      <c r="X46" s="23"/>
      <c r="Y46" s="22"/>
      <c r="Z46" s="22"/>
      <c r="AA46" s="16"/>
      <c r="AB46" s="16"/>
    </row>
    <row r="47" spans="1:28" hidden="1">
      <c r="A47" s="12"/>
      <c r="B47" s="13"/>
      <c r="C47" s="15"/>
      <c r="D47" s="23"/>
      <c r="E47" s="22"/>
      <c r="F47" s="22"/>
      <c r="G47" s="16"/>
      <c r="H47" s="16"/>
      <c r="K47" s="12"/>
      <c r="L47" s="13"/>
      <c r="M47" s="15"/>
      <c r="N47" s="23"/>
      <c r="O47" s="22"/>
      <c r="P47" s="22"/>
      <c r="Q47" s="16"/>
      <c r="R47" s="16"/>
      <c r="U47" s="12"/>
      <c r="V47" s="13"/>
      <c r="W47" s="15"/>
      <c r="X47" s="23"/>
      <c r="Y47" s="22"/>
      <c r="Z47" s="22"/>
      <c r="AA47" s="16"/>
      <c r="AB47" s="16"/>
    </row>
    <row r="48" spans="1:28" hidden="1">
      <c r="A48" s="12"/>
      <c r="B48" s="13"/>
      <c r="C48" s="15"/>
      <c r="D48" s="23"/>
      <c r="E48" s="22"/>
      <c r="F48" s="22"/>
      <c r="G48" s="16"/>
      <c r="H48" s="16"/>
      <c r="K48" s="12"/>
      <c r="L48" s="13"/>
      <c r="M48" s="15"/>
      <c r="N48" s="23"/>
      <c r="O48" s="22"/>
      <c r="P48" s="22"/>
      <c r="Q48" s="16"/>
      <c r="R48" s="16"/>
      <c r="U48" s="12"/>
      <c r="V48" s="13"/>
      <c r="W48" s="15"/>
      <c r="X48" s="23"/>
      <c r="Y48" s="22"/>
      <c r="Z48" s="22"/>
      <c r="AA48" s="16"/>
      <c r="AB48" s="16"/>
    </row>
    <row r="49" spans="1:32">
      <c r="A49" s="25"/>
      <c r="B49" s="19"/>
      <c r="C49" s="26" t="s">
        <v>24</v>
      </c>
      <c r="D49" s="27">
        <f>SUM(D33:D48)</f>
        <v>2861000</v>
      </c>
      <c r="E49" s="27"/>
      <c r="F49" s="27"/>
      <c r="G49" s="27"/>
      <c r="H49" s="27"/>
      <c r="K49" s="25"/>
      <c r="L49" s="19"/>
      <c r="M49" s="26" t="s">
        <v>24</v>
      </c>
      <c r="N49" s="27">
        <f>SUM(N33:N48)</f>
        <v>1108000</v>
      </c>
      <c r="O49" s="27"/>
      <c r="P49" s="27"/>
      <c r="Q49" s="27"/>
      <c r="R49" s="27"/>
      <c r="U49" s="25"/>
      <c r="V49" s="19"/>
      <c r="W49" s="26" t="s">
        <v>24</v>
      </c>
      <c r="X49" s="27">
        <f>SUM(X33:X48)</f>
        <v>1200000</v>
      </c>
      <c r="Y49" s="27"/>
      <c r="Z49" s="27"/>
      <c r="AA49" s="27"/>
      <c r="AB49" s="27"/>
    </row>
    <row r="50" spans="1:32">
      <c r="A50" s="20"/>
      <c r="B50" s="19"/>
      <c r="C50" s="267" t="s">
        <v>21</v>
      </c>
      <c r="D50" s="10"/>
      <c r="E50" s="530">
        <f>D49</f>
        <v>2861000</v>
      </c>
      <c r="F50" s="530"/>
      <c r="G50" s="530"/>
      <c r="H50" s="530"/>
      <c r="K50" s="20"/>
      <c r="L50" s="19"/>
      <c r="M50" s="273" t="s">
        <v>21</v>
      </c>
      <c r="N50" s="10"/>
      <c r="O50" s="530">
        <f>N49</f>
        <v>1108000</v>
      </c>
      <c r="P50" s="530"/>
      <c r="Q50" s="530"/>
      <c r="R50" s="530"/>
      <c r="U50" s="20"/>
      <c r="V50" s="19"/>
      <c r="W50" s="277" t="s">
        <v>21</v>
      </c>
      <c r="X50" s="10"/>
      <c r="Y50" s="530">
        <f>X49</f>
        <v>1200000</v>
      </c>
      <c r="Z50" s="530"/>
      <c r="AA50" s="530"/>
      <c r="AB50" s="530"/>
    </row>
    <row r="51" spans="1:32" hidden="1">
      <c r="A51" s="524" t="s">
        <v>349</v>
      </c>
      <c r="B51" s="524"/>
      <c r="C51" s="524"/>
      <c r="D51" s="524"/>
      <c r="E51" s="524"/>
      <c r="F51" s="524"/>
      <c r="G51" s="524"/>
      <c r="H51" s="524"/>
      <c r="K51" s="524" t="s">
        <v>349</v>
      </c>
      <c r="L51" s="524"/>
      <c r="M51" s="524"/>
      <c r="N51" s="524"/>
      <c r="O51" s="524"/>
      <c r="P51" s="524"/>
      <c r="Q51" s="524"/>
      <c r="R51" s="524"/>
      <c r="U51" s="524" t="s">
        <v>349</v>
      </c>
      <c r="V51" s="524"/>
      <c r="W51" s="524"/>
      <c r="X51" s="524"/>
      <c r="Y51" s="524"/>
      <c r="Z51" s="524"/>
      <c r="AA51" s="524"/>
      <c r="AB51" s="524"/>
    </row>
    <row r="52" spans="1:32" hidden="1">
      <c r="A52" s="28"/>
      <c r="B52" s="23" t="s">
        <v>717</v>
      </c>
      <c r="C52" s="23" t="s">
        <v>749</v>
      </c>
      <c r="D52" s="23"/>
      <c r="E52" s="28"/>
      <c r="F52" s="28"/>
      <c r="G52" s="28"/>
      <c r="H52" s="28"/>
      <c r="K52" s="28"/>
      <c r="L52" s="23" t="s">
        <v>717</v>
      </c>
      <c r="M52" s="23" t="s">
        <v>749</v>
      </c>
      <c r="N52" s="23"/>
      <c r="O52" s="28"/>
      <c r="P52" s="28"/>
      <c r="Q52" s="28"/>
      <c r="R52" s="28"/>
      <c r="U52" s="28"/>
      <c r="V52" s="23" t="s">
        <v>717</v>
      </c>
      <c r="W52" s="23" t="s">
        <v>749</v>
      </c>
      <c r="X52" s="23"/>
      <c r="Y52" s="28"/>
      <c r="Z52" s="28"/>
      <c r="AA52" s="28"/>
      <c r="AB52" s="28"/>
    </row>
    <row r="53" spans="1:32" hidden="1">
      <c r="A53" s="28"/>
      <c r="B53" s="23"/>
      <c r="C53" s="23"/>
      <c r="D53" s="23"/>
      <c r="E53" s="28"/>
      <c r="F53" s="28"/>
      <c r="G53" s="28"/>
      <c r="H53" s="28"/>
      <c r="K53" s="28"/>
      <c r="L53" s="23"/>
      <c r="M53" s="23"/>
      <c r="N53" s="23"/>
      <c r="O53" s="28"/>
      <c r="P53" s="28"/>
      <c r="Q53" s="28"/>
      <c r="R53" s="28"/>
      <c r="U53" s="28"/>
      <c r="V53" s="23"/>
      <c r="W53" s="23"/>
      <c r="X53" s="23"/>
      <c r="Y53" s="28"/>
      <c r="Z53" s="28"/>
      <c r="AA53" s="28"/>
      <c r="AB53" s="28"/>
    </row>
    <row r="54" spans="1:32" hidden="1">
      <c r="A54" s="12"/>
      <c r="B54" s="13"/>
      <c r="C54" s="26" t="s">
        <v>448</v>
      </c>
      <c r="D54" s="27">
        <f>SUM(D52:D53)</f>
        <v>0</v>
      </c>
      <c r="E54" s="27">
        <v>0</v>
      </c>
      <c r="F54" s="27">
        <v>0</v>
      </c>
      <c r="G54" s="27"/>
      <c r="H54" s="27"/>
      <c r="K54" s="12"/>
      <c r="L54" s="13"/>
      <c r="M54" s="26" t="s">
        <v>448</v>
      </c>
      <c r="N54" s="27">
        <f>SUM(N52:N53)</f>
        <v>0</v>
      </c>
      <c r="O54" s="27">
        <v>0</v>
      </c>
      <c r="P54" s="27">
        <v>0</v>
      </c>
      <c r="Q54" s="27"/>
      <c r="R54" s="27"/>
      <c r="U54" s="12"/>
      <c r="V54" s="13"/>
      <c r="W54" s="26" t="s">
        <v>448</v>
      </c>
      <c r="X54" s="27">
        <f>SUM(X52:X53)</f>
        <v>0</v>
      </c>
      <c r="Y54" s="27">
        <v>0</v>
      </c>
      <c r="Z54" s="27">
        <v>0</v>
      </c>
      <c r="AA54" s="27"/>
      <c r="AB54" s="27"/>
    </row>
    <row r="55" spans="1:32" hidden="1">
      <c r="A55" s="20"/>
      <c r="B55" s="19"/>
      <c r="C55" s="267" t="s">
        <v>21</v>
      </c>
      <c r="D55" s="10"/>
      <c r="E55" s="530">
        <f>D54</f>
        <v>0</v>
      </c>
      <c r="F55" s="530"/>
      <c r="G55" s="530"/>
      <c r="H55" s="530"/>
      <c r="K55" s="20"/>
      <c r="L55" s="19"/>
      <c r="M55" s="273" t="s">
        <v>21</v>
      </c>
      <c r="N55" s="10"/>
      <c r="O55" s="530">
        <f>N54</f>
        <v>0</v>
      </c>
      <c r="P55" s="530"/>
      <c r="Q55" s="530"/>
      <c r="R55" s="530"/>
      <c r="U55" s="20"/>
      <c r="V55" s="19"/>
      <c r="W55" s="277" t="s">
        <v>21</v>
      </c>
      <c r="X55" s="10"/>
      <c r="Y55" s="530">
        <f>X54</f>
        <v>0</v>
      </c>
      <c r="Z55" s="530"/>
      <c r="AA55" s="530"/>
      <c r="AB55" s="530"/>
    </row>
    <row r="56" spans="1:32">
      <c r="A56" s="524" t="s">
        <v>694</v>
      </c>
      <c r="B56" s="524"/>
      <c r="C56" s="524"/>
      <c r="D56" s="524"/>
      <c r="E56" s="524"/>
      <c r="F56" s="524"/>
      <c r="G56" s="524"/>
      <c r="H56" s="524"/>
      <c r="K56" s="524" t="s">
        <v>694</v>
      </c>
      <c r="L56" s="524"/>
      <c r="M56" s="524"/>
      <c r="N56" s="524"/>
      <c r="O56" s="524"/>
      <c r="P56" s="524"/>
      <c r="Q56" s="524"/>
      <c r="R56" s="524"/>
      <c r="U56" s="524" t="s">
        <v>694</v>
      </c>
      <c r="V56" s="524"/>
      <c r="W56" s="524"/>
      <c r="X56" s="524"/>
      <c r="Y56" s="524"/>
      <c r="Z56" s="524"/>
      <c r="AA56" s="524"/>
      <c r="AB56" s="524"/>
    </row>
    <row r="57" spans="1:32">
      <c r="A57" s="28"/>
      <c r="B57" s="19" t="s">
        <v>728</v>
      </c>
      <c r="C57" s="23" t="s">
        <v>774</v>
      </c>
      <c r="D57" s="23">
        <v>2360000</v>
      </c>
      <c r="E57" s="28"/>
      <c r="F57" s="28"/>
      <c r="G57" s="28"/>
      <c r="H57" s="28"/>
      <c r="K57" s="28"/>
      <c r="L57" s="19" t="s">
        <v>728</v>
      </c>
      <c r="M57" s="23" t="s">
        <v>774</v>
      </c>
      <c r="N57" s="23"/>
      <c r="O57" s="28"/>
      <c r="P57" s="28"/>
      <c r="Q57" s="28"/>
      <c r="R57" s="28"/>
      <c r="U57" s="28"/>
      <c r="V57" s="19" t="s">
        <v>728</v>
      </c>
      <c r="W57" s="23" t="s">
        <v>774</v>
      </c>
      <c r="X57" s="23">
        <v>2360000</v>
      </c>
      <c r="Y57" s="28"/>
      <c r="Z57" s="28"/>
      <c r="AA57" s="28"/>
      <c r="AB57" s="28"/>
    </row>
    <row r="58" spans="1:32">
      <c r="A58" s="28"/>
      <c r="B58" s="23"/>
      <c r="C58" s="23"/>
      <c r="D58" s="23"/>
      <c r="E58" s="28"/>
      <c r="F58" s="28"/>
      <c r="G58" s="28"/>
      <c r="H58" s="28"/>
      <c r="K58" s="28"/>
      <c r="L58" s="23"/>
      <c r="M58" s="23"/>
      <c r="N58" s="23"/>
      <c r="O58" s="28"/>
      <c r="P58" s="28"/>
      <c r="Q58" s="28"/>
      <c r="R58" s="28"/>
      <c r="U58" s="28"/>
      <c r="V58" s="23"/>
      <c r="W58" s="23"/>
      <c r="X58" s="23"/>
      <c r="Y58" s="28"/>
      <c r="Z58" s="28"/>
      <c r="AA58" s="28"/>
      <c r="AB58" s="28"/>
    </row>
    <row r="59" spans="1:32" hidden="1">
      <c r="A59" s="28"/>
      <c r="B59" s="23"/>
      <c r="C59" s="23"/>
      <c r="D59" s="23"/>
      <c r="E59" s="28"/>
      <c r="F59" s="28"/>
      <c r="G59" s="28"/>
      <c r="H59" s="28"/>
      <c r="K59" s="28"/>
      <c r="L59" s="23"/>
      <c r="M59" s="23"/>
      <c r="N59" s="23"/>
      <c r="O59" s="28"/>
      <c r="P59" s="28"/>
      <c r="Q59" s="28"/>
      <c r="R59" s="28"/>
      <c r="U59" s="28"/>
      <c r="V59" s="23"/>
      <c r="W59" s="23"/>
      <c r="X59" s="23"/>
      <c r="Y59" s="28"/>
      <c r="Z59" s="28"/>
      <c r="AA59" s="28"/>
      <c r="AB59" s="28"/>
    </row>
    <row r="60" spans="1:32" hidden="1">
      <c r="A60" s="28"/>
      <c r="B60" s="23"/>
      <c r="C60" s="23"/>
      <c r="D60" s="23"/>
      <c r="E60" s="28"/>
      <c r="F60" s="28"/>
      <c r="G60" s="28"/>
      <c r="H60" s="28"/>
      <c r="K60" s="28"/>
      <c r="L60" s="23"/>
      <c r="M60" s="23"/>
      <c r="N60" s="23"/>
      <c r="O60" s="28"/>
      <c r="P60" s="28"/>
      <c r="Q60" s="28"/>
      <c r="R60" s="28"/>
      <c r="U60" s="28"/>
      <c r="V60" s="23"/>
      <c r="W60" s="23"/>
      <c r="X60" s="23"/>
      <c r="Y60" s="28"/>
      <c r="Z60" s="28"/>
      <c r="AA60" s="28"/>
      <c r="AB60" s="28"/>
    </row>
    <row r="61" spans="1:32">
      <c r="A61" s="12"/>
      <c r="B61" s="13"/>
      <c r="C61" s="26" t="s">
        <v>703</v>
      </c>
      <c r="D61" s="27">
        <f>SUM(D57:D60)</f>
        <v>2360000</v>
      </c>
      <c r="E61" s="27">
        <v>0</v>
      </c>
      <c r="F61" s="27">
        <v>0</v>
      </c>
      <c r="G61" s="27"/>
      <c r="H61" s="27"/>
      <c r="K61" s="12"/>
      <c r="L61" s="13"/>
      <c r="M61" s="26" t="s">
        <v>703</v>
      </c>
      <c r="N61" s="27">
        <f>SUM(N57:N60)</f>
        <v>0</v>
      </c>
      <c r="O61" s="27">
        <v>0</v>
      </c>
      <c r="P61" s="27">
        <v>0</v>
      </c>
      <c r="Q61" s="27"/>
      <c r="R61" s="27"/>
      <c r="U61" s="12"/>
      <c r="V61" s="13"/>
      <c r="W61" s="26" t="s">
        <v>703</v>
      </c>
      <c r="X61" s="27">
        <f>SUM(X57:X60)</f>
        <v>2360000</v>
      </c>
      <c r="Y61" s="27">
        <v>0</v>
      </c>
      <c r="Z61" s="27">
        <v>0</v>
      </c>
      <c r="AA61" s="27"/>
      <c r="AB61" s="27"/>
    </row>
    <row r="62" spans="1:32">
      <c r="A62" s="20"/>
      <c r="B62" s="19"/>
      <c r="C62" s="267" t="s">
        <v>21</v>
      </c>
      <c r="D62" s="10"/>
      <c r="E62" s="530">
        <f>D61</f>
        <v>2360000</v>
      </c>
      <c r="F62" s="530"/>
      <c r="G62" s="530"/>
      <c r="H62" s="530"/>
      <c r="K62" s="20"/>
      <c r="L62" s="19"/>
      <c r="M62" s="273" t="s">
        <v>21</v>
      </c>
      <c r="N62" s="10"/>
      <c r="O62" s="530">
        <f>N61</f>
        <v>0</v>
      </c>
      <c r="P62" s="530"/>
      <c r="Q62" s="530"/>
      <c r="R62" s="530"/>
      <c r="U62" s="20"/>
      <c r="V62" s="19"/>
      <c r="W62" s="277" t="s">
        <v>21</v>
      </c>
      <c r="X62" s="10"/>
      <c r="Y62" s="530">
        <f>X61</f>
        <v>2360000</v>
      </c>
      <c r="Z62" s="530"/>
      <c r="AA62" s="530"/>
      <c r="AB62" s="530"/>
    </row>
    <row r="63" spans="1:32">
      <c r="A63" s="524" t="s">
        <v>54</v>
      </c>
      <c r="B63" s="524"/>
      <c r="C63" s="524"/>
      <c r="D63" s="524"/>
      <c r="E63" s="524"/>
      <c r="F63" s="524"/>
      <c r="G63" s="524"/>
      <c r="H63" s="524"/>
      <c r="K63" s="524" t="s">
        <v>54</v>
      </c>
      <c r="L63" s="524"/>
      <c r="M63" s="524"/>
      <c r="N63" s="524"/>
      <c r="O63" s="524"/>
      <c r="P63" s="524"/>
      <c r="Q63" s="524"/>
      <c r="R63" s="524"/>
      <c r="U63" s="524" t="s">
        <v>54</v>
      </c>
      <c r="V63" s="524"/>
      <c r="W63" s="524"/>
      <c r="X63" s="524"/>
      <c r="Y63" s="524"/>
      <c r="Z63" s="524"/>
      <c r="AA63" s="524"/>
      <c r="AB63" s="524"/>
    </row>
    <row r="64" spans="1:32">
      <c r="A64" s="28"/>
      <c r="B64" s="19" t="s">
        <v>765</v>
      </c>
      <c r="C64" s="24" t="s">
        <v>764</v>
      </c>
      <c r="D64" s="23">
        <f>4600000+300000+15120000+1368000</f>
        <v>21388000</v>
      </c>
      <c r="E64" s="28"/>
      <c r="F64" s="28"/>
      <c r="G64" s="28"/>
      <c r="H64" s="28"/>
      <c r="K64" s="28"/>
      <c r="L64" s="19" t="s">
        <v>765</v>
      </c>
      <c r="M64" s="24" t="s">
        <v>764</v>
      </c>
      <c r="N64" s="28">
        <v>10000000</v>
      </c>
      <c r="O64" s="28"/>
      <c r="P64" s="28"/>
      <c r="Q64" s="28"/>
      <c r="R64" s="280" t="s">
        <v>780</v>
      </c>
      <c r="U64" s="28"/>
      <c r="V64" s="19" t="s">
        <v>765</v>
      </c>
      <c r="W64" s="24" t="s">
        <v>764</v>
      </c>
      <c r="X64" s="23"/>
      <c r="Y64" s="28"/>
      <c r="Z64" s="28"/>
      <c r="AA64" s="28"/>
      <c r="AB64" s="280"/>
      <c r="AD64" s="77">
        <f>10000000</f>
        <v>10000000</v>
      </c>
      <c r="AF64" s="72">
        <f>N64-AD64</f>
        <v>0</v>
      </c>
    </row>
    <row r="65" spans="1:32">
      <c r="A65" s="28"/>
      <c r="B65" s="19" t="s">
        <v>775</v>
      </c>
      <c r="C65" s="23" t="s">
        <v>731</v>
      </c>
      <c r="D65" s="23">
        <v>5765000</v>
      </c>
      <c r="E65" s="28"/>
      <c r="F65" s="28"/>
      <c r="G65" s="28"/>
      <c r="H65" s="28"/>
      <c r="K65" s="28"/>
      <c r="L65" s="19" t="s">
        <v>775</v>
      </c>
      <c r="M65" s="23" t="s">
        <v>731</v>
      </c>
      <c r="N65" s="23"/>
      <c r="O65" s="28"/>
      <c r="P65" s="28"/>
      <c r="Q65" s="28"/>
      <c r="R65" s="28"/>
      <c r="U65" s="28"/>
      <c r="V65" s="19" t="s">
        <v>775</v>
      </c>
      <c r="W65" s="23" t="s">
        <v>731</v>
      </c>
      <c r="X65" s="23">
        <v>5765000</v>
      </c>
      <c r="Y65" s="28"/>
      <c r="Z65" s="28"/>
      <c r="AA65" s="28"/>
      <c r="AB65" s="28"/>
    </row>
    <row r="66" spans="1:32">
      <c r="A66" s="28"/>
      <c r="B66" s="19" t="s">
        <v>775</v>
      </c>
      <c r="C66" s="23" t="s">
        <v>754</v>
      </c>
      <c r="D66" s="23">
        <v>35000000</v>
      </c>
      <c r="E66" s="28"/>
      <c r="F66" s="28"/>
      <c r="G66" s="28"/>
      <c r="H66" s="28"/>
      <c r="K66" s="28"/>
      <c r="L66" s="19" t="s">
        <v>775</v>
      </c>
      <c r="M66" s="23" t="s">
        <v>754</v>
      </c>
      <c r="N66" s="23"/>
      <c r="O66" s="28"/>
      <c r="P66" s="28"/>
      <c r="Q66" s="28"/>
      <c r="R66" s="28"/>
      <c r="U66" s="28"/>
      <c r="V66" s="19" t="s">
        <v>775</v>
      </c>
      <c r="W66" s="23" t="s">
        <v>754</v>
      </c>
      <c r="X66" s="23">
        <v>35000000</v>
      </c>
      <c r="Y66" s="28"/>
      <c r="Z66" s="28"/>
      <c r="AA66" s="28"/>
      <c r="AB66" s="28"/>
    </row>
    <row r="67" spans="1:32">
      <c r="A67" s="12"/>
      <c r="B67" s="19" t="s">
        <v>775</v>
      </c>
      <c r="C67" s="23" t="s">
        <v>755</v>
      </c>
      <c r="D67" s="23">
        <v>50000000</v>
      </c>
      <c r="E67" s="267"/>
      <c r="F67" s="267"/>
      <c r="G67" s="267"/>
      <c r="H67" s="267"/>
      <c r="K67" s="12"/>
      <c r="L67" s="19" t="s">
        <v>775</v>
      </c>
      <c r="M67" s="23" t="s">
        <v>755</v>
      </c>
      <c r="N67" s="23"/>
      <c r="O67" s="273"/>
      <c r="P67" s="273"/>
      <c r="Q67" s="273"/>
      <c r="R67" s="273"/>
      <c r="U67" s="12"/>
      <c r="V67" s="19" t="s">
        <v>775</v>
      </c>
      <c r="W67" s="23" t="s">
        <v>755</v>
      </c>
      <c r="X67" s="23">
        <v>40000000</v>
      </c>
      <c r="Y67" s="277"/>
      <c r="Z67" s="277"/>
      <c r="AA67" s="277"/>
      <c r="AB67" s="277"/>
    </row>
    <row r="68" spans="1:32">
      <c r="A68" s="12"/>
      <c r="B68" s="19" t="s">
        <v>775</v>
      </c>
      <c r="C68" s="23" t="s">
        <v>263</v>
      </c>
      <c r="D68" s="23">
        <f>220000*7</f>
        <v>1540000</v>
      </c>
      <c r="E68" s="267"/>
      <c r="F68" s="267"/>
      <c r="G68" s="267"/>
      <c r="H68" s="267"/>
      <c r="K68" s="12"/>
      <c r="L68" s="19" t="s">
        <v>775</v>
      </c>
      <c r="M68" s="23" t="s">
        <v>263</v>
      </c>
      <c r="N68" s="23"/>
      <c r="O68" s="273"/>
      <c r="P68" s="273"/>
      <c r="Q68" s="273"/>
      <c r="R68" s="273"/>
      <c r="U68" s="12"/>
      <c r="V68" s="19" t="s">
        <v>775</v>
      </c>
      <c r="W68" s="23" t="s">
        <v>263</v>
      </c>
      <c r="X68" s="23">
        <f>220000*7</f>
        <v>1540000</v>
      </c>
      <c r="Y68" s="277"/>
      <c r="Z68" s="277"/>
      <c r="AA68" s="277"/>
      <c r="AB68" s="277"/>
    </row>
    <row r="69" spans="1:32">
      <c r="A69" s="12"/>
      <c r="B69" s="19" t="s">
        <v>775</v>
      </c>
      <c r="C69" s="23" t="s">
        <v>410</v>
      </c>
      <c r="D69" s="23">
        <f>150000*4</f>
        <v>600000</v>
      </c>
      <c r="E69" s="267"/>
      <c r="F69" s="267"/>
      <c r="G69" s="267"/>
      <c r="H69" s="267"/>
      <c r="K69" s="12"/>
      <c r="L69" s="19" t="s">
        <v>775</v>
      </c>
      <c r="M69" s="23" t="s">
        <v>410</v>
      </c>
      <c r="N69" s="23"/>
      <c r="O69" s="273"/>
      <c r="P69" s="273"/>
      <c r="Q69" s="273"/>
      <c r="R69" s="273"/>
      <c r="U69" s="12"/>
      <c r="V69" s="19" t="s">
        <v>775</v>
      </c>
      <c r="W69" s="23" t="s">
        <v>410</v>
      </c>
      <c r="X69" s="23">
        <f>150000*4</f>
        <v>600000</v>
      </c>
      <c r="Y69" s="277"/>
      <c r="Z69" s="277"/>
      <c r="AA69" s="277"/>
      <c r="AB69" s="277"/>
    </row>
    <row r="70" spans="1:32">
      <c r="A70" s="12"/>
      <c r="B70" s="19" t="s">
        <v>775</v>
      </c>
      <c r="C70" s="24" t="s">
        <v>756</v>
      </c>
      <c r="D70" s="23">
        <v>300000</v>
      </c>
      <c r="E70" s="267"/>
      <c r="F70" s="267"/>
      <c r="G70" s="267"/>
      <c r="H70" s="267"/>
      <c r="K70" s="12"/>
      <c r="L70" s="19" t="s">
        <v>775</v>
      </c>
      <c r="M70" s="24" t="s">
        <v>756</v>
      </c>
      <c r="N70" s="23"/>
      <c r="O70" s="273"/>
      <c r="P70" s="273"/>
      <c r="Q70" s="273"/>
      <c r="R70" s="273"/>
      <c r="U70" s="12"/>
      <c r="V70" s="19" t="s">
        <v>775</v>
      </c>
      <c r="W70" s="24" t="s">
        <v>756</v>
      </c>
      <c r="X70" s="23">
        <v>300000</v>
      </c>
      <c r="Y70" s="277"/>
      <c r="Z70" s="277"/>
      <c r="AA70" s="277"/>
      <c r="AB70" s="277"/>
    </row>
    <row r="71" spans="1:32">
      <c r="A71" s="12"/>
      <c r="B71" s="19" t="s">
        <v>775</v>
      </c>
      <c r="C71" s="24" t="s">
        <v>757</v>
      </c>
      <c r="D71" s="23">
        <v>1500000</v>
      </c>
      <c r="E71" s="267"/>
      <c r="F71" s="267"/>
      <c r="G71" s="267"/>
      <c r="H71" s="267"/>
      <c r="K71" s="12"/>
      <c r="L71" s="19" t="s">
        <v>775</v>
      </c>
      <c r="M71" s="24" t="s">
        <v>757</v>
      </c>
      <c r="N71" s="23"/>
      <c r="O71" s="273"/>
      <c r="P71" s="273"/>
      <c r="Q71" s="273"/>
      <c r="R71" s="273"/>
      <c r="U71" s="12"/>
      <c r="V71" s="19" t="s">
        <v>775</v>
      </c>
      <c r="W71" s="24" t="s">
        <v>757</v>
      </c>
      <c r="X71" s="23">
        <v>1500000</v>
      </c>
      <c r="Y71" s="277"/>
      <c r="Z71" s="277"/>
      <c r="AA71" s="277"/>
      <c r="AB71" s="277"/>
    </row>
    <row r="72" spans="1:32">
      <c r="A72" s="12"/>
      <c r="B72" s="19" t="s">
        <v>775</v>
      </c>
      <c r="C72" s="24" t="s">
        <v>758</v>
      </c>
      <c r="D72" s="23">
        <v>500000</v>
      </c>
      <c r="E72" s="267"/>
      <c r="F72" s="267"/>
      <c r="G72" s="267"/>
      <c r="H72" s="267"/>
      <c r="K72" s="12"/>
      <c r="L72" s="19" t="s">
        <v>775</v>
      </c>
      <c r="M72" s="24" t="s">
        <v>758</v>
      </c>
      <c r="N72" s="23"/>
      <c r="O72" s="273"/>
      <c r="P72" s="273"/>
      <c r="Q72" s="273"/>
      <c r="R72" s="273"/>
      <c r="U72" s="12"/>
      <c r="V72" s="19" t="s">
        <v>775</v>
      </c>
      <c r="W72" s="24" t="s">
        <v>758</v>
      </c>
      <c r="X72" s="23">
        <v>500000</v>
      </c>
      <c r="Y72" s="277"/>
      <c r="Z72" s="277"/>
      <c r="AA72" s="277"/>
      <c r="AB72" s="277"/>
    </row>
    <row r="73" spans="1:32">
      <c r="A73" s="12"/>
      <c r="B73" s="19" t="s">
        <v>775</v>
      </c>
      <c r="C73" s="24" t="s">
        <v>759</v>
      </c>
      <c r="D73" s="23">
        <v>600000</v>
      </c>
      <c r="E73" s="267"/>
      <c r="F73" s="267"/>
      <c r="G73" s="267"/>
      <c r="H73" s="267"/>
      <c r="K73" s="12"/>
      <c r="L73" s="19" t="s">
        <v>775</v>
      </c>
      <c r="M73" s="24" t="s">
        <v>759</v>
      </c>
      <c r="N73" s="23"/>
      <c r="O73" s="273"/>
      <c r="P73" s="273"/>
      <c r="Q73" s="273"/>
      <c r="R73" s="273"/>
      <c r="U73" s="12"/>
      <c r="V73" s="19" t="s">
        <v>775</v>
      </c>
      <c r="W73" s="24" t="s">
        <v>759</v>
      </c>
      <c r="X73" s="23">
        <v>600000</v>
      </c>
      <c r="Y73" s="277"/>
      <c r="Z73" s="277"/>
      <c r="AA73" s="277"/>
      <c r="AB73" s="277"/>
    </row>
    <row r="74" spans="1:32">
      <c r="A74" s="12"/>
      <c r="B74" s="19" t="s">
        <v>775</v>
      </c>
      <c r="C74" s="24" t="s">
        <v>762</v>
      </c>
      <c r="D74" s="23">
        <v>500000</v>
      </c>
      <c r="E74" s="267"/>
      <c r="F74" s="267"/>
      <c r="G74" s="267"/>
      <c r="H74" s="267"/>
      <c r="K74" s="12"/>
      <c r="L74" s="19" t="s">
        <v>775</v>
      </c>
      <c r="M74" s="24" t="s">
        <v>762</v>
      </c>
      <c r="N74" s="23"/>
      <c r="O74" s="273"/>
      <c r="P74" s="273"/>
      <c r="Q74" s="273"/>
      <c r="R74" s="273"/>
      <c r="U74" s="12"/>
      <c r="V74" s="19" t="s">
        <v>775</v>
      </c>
      <c r="W74" s="24" t="s">
        <v>762</v>
      </c>
      <c r="X74" s="23">
        <v>500000</v>
      </c>
      <c r="Y74" s="277"/>
      <c r="Z74" s="277"/>
      <c r="AA74" s="277"/>
      <c r="AB74" s="277"/>
    </row>
    <row r="75" spans="1:32">
      <c r="A75" s="12"/>
      <c r="B75" s="19" t="s">
        <v>775</v>
      </c>
      <c r="C75" s="24" t="s">
        <v>760</v>
      </c>
      <c r="D75" s="23">
        <v>750000</v>
      </c>
      <c r="E75" s="267"/>
      <c r="F75" s="267"/>
      <c r="G75" s="267"/>
      <c r="H75" s="267"/>
      <c r="K75" s="12"/>
      <c r="L75" s="19" t="s">
        <v>775</v>
      </c>
      <c r="M75" s="24" t="s">
        <v>760</v>
      </c>
      <c r="N75" s="23"/>
      <c r="O75" s="273"/>
      <c r="P75" s="273"/>
      <c r="Q75" s="273"/>
      <c r="R75" s="273"/>
      <c r="U75" s="12"/>
      <c r="V75" s="19" t="s">
        <v>775</v>
      </c>
      <c r="W75" s="24" t="s">
        <v>760</v>
      </c>
      <c r="X75" s="23">
        <v>750000</v>
      </c>
      <c r="Y75" s="277"/>
      <c r="Z75" s="277"/>
      <c r="AA75" s="277"/>
      <c r="AB75" s="277"/>
    </row>
    <row r="76" spans="1:32">
      <c r="A76" s="12"/>
      <c r="B76" s="19" t="s">
        <v>776</v>
      </c>
      <c r="C76" s="24" t="s">
        <v>763</v>
      </c>
      <c r="D76" s="23">
        <v>66110000</v>
      </c>
      <c r="E76" s="267"/>
      <c r="F76" s="267"/>
      <c r="G76" s="267"/>
      <c r="H76" s="267"/>
      <c r="K76" s="12"/>
      <c r="L76" s="19" t="s">
        <v>776</v>
      </c>
      <c r="M76" s="24" t="s">
        <v>763</v>
      </c>
      <c r="N76" s="277">
        <v>48440000</v>
      </c>
      <c r="O76" s="273"/>
      <c r="P76" s="273"/>
      <c r="Q76" s="273"/>
      <c r="R76" s="280" t="s">
        <v>780</v>
      </c>
      <c r="U76" s="12"/>
      <c r="V76" s="19" t="s">
        <v>776</v>
      </c>
      <c r="W76" s="24" t="s">
        <v>763</v>
      </c>
      <c r="X76" s="23"/>
      <c r="Y76" s="277"/>
      <c r="Z76" s="277"/>
      <c r="AA76" s="277"/>
      <c r="AB76" s="280"/>
      <c r="AD76" s="77">
        <f>15440000+33000000</f>
        <v>48440000</v>
      </c>
      <c r="AF76" s="72">
        <f>N76-AD76</f>
        <v>0</v>
      </c>
    </row>
    <row r="77" spans="1:32">
      <c r="A77" s="12"/>
      <c r="B77" s="19"/>
      <c r="C77" s="24"/>
      <c r="D77" s="23"/>
      <c r="E77" s="267"/>
      <c r="F77" s="267"/>
      <c r="G77" s="267"/>
      <c r="H77" s="267"/>
      <c r="I77" s="72"/>
      <c r="K77" s="12"/>
      <c r="L77" s="19"/>
      <c r="M77" s="24"/>
      <c r="N77" s="23"/>
      <c r="O77" s="273"/>
      <c r="P77" s="273"/>
      <c r="Q77" s="273"/>
      <c r="R77" s="273"/>
      <c r="U77" s="12"/>
      <c r="V77" s="19"/>
      <c r="W77" s="24"/>
      <c r="X77" s="23"/>
      <c r="Y77" s="277"/>
      <c r="Z77" s="277"/>
      <c r="AA77" s="277"/>
      <c r="AB77" s="277"/>
    </row>
    <row r="78" spans="1:32" hidden="1">
      <c r="A78" s="12"/>
      <c r="B78" s="19"/>
      <c r="C78" s="24"/>
      <c r="D78" s="23"/>
      <c r="E78" s="267"/>
      <c r="F78" s="267"/>
      <c r="G78" s="267"/>
      <c r="H78" s="267"/>
      <c r="K78" s="12"/>
      <c r="L78" s="19"/>
      <c r="M78" s="24"/>
      <c r="N78" s="23"/>
      <c r="O78" s="273"/>
      <c r="P78" s="273"/>
      <c r="Q78" s="273"/>
      <c r="R78" s="273"/>
      <c r="U78" s="12"/>
      <c r="V78" s="19"/>
      <c r="W78" s="24"/>
      <c r="X78" s="23"/>
      <c r="Y78" s="277"/>
      <c r="Z78" s="277"/>
      <c r="AA78" s="277"/>
      <c r="AB78" s="277"/>
    </row>
    <row r="79" spans="1:32">
      <c r="A79" s="12"/>
      <c r="B79" s="13"/>
      <c r="C79" s="26" t="s">
        <v>55</v>
      </c>
      <c r="D79" s="27">
        <f>SUM(D64:D77)</f>
        <v>184553000</v>
      </c>
      <c r="E79" s="27">
        <v>0</v>
      </c>
      <c r="F79" s="27">
        <v>0</v>
      </c>
      <c r="G79" s="27"/>
      <c r="H79" s="27"/>
      <c r="K79" s="12"/>
      <c r="L79" s="13"/>
      <c r="M79" s="26" t="s">
        <v>55</v>
      </c>
      <c r="N79" s="27">
        <f>SUM(N64:N77)</f>
        <v>58440000</v>
      </c>
      <c r="O79" s="27">
        <v>0</v>
      </c>
      <c r="P79" s="27">
        <v>0</v>
      </c>
      <c r="Q79" s="27"/>
      <c r="R79" s="27"/>
      <c r="U79" s="12"/>
      <c r="V79" s="13"/>
      <c r="W79" s="26" t="s">
        <v>55</v>
      </c>
      <c r="X79" s="27">
        <f>SUM(X64:X77)</f>
        <v>87055000</v>
      </c>
      <c r="Y79" s="27">
        <v>0</v>
      </c>
      <c r="Z79" s="27">
        <v>0</v>
      </c>
      <c r="AA79" s="27"/>
      <c r="AB79" s="27"/>
    </row>
    <row r="80" spans="1:32">
      <c r="A80" s="20"/>
      <c r="B80" s="19"/>
      <c r="C80" s="267" t="s">
        <v>21</v>
      </c>
      <c r="D80" s="10"/>
      <c r="E80" s="530">
        <f>D79</f>
        <v>184553000</v>
      </c>
      <c r="F80" s="530"/>
      <c r="G80" s="530"/>
      <c r="H80" s="530"/>
      <c r="K80" s="20"/>
      <c r="L80" s="19"/>
      <c r="M80" s="273" t="s">
        <v>21</v>
      </c>
      <c r="N80" s="10"/>
      <c r="O80" s="530">
        <f>N79</f>
        <v>58440000</v>
      </c>
      <c r="P80" s="530"/>
      <c r="Q80" s="530"/>
      <c r="R80" s="530"/>
      <c r="U80" s="20"/>
      <c r="V80" s="19"/>
      <c r="W80" s="277" t="s">
        <v>21</v>
      </c>
      <c r="X80" s="10"/>
      <c r="Y80" s="530">
        <f>X79</f>
        <v>87055000</v>
      </c>
      <c r="Z80" s="530"/>
      <c r="AA80" s="530"/>
      <c r="AB80" s="530"/>
    </row>
    <row r="81" spans="1:30" hidden="1">
      <c r="A81" s="524" t="s">
        <v>453</v>
      </c>
      <c r="B81" s="524"/>
      <c r="C81" s="524"/>
      <c r="D81" s="524"/>
      <c r="E81" s="524"/>
      <c r="F81" s="524"/>
      <c r="G81" s="524"/>
      <c r="H81" s="524"/>
      <c r="K81" s="524" t="s">
        <v>453</v>
      </c>
      <c r="L81" s="524"/>
      <c r="M81" s="524"/>
      <c r="N81" s="524"/>
      <c r="O81" s="524"/>
      <c r="P81" s="524"/>
      <c r="Q81" s="524"/>
      <c r="R81" s="524"/>
      <c r="U81" s="524" t="s">
        <v>453</v>
      </c>
      <c r="V81" s="524"/>
      <c r="W81" s="524"/>
      <c r="X81" s="524"/>
      <c r="Y81" s="524"/>
      <c r="Z81" s="524"/>
      <c r="AA81" s="524"/>
      <c r="AB81" s="524"/>
    </row>
    <row r="82" spans="1:30" hidden="1">
      <c r="A82" s="28"/>
      <c r="B82" s="23"/>
      <c r="C82" s="23"/>
      <c r="D82" s="23"/>
      <c r="E82" s="28"/>
      <c r="F82" s="28"/>
      <c r="G82" s="28"/>
      <c r="H82" s="28"/>
      <c r="K82" s="28"/>
      <c r="L82" s="23"/>
      <c r="M82" s="23"/>
      <c r="N82" s="23"/>
      <c r="O82" s="28"/>
      <c r="P82" s="28"/>
      <c r="Q82" s="28"/>
      <c r="R82" s="28"/>
      <c r="U82" s="28"/>
      <c r="V82" s="23"/>
      <c r="W82" s="23"/>
      <c r="X82" s="23"/>
      <c r="Y82" s="28"/>
      <c r="Z82" s="28"/>
      <c r="AA82" s="28"/>
      <c r="AB82" s="28"/>
    </row>
    <row r="83" spans="1:30" hidden="1">
      <c r="A83" s="28"/>
      <c r="B83" s="23"/>
      <c r="C83" s="23"/>
      <c r="D83" s="23"/>
      <c r="E83" s="28"/>
      <c r="F83" s="28"/>
      <c r="G83" s="28"/>
      <c r="H83" s="28"/>
      <c r="K83" s="28"/>
      <c r="L83" s="23"/>
      <c r="M83" s="23"/>
      <c r="N83" s="23"/>
      <c r="O83" s="28"/>
      <c r="P83" s="28"/>
      <c r="Q83" s="28"/>
      <c r="R83" s="28"/>
      <c r="U83" s="28"/>
      <c r="V83" s="23"/>
      <c r="W83" s="23"/>
      <c r="X83" s="23"/>
      <c r="Y83" s="28"/>
      <c r="Z83" s="28"/>
      <c r="AA83" s="28"/>
      <c r="AB83" s="28"/>
    </row>
    <row r="84" spans="1:30" hidden="1">
      <c r="A84" s="12"/>
      <c r="B84" s="19"/>
      <c r="C84" s="24"/>
      <c r="D84" s="23"/>
      <c r="E84" s="267"/>
      <c r="F84" s="267"/>
      <c r="G84" s="267"/>
      <c r="H84" s="267"/>
      <c r="K84" s="12"/>
      <c r="L84" s="19"/>
      <c r="M84" s="24"/>
      <c r="N84" s="23"/>
      <c r="O84" s="273"/>
      <c r="P84" s="273"/>
      <c r="Q84" s="273"/>
      <c r="R84" s="273"/>
      <c r="U84" s="12"/>
      <c r="V84" s="19"/>
      <c r="W84" s="24"/>
      <c r="X84" s="23"/>
      <c r="Y84" s="277"/>
      <c r="Z84" s="277"/>
      <c r="AA84" s="277"/>
      <c r="AB84" s="277"/>
    </row>
    <row r="85" spans="1:30" hidden="1">
      <c r="A85" s="12"/>
      <c r="B85" s="13"/>
      <c r="C85" s="26" t="s">
        <v>196</v>
      </c>
      <c r="D85" s="27">
        <f>SUM(D82:D84)</f>
        <v>0</v>
      </c>
      <c r="E85" s="27">
        <v>0</v>
      </c>
      <c r="F85" s="27">
        <v>0</v>
      </c>
      <c r="G85" s="27"/>
      <c r="H85" s="27"/>
      <c r="K85" s="12"/>
      <c r="L85" s="13"/>
      <c r="M85" s="26" t="s">
        <v>196</v>
      </c>
      <c r="N85" s="27">
        <f>SUM(N82:N84)</f>
        <v>0</v>
      </c>
      <c r="O85" s="27">
        <v>0</v>
      </c>
      <c r="P85" s="27">
        <v>0</v>
      </c>
      <c r="Q85" s="27"/>
      <c r="R85" s="27"/>
      <c r="U85" s="12"/>
      <c r="V85" s="13"/>
      <c r="W85" s="26" t="s">
        <v>196</v>
      </c>
      <c r="X85" s="27">
        <f>SUM(X82:X84)</f>
        <v>0</v>
      </c>
      <c r="Y85" s="27">
        <v>0</v>
      </c>
      <c r="Z85" s="27">
        <v>0</v>
      </c>
      <c r="AA85" s="27"/>
      <c r="AB85" s="27"/>
    </row>
    <row r="86" spans="1:30" hidden="1">
      <c r="A86" s="20"/>
      <c r="B86" s="19"/>
      <c r="C86" s="267" t="s">
        <v>21</v>
      </c>
      <c r="D86" s="10"/>
      <c r="E86" s="530">
        <f>D85</f>
        <v>0</v>
      </c>
      <c r="F86" s="530"/>
      <c r="G86" s="530"/>
      <c r="H86" s="530"/>
      <c r="K86" s="20"/>
      <c r="L86" s="19"/>
      <c r="M86" s="273" t="s">
        <v>21</v>
      </c>
      <c r="N86" s="10"/>
      <c r="O86" s="530">
        <f>N85</f>
        <v>0</v>
      </c>
      <c r="P86" s="530"/>
      <c r="Q86" s="530"/>
      <c r="R86" s="530"/>
      <c r="U86" s="20"/>
      <c r="V86" s="19"/>
      <c r="W86" s="277" t="s">
        <v>21</v>
      </c>
      <c r="X86" s="10"/>
      <c r="Y86" s="530">
        <f>X85</f>
        <v>0</v>
      </c>
      <c r="Z86" s="530"/>
      <c r="AA86" s="530"/>
      <c r="AB86" s="530"/>
    </row>
    <row r="87" spans="1:30">
      <c r="A87" s="527" t="s">
        <v>26</v>
      </c>
      <c r="B87" s="528"/>
      <c r="C87" s="528"/>
      <c r="D87" s="528"/>
      <c r="E87" s="528"/>
      <c r="F87" s="528"/>
      <c r="G87" s="528"/>
      <c r="H87" s="529"/>
      <c r="K87" s="527" t="s">
        <v>26</v>
      </c>
      <c r="L87" s="528"/>
      <c r="M87" s="528"/>
      <c r="N87" s="528"/>
      <c r="O87" s="528"/>
      <c r="P87" s="528"/>
      <c r="Q87" s="528"/>
      <c r="R87" s="529"/>
      <c r="U87" s="527" t="s">
        <v>26</v>
      </c>
      <c r="V87" s="528"/>
      <c r="W87" s="528"/>
      <c r="X87" s="528"/>
      <c r="Y87" s="528"/>
      <c r="Z87" s="528"/>
      <c r="AA87" s="528"/>
      <c r="AB87" s="529"/>
    </row>
    <row r="88" spans="1:30">
      <c r="A88" s="12"/>
      <c r="B88" s="19"/>
      <c r="C88" s="24"/>
      <c r="D88" s="23"/>
      <c r="E88" s="22"/>
      <c r="F88" s="22"/>
      <c r="G88" s="16"/>
      <c r="H88" s="16"/>
      <c r="K88" s="12"/>
      <c r="L88" s="19"/>
      <c r="M88" s="24"/>
      <c r="N88" s="23"/>
      <c r="O88" s="22"/>
      <c r="P88" s="22"/>
      <c r="Q88" s="16"/>
      <c r="R88" s="16"/>
      <c r="U88" s="12"/>
      <c r="V88" s="19"/>
      <c r="W88" s="24"/>
      <c r="X88" s="23"/>
      <c r="Y88" s="22"/>
      <c r="Z88" s="22"/>
      <c r="AA88" s="16"/>
      <c r="AB88" s="16"/>
    </row>
    <row r="89" spans="1:30">
      <c r="A89" s="12"/>
      <c r="B89" s="19"/>
      <c r="C89" s="24"/>
      <c r="D89" s="23"/>
      <c r="E89" s="22"/>
      <c r="F89" s="22"/>
      <c r="G89" s="16"/>
      <c r="H89" s="16"/>
      <c r="K89" s="12"/>
      <c r="L89" s="19"/>
      <c r="M89" s="24"/>
      <c r="N89" s="23"/>
      <c r="O89" s="22"/>
      <c r="P89" s="22"/>
      <c r="Q89" s="16"/>
      <c r="R89" s="16"/>
      <c r="U89" s="12"/>
      <c r="V89" s="19"/>
      <c r="W89" s="24"/>
      <c r="X89" s="23"/>
      <c r="Y89" s="22"/>
      <c r="Z89" s="22"/>
      <c r="AA89" s="16"/>
      <c r="AB89" s="16"/>
    </row>
    <row r="90" spans="1:30">
      <c r="A90" s="12"/>
      <c r="B90" s="19"/>
      <c r="C90" s="24"/>
      <c r="D90" s="23"/>
      <c r="E90" s="22"/>
      <c r="F90" s="22"/>
      <c r="G90" s="16"/>
      <c r="H90" s="16"/>
      <c r="K90" s="12"/>
      <c r="L90" s="19"/>
      <c r="M90" s="24"/>
      <c r="N90" s="23"/>
      <c r="O90" s="22"/>
      <c r="P90" s="22"/>
      <c r="Q90" s="16"/>
      <c r="R90" s="16"/>
      <c r="U90" s="12"/>
      <c r="V90" s="19"/>
      <c r="W90" s="24"/>
      <c r="X90" s="23"/>
      <c r="Y90" s="22"/>
      <c r="Z90" s="22"/>
      <c r="AA90" s="16"/>
      <c r="AB90" s="16"/>
      <c r="AD90" s="72">
        <f>N34+AD64+AD76</f>
        <v>59548000</v>
      </c>
    </row>
    <row r="91" spans="1:30">
      <c r="A91" s="12"/>
      <c r="B91" s="19"/>
      <c r="C91" s="24"/>
      <c r="D91" s="23"/>
      <c r="E91" s="22"/>
      <c r="F91" s="22"/>
      <c r="G91" s="16"/>
      <c r="H91" s="16"/>
      <c r="K91" s="12"/>
      <c r="L91" s="19"/>
      <c r="M91" s="24"/>
      <c r="N91" s="23"/>
      <c r="O91" s="22"/>
      <c r="P91" s="22"/>
      <c r="Q91" s="16"/>
      <c r="R91" s="16"/>
      <c r="U91" s="12"/>
      <c r="V91" s="19"/>
      <c r="W91" s="24"/>
      <c r="X91" s="23"/>
      <c r="Y91" s="22"/>
      <c r="Z91" s="22"/>
      <c r="AA91" s="16"/>
      <c r="AB91" s="16"/>
    </row>
    <row r="92" spans="1:30" hidden="1">
      <c r="A92" s="12"/>
      <c r="B92" s="19"/>
      <c r="C92" s="24"/>
      <c r="D92" s="23"/>
      <c r="E92" s="22"/>
      <c r="F92" s="22"/>
      <c r="G92" s="16"/>
      <c r="H92" s="16"/>
      <c r="K92" s="12"/>
      <c r="L92" s="19"/>
      <c r="M92" s="24"/>
      <c r="N92" s="23"/>
      <c r="O92" s="22"/>
      <c r="P92" s="22"/>
      <c r="Q92" s="16"/>
      <c r="R92" s="16"/>
      <c r="U92" s="12"/>
      <c r="V92" s="19"/>
      <c r="W92" s="24"/>
      <c r="X92" s="23"/>
      <c r="Y92" s="22"/>
      <c r="Z92" s="22"/>
      <c r="AA92" s="16"/>
      <c r="AB92" s="16"/>
    </row>
    <row r="93" spans="1:30" hidden="1">
      <c r="A93" s="12"/>
      <c r="B93" s="19"/>
      <c r="C93" s="24"/>
      <c r="D93" s="23"/>
      <c r="E93" s="22"/>
      <c r="F93" s="22"/>
      <c r="G93" s="16"/>
      <c r="H93" s="16"/>
      <c r="K93" s="12"/>
      <c r="L93" s="19"/>
      <c r="M93" s="24"/>
      <c r="N93" s="23"/>
      <c r="O93" s="22"/>
      <c r="P93" s="22"/>
      <c r="Q93" s="16"/>
      <c r="R93" s="16"/>
      <c r="U93" s="12"/>
      <c r="V93" s="19"/>
      <c r="W93" s="24"/>
      <c r="X93" s="23"/>
      <c r="Y93" s="22"/>
      <c r="Z93" s="22"/>
      <c r="AA93" s="16"/>
      <c r="AB93" s="16"/>
    </row>
    <row r="94" spans="1:30" hidden="1">
      <c r="A94" s="12"/>
      <c r="B94" s="19"/>
      <c r="C94" s="23"/>
      <c r="D94" s="23"/>
      <c r="E94" s="22"/>
      <c r="F94" s="22"/>
      <c r="G94" s="16"/>
      <c r="H94" s="16"/>
      <c r="K94" s="12"/>
      <c r="L94" s="19"/>
      <c r="M94" s="23"/>
      <c r="N94" s="23"/>
      <c r="O94" s="22"/>
      <c r="P94" s="22"/>
      <c r="Q94" s="16"/>
      <c r="R94" s="16"/>
      <c r="U94" s="12"/>
      <c r="V94" s="19"/>
      <c r="W94" s="23"/>
      <c r="X94" s="23"/>
      <c r="Y94" s="22"/>
      <c r="Z94" s="22"/>
      <c r="AA94" s="16"/>
      <c r="AB94" s="16"/>
    </row>
    <row r="95" spans="1:30" hidden="1">
      <c r="A95" s="12"/>
      <c r="B95" s="19"/>
      <c r="C95" s="23"/>
      <c r="D95" s="23"/>
      <c r="E95" s="22"/>
      <c r="F95" s="22"/>
      <c r="G95" s="16"/>
      <c r="H95" s="16"/>
      <c r="K95" s="12"/>
      <c r="L95" s="19"/>
      <c r="M95" s="23"/>
      <c r="N95" s="23"/>
      <c r="O95" s="22"/>
      <c r="P95" s="22"/>
      <c r="Q95" s="16"/>
      <c r="R95" s="16"/>
      <c r="U95" s="12"/>
      <c r="V95" s="19"/>
      <c r="W95" s="23"/>
      <c r="X95" s="23"/>
      <c r="Y95" s="22"/>
      <c r="Z95" s="22"/>
      <c r="AA95" s="16"/>
      <c r="AB95" s="16"/>
    </row>
    <row r="96" spans="1:30" hidden="1">
      <c r="A96" s="12"/>
      <c r="B96" s="19"/>
      <c r="C96" s="23"/>
      <c r="D96" s="23"/>
      <c r="E96" s="22"/>
      <c r="F96" s="22"/>
      <c r="G96" s="16"/>
      <c r="H96" s="16"/>
      <c r="K96" s="12"/>
      <c r="L96" s="19"/>
      <c r="M96" s="23"/>
      <c r="N96" s="23"/>
      <c r="O96" s="22"/>
      <c r="P96" s="22"/>
      <c r="Q96" s="16"/>
      <c r="R96" s="16"/>
      <c r="U96" s="12"/>
      <c r="V96" s="19"/>
      <c r="W96" s="23"/>
      <c r="X96" s="23"/>
      <c r="Y96" s="22"/>
      <c r="Z96" s="22"/>
      <c r="AA96" s="16"/>
      <c r="AB96" s="16"/>
    </row>
    <row r="97" spans="1:30" hidden="1">
      <c r="A97" s="12"/>
      <c r="B97" s="19"/>
      <c r="C97" s="24"/>
      <c r="D97" s="23"/>
      <c r="E97" s="22"/>
      <c r="F97" s="22"/>
      <c r="G97" s="16"/>
      <c r="H97" s="16"/>
      <c r="K97" s="12"/>
      <c r="L97" s="19"/>
      <c r="M97" s="24"/>
      <c r="N97" s="23"/>
      <c r="O97" s="22"/>
      <c r="P97" s="22"/>
      <c r="Q97" s="16"/>
      <c r="R97" s="16"/>
      <c r="U97" s="12"/>
      <c r="V97" s="19"/>
      <c r="W97" s="24"/>
      <c r="X97" s="23"/>
      <c r="Y97" s="22"/>
      <c r="Z97" s="22"/>
      <c r="AA97" s="16"/>
      <c r="AB97" s="16"/>
    </row>
    <row r="98" spans="1:30" hidden="1">
      <c r="A98" s="12"/>
      <c r="B98" s="19"/>
      <c r="C98" s="24"/>
      <c r="D98" s="23"/>
      <c r="E98" s="22"/>
      <c r="F98" s="22"/>
      <c r="G98" s="16"/>
      <c r="H98" s="16"/>
      <c r="K98" s="12"/>
      <c r="L98" s="19"/>
      <c r="M98" s="24"/>
      <c r="N98" s="23"/>
      <c r="O98" s="22"/>
      <c r="P98" s="22"/>
      <c r="Q98" s="16"/>
      <c r="R98" s="16"/>
      <c r="U98" s="12"/>
      <c r="V98" s="19"/>
      <c r="W98" s="24"/>
      <c r="X98" s="23"/>
      <c r="Y98" s="22"/>
      <c r="Z98" s="22"/>
      <c r="AA98" s="16"/>
      <c r="AB98" s="16"/>
    </row>
    <row r="99" spans="1:30">
      <c r="A99" s="25"/>
      <c r="B99" s="19"/>
      <c r="C99" s="26" t="s">
        <v>31</v>
      </c>
      <c r="D99" s="27">
        <f>SUM(D88:D98)</f>
        <v>0</v>
      </c>
      <c r="E99" s="27"/>
      <c r="F99" s="27"/>
      <c r="G99" s="27"/>
      <c r="H99" s="27"/>
      <c r="K99" s="25"/>
      <c r="L99" s="19"/>
      <c r="M99" s="26" t="s">
        <v>31</v>
      </c>
      <c r="N99" s="27">
        <f>SUM(N88:N98)</f>
        <v>0</v>
      </c>
      <c r="O99" s="27"/>
      <c r="P99" s="27"/>
      <c r="Q99" s="27"/>
      <c r="R99" s="27"/>
      <c r="U99" s="25"/>
      <c r="V99" s="19"/>
      <c r="W99" s="26" t="s">
        <v>31</v>
      </c>
      <c r="X99" s="27">
        <f>SUM(X88:X98)</f>
        <v>0</v>
      </c>
      <c r="Y99" s="27"/>
      <c r="Z99" s="27"/>
      <c r="AA99" s="27"/>
      <c r="AB99" s="27"/>
      <c r="AD99" s="72">
        <f>N127-AD90</f>
        <v>452000</v>
      </c>
    </row>
    <row r="100" spans="1:30">
      <c r="A100" s="20"/>
      <c r="B100" s="19"/>
      <c r="C100" s="267" t="s">
        <v>21</v>
      </c>
      <c r="D100" s="10"/>
      <c r="E100" s="530">
        <f>D99</f>
        <v>0</v>
      </c>
      <c r="F100" s="530"/>
      <c r="G100" s="530"/>
      <c r="H100" s="530"/>
      <c r="K100" s="20"/>
      <c r="L100" s="19"/>
      <c r="M100" s="273" t="s">
        <v>21</v>
      </c>
      <c r="N100" s="10"/>
      <c r="O100" s="530">
        <f>N99</f>
        <v>0</v>
      </c>
      <c r="P100" s="530"/>
      <c r="Q100" s="530"/>
      <c r="R100" s="530"/>
      <c r="U100" s="20"/>
      <c r="V100" s="19"/>
      <c r="W100" s="277" t="s">
        <v>21</v>
      </c>
      <c r="X100" s="10"/>
      <c r="Y100" s="530">
        <f>X99</f>
        <v>0</v>
      </c>
      <c r="Z100" s="530"/>
      <c r="AA100" s="530"/>
      <c r="AB100" s="530"/>
    </row>
    <row r="101" spans="1:30">
      <c r="A101" s="527" t="s">
        <v>32</v>
      </c>
      <c r="B101" s="528"/>
      <c r="C101" s="528"/>
      <c r="D101" s="528"/>
      <c r="E101" s="528"/>
      <c r="F101" s="528"/>
      <c r="G101" s="528"/>
      <c r="H101" s="529"/>
      <c r="K101" s="527" t="s">
        <v>32</v>
      </c>
      <c r="L101" s="528"/>
      <c r="M101" s="528"/>
      <c r="N101" s="528"/>
      <c r="O101" s="528"/>
      <c r="P101" s="528"/>
      <c r="Q101" s="528"/>
      <c r="R101" s="529"/>
      <c r="U101" s="527" t="s">
        <v>32</v>
      </c>
      <c r="V101" s="528"/>
      <c r="W101" s="528"/>
      <c r="X101" s="528"/>
      <c r="Y101" s="528"/>
      <c r="Z101" s="528"/>
      <c r="AA101" s="528"/>
      <c r="AB101" s="529"/>
    </row>
    <row r="102" spans="1:30">
      <c r="A102" s="12"/>
      <c r="B102" s="13"/>
      <c r="C102" s="22"/>
      <c r="D102" s="22"/>
      <c r="E102" s="267"/>
      <c r="F102" s="267"/>
      <c r="G102" s="267"/>
      <c r="H102" s="267"/>
      <c r="K102" s="12"/>
      <c r="L102" s="13"/>
      <c r="M102" s="22"/>
      <c r="N102" s="22"/>
      <c r="O102" s="273"/>
      <c r="P102" s="273"/>
      <c r="Q102" s="273"/>
      <c r="R102" s="273"/>
      <c r="U102" s="12"/>
      <c r="V102" s="13"/>
      <c r="W102" s="22" t="s">
        <v>787</v>
      </c>
      <c r="X102" s="22">
        <v>25000000</v>
      </c>
      <c r="Y102" s="277"/>
      <c r="Z102" s="277"/>
      <c r="AA102" s="277"/>
      <c r="AB102" s="277"/>
    </row>
    <row r="103" spans="1:30">
      <c r="A103" s="12"/>
      <c r="B103" s="13"/>
      <c r="C103" s="22"/>
      <c r="D103" s="22"/>
      <c r="E103" s="267"/>
      <c r="F103" s="267"/>
      <c r="G103" s="267"/>
      <c r="H103" s="267"/>
      <c r="K103" s="12"/>
      <c r="L103" s="13"/>
      <c r="M103" s="22"/>
      <c r="N103" s="22"/>
      <c r="O103" s="273"/>
      <c r="P103" s="273"/>
      <c r="Q103" s="273"/>
      <c r="R103" s="273"/>
      <c r="U103" s="12"/>
      <c r="V103" s="13"/>
      <c r="W103" s="22" t="s">
        <v>788</v>
      </c>
      <c r="X103" s="22">
        <v>2042500</v>
      </c>
      <c r="Y103" s="277"/>
      <c r="Z103" s="277"/>
      <c r="AA103" s="277"/>
      <c r="AB103" s="277"/>
    </row>
    <row r="104" spans="1:30">
      <c r="A104" s="12"/>
      <c r="B104" s="13"/>
      <c r="C104" s="22"/>
      <c r="D104" s="22"/>
      <c r="E104" s="267"/>
      <c r="F104" s="267"/>
      <c r="G104" s="267"/>
      <c r="H104" s="267"/>
      <c r="K104" s="12"/>
      <c r="L104" s="13"/>
      <c r="M104" s="22"/>
      <c r="N104" s="22"/>
      <c r="O104" s="273"/>
      <c r="P104" s="273"/>
      <c r="Q104" s="273"/>
      <c r="R104" s="273"/>
      <c r="U104" s="12"/>
      <c r="V104" s="13"/>
      <c r="W104" s="22" t="s">
        <v>789</v>
      </c>
      <c r="X104" s="22">
        <v>4000000</v>
      </c>
      <c r="Y104" s="277"/>
      <c r="Z104" s="277"/>
      <c r="AA104" s="277"/>
      <c r="AB104" s="277"/>
    </row>
    <row r="105" spans="1:30">
      <c r="A105" s="12"/>
      <c r="B105" s="13"/>
      <c r="C105" s="22"/>
      <c r="D105" s="29"/>
      <c r="E105" s="267"/>
      <c r="F105" s="267"/>
      <c r="G105" s="267"/>
      <c r="H105" s="267"/>
      <c r="K105" s="12"/>
      <c r="L105" s="13"/>
      <c r="M105" s="22"/>
      <c r="N105" s="29"/>
      <c r="O105" s="273"/>
      <c r="P105" s="273"/>
      <c r="Q105" s="273"/>
      <c r="R105" s="273"/>
      <c r="U105" s="12"/>
      <c r="V105" s="13"/>
      <c r="W105" s="22"/>
      <c r="X105" s="29"/>
      <c r="Y105" s="277"/>
      <c r="Z105" s="277"/>
      <c r="AA105" s="277"/>
      <c r="AB105" s="277"/>
    </row>
    <row r="106" spans="1:30">
      <c r="A106" s="12"/>
      <c r="B106" s="13"/>
      <c r="C106" s="22"/>
      <c r="D106" s="29"/>
      <c r="E106" s="267"/>
      <c r="F106" s="267"/>
      <c r="G106" s="267"/>
      <c r="H106" s="267"/>
      <c r="K106" s="12"/>
      <c r="L106" s="13"/>
      <c r="M106" s="22"/>
      <c r="N106" s="29"/>
      <c r="O106" s="273"/>
      <c r="P106" s="273"/>
      <c r="Q106" s="273"/>
      <c r="R106" s="273"/>
      <c r="U106" s="12"/>
      <c r="V106" s="13"/>
      <c r="W106" s="22"/>
      <c r="X106" s="29"/>
      <c r="Y106" s="277"/>
      <c r="Z106" s="277"/>
      <c r="AA106" s="277"/>
      <c r="AB106" s="277"/>
    </row>
    <row r="107" spans="1:30" hidden="1">
      <c r="A107" s="12"/>
      <c r="B107" s="13"/>
      <c r="C107" s="22"/>
      <c r="D107" s="29"/>
      <c r="E107" s="267"/>
      <c r="F107" s="267"/>
      <c r="G107" s="267"/>
      <c r="H107" s="267"/>
      <c r="K107" s="12"/>
      <c r="L107" s="13"/>
      <c r="M107" s="22"/>
      <c r="N107" s="29"/>
      <c r="O107" s="273"/>
      <c r="P107" s="273"/>
      <c r="Q107" s="273"/>
      <c r="R107" s="273"/>
      <c r="U107" s="12"/>
      <c r="V107" s="13"/>
      <c r="W107" s="22"/>
      <c r="X107" s="29"/>
      <c r="Y107" s="277"/>
      <c r="Z107" s="277"/>
      <c r="AA107" s="277"/>
      <c r="AB107" s="277"/>
    </row>
    <row r="108" spans="1:30" hidden="1">
      <c r="A108" s="12"/>
      <c r="B108" s="13"/>
      <c r="C108" s="22"/>
      <c r="D108" s="29"/>
      <c r="E108" s="267"/>
      <c r="F108" s="267"/>
      <c r="G108" s="267"/>
      <c r="H108" s="267"/>
      <c r="K108" s="12"/>
      <c r="L108" s="13"/>
      <c r="M108" s="22"/>
      <c r="N108" s="29"/>
      <c r="O108" s="273"/>
      <c r="P108" s="273"/>
      <c r="Q108" s="273"/>
      <c r="R108" s="273"/>
      <c r="U108" s="12"/>
      <c r="V108" s="13"/>
      <c r="W108" s="22"/>
      <c r="X108" s="29"/>
      <c r="Y108" s="277"/>
      <c r="Z108" s="277"/>
      <c r="AA108" s="277"/>
      <c r="AB108" s="277"/>
    </row>
    <row r="109" spans="1:30" hidden="1">
      <c r="A109" s="12"/>
      <c r="B109" s="13"/>
      <c r="C109" s="22"/>
      <c r="D109" s="29"/>
      <c r="E109" s="267"/>
      <c r="F109" s="267"/>
      <c r="G109" s="267"/>
      <c r="H109" s="267"/>
      <c r="K109" s="12"/>
      <c r="L109" s="13"/>
      <c r="M109" s="22"/>
      <c r="N109" s="29"/>
      <c r="O109" s="273"/>
      <c r="P109" s="273"/>
      <c r="Q109" s="273"/>
      <c r="R109" s="273"/>
      <c r="U109" s="12"/>
      <c r="V109" s="13"/>
      <c r="W109" s="22"/>
      <c r="X109" s="29"/>
      <c r="Y109" s="277"/>
      <c r="Z109" s="277"/>
      <c r="AA109" s="277"/>
      <c r="AB109" s="277"/>
    </row>
    <row r="110" spans="1:30" hidden="1">
      <c r="A110" s="12"/>
      <c r="B110" s="13"/>
      <c r="C110" s="22"/>
      <c r="D110" s="29"/>
      <c r="E110" s="267"/>
      <c r="F110" s="267"/>
      <c r="G110" s="267"/>
      <c r="H110" s="267"/>
      <c r="K110" s="12"/>
      <c r="L110" s="13"/>
      <c r="M110" s="22"/>
      <c r="N110" s="29"/>
      <c r="O110" s="273"/>
      <c r="P110" s="273"/>
      <c r="Q110" s="273"/>
      <c r="R110" s="273"/>
      <c r="U110" s="12"/>
      <c r="V110" s="13"/>
      <c r="W110" s="22"/>
      <c r="X110" s="29"/>
      <c r="Y110" s="277"/>
      <c r="Z110" s="277"/>
      <c r="AA110" s="277"/>
      <c r="AB110" s="277"/>
    </row>
    <row r="111" spans="1:30">
      <c r="A111" s="12"/>
      <c r="B111" s="13"/>
      <c r="C111" s="26" t="s">
        <v>34</v>
      </c>
      <c r="D111" s="27">
        <f>SUM(D102:D105)</f>
        <v>0</v>
      </c>
      <c r="E111" s="27">
        <v>0</v>
      </c>
      <c r="F111" s="27">
        <v>0</v>
      </c>
      <c r="G111" s="27"/>
      <c r="H111" s="27"/>
      <c r="K111" s="12"/>
      <c r="L111" s="13"/>
      <c r="M111" s="26" t="s">
        <v>34</v>
      </c>
      <c r="N111" s="27">
        <f>SUM(N102:N105)</f>
        <v>0</v>
      </c>
      <c r="O111" s="27">
        <v>0</v>
      </c>
      <c r="P111" s="27">
        <v>0</v>
      </c>
      <c r="Q111" s="27"/>
      <c r="R111" s="27"/>
      <c r="U111" s="12"/>
      <c r="V111" s="13"/>
      <c r="W111" s="26" t="s">
        <v>34</v>
      </c>
      <c r="X111" s="27">
        <f>SUM(X102:X105)</f>
        <v>31042500</v>
      </c>
      <c r="Y111" s="27">
        <v>0</v>
      </c>
      <c r="Z111" s="27">
        <v>0</v>
      </c>
      <c r="AA111" s="27"/>
      <c r="AB111" s="27"/>
    </row>
    <row r="112" spans="1:30">
      <c r="A112" s="20"/>
      <c r="B112" s="19"/>
      <c r="C112" s="267" t="s">
        <v>21</v>
      </c>
      <c r="D112" s="10"/>
      <c r="E112" s="531">
        <f>D111</f>
        <v>0</v>
      </c>
      <c r="F112" s="532"/>
      <c r="G112" s="532"/>
      <c r="H112" s="533"/>
      <c r="K112" s="20"/>
      <c r="L112" s="19"/>
      <c r="M112" s="273" t="s">
        <v>21</v>
      </c>
      <c r="N112" s="10"/>
      <c r="O112" s="531">
        <f>N111</f>
        <v>0</v>
      </c>
      <c r="P112" s="532"/>
      <c r="Q112" s="532"/>
      <c r="R112" s="533"/>
      <c r="U112" s="20"/>
      <c r="V112" s="19"/>
      <c r="W112" s="277" t="s">
        <v>21</v>
      </c>
      <c r="X112" s="10"/>
      <c r="Y112" s="531">
        <f>X111</f>
        <v>31042500</v>
      </c>
      <c r="Z112" s="532"/>
      <c r="AA112" s="532"/>
      <c r="AB112" s="533"/>
    </row>
    <row r="113" spans="1:28">
      <c r="A113" s="525" t="s">
        <v>35</v>
      </c>
      <c r="B113" s="525"/>
      <c r="C113" s="525"/>
      <c r="D113" s="265"/>
      <c r="E113" s="526">
        <f>E50+E55+E100+E112+E80+E86+E62</f>
        <v>189774000</v>
      </c>
      <c r="F113" s="526"/>
      <c r="G113" s="526"/>
      <c r="H113" s="526"/>
      <c r="K113" s="525" t="s">
        <v>35</v>
      </c>
      <c r="L113" s="525"/>
      <c r="M113" s="525"/>
      <c r="N113" s="269"/>
      <c r="O113" s="526">
        <f>O50+O55+O100+O112+O80+O86+O62</f>
        <v>59548000</v>
      </c>
      <c r="P113" s="526"/>
      <c r="Q113" s="526"/>
      <c r="R113" s="526"/>
      <c r="U113" s="525" t="s">
        <v>35</v>
      </c>
      <c r="V113" s="525"/>
      <c r="W113" s="525"/>
      <c r="X113" s="275"/>
      <c r="Y113" s="526">
        <f>Y50+Y55+Y100+Y112+Y80+Y86+Y62</f>
        <v>121657500</v>
      </c>
      <c r="Z113" s="526"/>
      <c r="AA113" s="526"/>
      <c r="AB113" s="526"/>
    </row>
    <row r="114" spans="1:28">
      <c r="A114" s="522" t="s">
        <v>36</v>
      </c>
      <c r="B114" s="522"/>
      <c r="C114" s="522"/>
      <c r="D114" s="264"/>
      <c r="E114" s="523">
        <f>+E31+E113</f>
        <v>194895500</v>
      </c>
      <c r="F114" s="523"/>
      <c r="G114" s="523"/>
      <c r="H114" s="523"/>
      <c r="K114" s="522" t="s">
        <v>36</v>
      </c>
      <c r="L114" s="522"/>
      <c r="M114" s="522"/>
      <c r="N114" s="272"/>
      <c r="O114" s="523">
        <f>+O31+O113</f>
        <v>59548000</v>
      </c>
      <c r="P114" s="523"/>
      <c r="Q114" s="523"/>
      <c r="R114" s="523"/>
      <c r="U114" s="522" t="s">
        <v>36</v>
      </c>
      <c r="V114" s="522"/>
      <c r="W114" s="522"/>
      <c r="X114" s="274"/>
      <c r="Y114" s="523">
        <f>+Y31+Y113</f>
        <v>126779000</v>
      </c>
      <c r="Z114" s="523"/>
      <c r="AA114" s="523"/>
      <c r="AB114" s="523"/>
    </row>
    <row r="115" spans="1:28">
      <c r="A115" s="524" t="s">
        <v>32</v>
      </c>
      <c r="B115" s="524"/>
      <c r="C115" s="524"/>
      <c r="D115" s="524"/>
      <c r="E115" s="524"/>
      <c r="F115" s="524"/>
      <c r="G115" s="524"/>
      <c r="H115" s="524"/>
      <c r="K115" s="524" t="s">
        <v>32</v>
      </c>
      <c r="L115" s="524"/>
      <c r="M115" s="524"/>
      <c r="N115" s="524"/>
      <c r="O115" s="524"/>
      <c r="P115" s="524"/>
      <c r="Q115" s="524"/>
      <c r="R115" s="524"/>
      <c r="U115" s="524" t="s">
        <v>32</v>
      </c>
      <c r="V115" s="524"/>
      <c r="W115" s="524"/>
      <c r="X115" s="524"/>
      <c r="Y115" s="524"/>
      <c r="Z115" s="524"/>
      <c r="AA115" s="524"/>
      <c r="AB115" s="524"/>
    </row>
    <row r="116" spans="1:28">
      <c r="A116" s="33"/>
      <c r="B116" s="13"/>
      <c r="C116" s="22"/>
      <c r="D116" s="22"/>
      <c r="E116" s="22"/>
      <c r="F116" s="22"/>
      <c r="G116" s="16"/>
      <c r="H116" s="16"/>
      <c r="K116" s="33"/>
      <c r="L116" s="13"/>
      <c r="M116" s="22"/>
      <c r="N116" s="22"/>
      <c r="O116" s="22"/>
      <c r="P116" s="22"/>
      <c r="Q116" s="16"/>
      <c r="R116" s="16"/>
      <c r="U116" s="33"/>
      <c r="V116" s="13"/>
      <c r="W116" s="22"/>
      <c r="X116" s="22"/>
      <c r="Y116" s="22"/>
      <c r="Z116" s="22"/>
      <c r="AA116" s="16"/>
      <c r="AB116" s="16"/>
    </row>
    <row r="117" spans="1:28">
      <c r="A117" s="33"/>
      <c r="B117" s="13"/>
      <c r="C117" s="22"/>
      <c r="D117" s="22"/>
      <c r="E117" s="22"/>
      <c r="F117" s="22"/>
      <c r="G117" s="16"/>
      <c r="H117" s="16"/>
      <c r="K117" s="33"/>
      <c r="L117" s="13"/>
      <c r="M117" s="22"/>
      <c r="N117" s="22"/>
      <c r="O117" s="22"/>
      <c r="P117" s="22"/>
      <c r="Q117" s="16"/>
      <c r="R117" s="16"/>
      <c r="U117" s="33"/>
      <c r="V117" s="13"/>
      <c r="W117" s="22"/>
      <c r="X117" s="22"/>
      <c r="Y117" s="22"/>
      <c r="Z117" s="22"/>
      <c r="AA117" s="16"/>
      <c r="AB117" s="16"/>
    </row>
    <row r="118" spans="1:28">
      <c r="A118" s="33"/>
      <c r="B118" s="13"/>
      <c r="C118" s="22"/>
      <c r="D118" s="22"/>
      <c r="E118" s="22"/>
      <c r="F118" s="22"/>
      <c r="G118" s="16"/>
      <c r="H118" s="16"/>
      <c r="K118" s="33"/>
      <c r="L118" s="13"/>
      <c r="M118" s="22"/>
      <c r="N118" s="22"/>
      <c r="O118" s="22"/>
      <c r="P118" s="22"/>
      <c r="Q118" s="16"/>
      <c r="R118" s="16"/>
      <c r="U118" s="33"/>
      <c r="V118" s="13"/>
      <c r="W118" s="22"/>
      <c r="X118" s="22"/>
      <c r="Y118" s="22"/>
      <c r="Z118" s="22"/>
      <c r="AA118" s="16"/>
      <c r="AB118" s="16"/>
    </row>
    <row r="119" spans="1:28">
      <c r="A119" s="20"/>
      <c r="B119" s="13"/>
      <c r="C119" s="22"/>
      <c r="D119" s="22"/>
      <c r="E119" s="22"/>
      <c r="F119" s="16"/>
      <c r="G119" s="16"/>
      <c r="H119" s="16"/>
      <c r="K119" s="20"/>
      <c r="L119" s="13"/>
      <c r="M119" s="22"/>
      <c r="N119" s="22"/>
      <c r="O119" s="22"/>
      <c r="P119" s="16"/>
      <c r="Q119" s="16"/>
      <c r="R119" s="16"/>
      <c r="U119" s="20"/>
      <c r="V119" s="13"/>
      <c r="W119" s="22"/>
      <c r="X119" s="22"/>
      <c r="Y119" s="22"/>
      <c r="Z119" s="16"/>
      <c r="AA119" s="16"/>
      <c r="AB119" s="16"/>
    </row>
    <row r="120" spans="1:28">
      <c r="A120" s="20"/>
      <c r="B120" s="13"/>
      <c r="C120" s="22"/>
      <c r="D120" s="22"/>
      <c r="E120" s="22"/>
      <c r="F120" s="16"/>
      <c r="G120" s="16"/>
      <c r="H120" s="16"/>
      <c r="K120" s="20"/>
      <c r="L120" s="13"/>
      <c r="M120" s="22"/>
      <c r="N120" s="22"/>
      <c r="O120" s="22"/>
      <c r="P120" s="16"/>
      <c r="Q120" s="16"/>
      <c r="R120" s="16"/>
      <c r="U120" s="20"/>
      <c r="V120" s="13"/>
      <c r="W120" s="22"/>
      <c r="X120" s="22"/>
      <c r="Y120" s="22"/>
      <c r="Z120" s="16"/>
      <c r="AA120" s="16"/>
      <c r="AB120" s="16"/>
    </row>
    <row r="121" spans="1:28">
      <c r="A121" s="525" t="s">
        <v>37</v>
      </c>
      <c r="B121" s="525"/>
      <c r="C121" s="525"/>
      <c r="D121" s="265">
        <f>SUM(D116:D120)</f>
        <v>0</v>
      </c>
      <c r="E121" s="526"/>
      <c r="F121" s="526"/>
      <c r="G121" s="526"/>
      <c r="H121" s="526"/>
      <c r="K121" s="525" t="s">
        <v>37</v>
      </c>
      <c r="L121" s="525"/>
      <c r="M121" s="525"/>
      <c r="N121" s="269">
        <f>SUM(N116:N120)</f>
        <v>0</v>
      </c>
      <c r="O121" s="526"/>
      <c r="P121" s="526"/>
      <c r="Q121" s="526"/>
      <c r="R121" s="526"/>
      <c r="U121" s="525" t="s">
        <v>37</v>
      </c>
      <c r="V121" s="525"/>
      <c r="W121" s="525"/>
      <c r="X121" s="275">
        <f>SUM(X116:X120)</f>
        <v>0</v>
      </c>
      <c r="Y121" s="526"/>
      <c r="Z121" s="526"/>
      <c r="AA121" s="526"/>
      <c r="AB121" s="526"/>
    </row>
    <row r="122" spans="1:28">
      <c r="A122" s="34" t="s">
        <v>38</v>
      </c>
      <c r="B122" s="35"/>
      <c r="C122" s="265"/>
      <c r="D122" s="265"/>
      <c r="E122" s="266"/>
      <c r="F122" s="266"/>
      <c r="G122" s="526"/>
      <c r="H122" s="526"/>
      <c r="K122" s="34" t="s">
        <v>38</v>
      </c>
      <c r="L122" s="35"/>
      <c r="M122" s="269"/>
      <c r="N122" s="269"/>
      <c r="O122" s="270"/>
      <c r="P122" s="270"/>
      <c r="Q122" s="526"/>
      <c r="R122" s="526"/>
      <c r="U122" s="34" t="s">
        <v>38</v>
      </c>
      <c r="V122" s="35"/>
      <c r="W122" s="275"/>
      <c r="X122" s="275"/>
      <c r="Y122" s="276"/>
      <c r="Z122" s="276"/>
      <c r="AA122" s="526"/>
      <c r="AB122" s="526"/>
    </row>
    <row r="123" spans="1:28">
      <c r="A123" s="37"/>
      <c r="B123" s="38"/>
      <c r="C123" s="39"/>
      <c r="D123" s="39"/>
      <c r="E123" s="39"/>
      <c r="F123" s="39"/>
      <c r="G123" s="39"/>
      <c r="H123" s="39"/>
      <c r="K123" s="37"/>
      <c r="L123" s="38"/>
      <c r="M123" s="39"/>
      <c r="N123" s="39"/>
      <c r="O123" s="39"/>
      <c r="P123" s="39"/>
      <c r="Q123" s="39"/>
      <c r="R123" s="39"/>
      <c r="U123" s="37"/>
      <c r="V123" s="38"/>
      <c r="W123" s="39"/>
      <c r="X123" s="39"/>
      <c r="Y123" s="39"/>
      <c r="Z123" s="39"/>
      <c r="AA123" s="39"/>
      <c r="AB123" s="39"/>
    </row>
    <row r="124" spans="1:28">
      <c r="A124" s="519" t="s">
        <v>13</v>
      </c>
      <c r="B124" s="520"/>
      <c r="C124" s="520"/>
      <c r="D124" s="520"/>
      <c r="E124" s="521"/>
      <c r="F124" s="39"/>
      <c r="G124" s="39"/>
      <c r="H124" s="40"/>
      <c r="K124" s="519" t="s">
        <v>13</v>
      </c>
      <c r="L124" s="520"/>
      <c r="M124" s="520"/>
      <c r="N124" s="520"/>
      <c r="O124" s="521"/>
      <c r="P124" s="39"/>
      <c r="Q124" s="39"/>
      <c r="R124" s="40"/>
      <c r="U124" s="519" t="s">
        <v>13</v>
      </c>
      <c r="V124" s="520"/>
      <c r="W124" s="520"/>
      <c r="X124" s="520"/>
      <c r="Y124" s="521"/>
      <c r="Z124" s="39"/>
      <c r="AA124" s="39"/>
      <c r="AB124" s="40"/>
    </row>
    <row r="125" spans="1:28">
      <c r="A125" s="41" t="s">
        <v>39</v>
      </c>
      <c r="B125" s="42" t="s">
        <v>40</v>
      </c>
      <c r="C125" s="43" t="s">
        <v>41</v>
      </c>
      <c r="D125" s="43" t="s">
        <v>42</v>
      </c>
      <c r="E125" s="43" t="s">
        <v>43</v>
      </c>
      <c r="F125" s="39"/>
      <c r="G125" s="39"/>
      <c r="H125" s="39"/>
      <c r="K125" s="41" t="s">
        <v>39</v>
      </c>
      <c r="L125" s="42" t="s">
        <v>40</v>
      </c>
      <c r="M125" s="43" t="s">
        <v>41</v>
      </c>
      <c r="N125" s="43" t="s">
        <v>42</v>
      </c>
      <c r="O125" s="43" t="s">
        <v>43</v>
      </c>
      <c r="P125" s="39"/>
      <c r="Q125" s="39"/>
      <c r="R125" s="39"/>
      <c r="U125" s="41" t="s">
        <v>39</v>
      </c>
      <c r="V125" s="42" t="s">
        <v>40</v>
      </c>
      <c r="W125" s="43" t="s">
        <v>41</v>
      </c>
      <c r="X125" s="43" t="s">
        <v>42</v>
      </c>
      <c r="Y125" s="43" t="s">
        <v>43</v>
      </c>
      <c r="Z125" s="39"/>
      <c r="AA125" s="39"/>
      <c r="AB125" s="39"/>
    </row>
    <row r="126" spans="1:28" hidden="1">
      <c r="A126" s="41"/>
      <c r="B126" s="44"/>
      <c r="C126" s="45"/>
      <c r="D126" s="46"/>
      <c r="E126" s="46"/>
      <c r="F126" s="39"/>
      <c r="G126" s="39"/>
      <c r="H126" s="39"/>
      <c r="K126" s="41"/>
      <c r="L126" s="44"/>
      <c r="M126" s="45"/>
      <c r="N126" s="46"/>
      <c r="O126" s="46"/>
      <c r="P126" s="39"/>
      <c r="Q126" s="39"/>
      <c r="R126" s="39"/>
      <c r="U126" s="41"/>
      <c r="V126" s="44"/>
      <c r="W126" s="45"/>
      <c r="X126" s="46"/>
      <c r="Y126" s="46"/>
      <c r="Z126" s="39"/>
      <c r="AA126" s="39"/>
      <c r="AB126" s="39"/>
    </row>
    <row r="127" spans="1:28">
      <c r="A127" s="41"/>
      <c r="B127" s="44"/>
      <c r="C127" s="45"/>
      <c r="D127" s="46"/>
      <c r="E127" s="46"/>
      <c r="F127" s="39"/>
      <c r="G127" s="39"/>
      <c r="H127" s="39"/>
      <c r="K127" s="41"/>
      <c r="L127" s="110">
        <v>46155</v>
      </c>
      <c r="M127" s="45" t="s">
        <v>777</v>
      </c>
      <c r="N127" s="46">
        <v>60000000</v>
      </c>
      <c r="O127" s="46"/>
      <c r="P127" s="39"/>
      <c r="Q127" s="39"/>
      <c r="R127" s="39"/>
      <c r="U127" s="41"/>
      <c r="V127" s="110"/>
      <c r="W127" s="45"/>
      <c r="X127" s="46"/>
      <c r="Y127" s="46"/>
      <c r="Z127" s="39"/>
      <c r="AA127" s="39"/>
      <c r="AB127" s="39"/>
    </row>
    <row r="128" spans="1:28">
      <c r="A128" s="41"/>
      <c r="B128" s="44"/>
      <c r="C128" s="45"/>
      <c r="D128" s="46"/>
      <c r="E128" s="46"/>
      <c r="F128" s="39"/>
      <c r="G128" s="39"/>
      <c r="H128" s="39"/>
      <c r="K128" s="41"/>
      <c r="L128" s="44"/>
      <c r="M128" s="45"/>
      <c r="N128" s="46"/>
      <c r="O128" s="46"/>
      <c r="P128" s="39"/>
      <c r="Q128" s="39"/>
      <c r="R128" s="39"/>
      <c r="U128" s="41"/>
      <c r="V128" s="110">
        <v>46157</v>
      </c>
      <c r="W128" s="45" t="s">
        <v>781</v>
      </c>
      <c r="X128" s="46">
        <v>50000000</v>
      </c>
      <c r="Y128" s="46"/>
      <c r="Z128" s="39"/>
      <c r="AA128" s="39"/>
      <c r="AB128" s="39"/>
    </row>
    <row r="129" spans="1:28">
      <c r="A129" s="41"/>
      <c r="B129" s="44"/>
      <c r="C129" s="281"/>
      <c r="D129" s="46"/>
      <c r="E129" s="46"/>
      <c r="F129" s="39"/>
      <c r="G129" s="39"/>
      <c r="H129" s="39"/>
      <c r="K129" s="41"/>
      <c r="L129" s="44"/>
      <c r="M129" s="281"/>
      <c r="N129" s="46"/>
      <c r="O129" s="46"/>
      <c r="P129" s="39"/>
      <c r="Q129" s="39"/>
      <c r="R129" s="39"/>
      <c r="U129" s="41"/>
      <c r="V129" s="44"/>
      <c r="W129" s="281" t="s">
        <v>782</v>
      </c>
      <c r="X129" s="46">
        <v>10000000</v>
      </c>
      <c r="Y129" s="46"/>
      <c r="Z129" s="39"/>
      <c r="AA129" s="39"/>
      <c r="AB129" s="39"/>
    </row>
    <row r="130" spans="1:28">
      <c r="A130" s="41"/>
      <c r="B130" s="44"/>
      <c r="C130" s="281"/>
      <c r="D130" s="46"/>
      <c r="E130" s="46"/>
      <c r="F130" s="39"/>
      <c r="G130" s="39"/>
      <c r="H130" s="39"/>
      <c r="K130" s="41"/>
      <c r="L130" s="44"/>
      <c r="M130" s="281"/>
      <c r="N130" s="46"/>
      <c r="O130" s="46"/>
      <c r="P130" s="39"/>
      <c r="Q130" s="39"/>
      <c r="R130" s="39"/>
      <c r="U130" s="41"/>
      <c r="V130" s="44"/>
      <c r="W130" s="281" t="s">
        <v>783</v>
      </c>
      <c r="X130" s="46">
        <v>10000000</v>
      </c>
      <c r="Y130" s="46"/>
      <c r="Z130" s="39"/>
      <c r="AA130" s="39"/>
      <c r="AB130" s="39"/>
    </row>
    <row r="131" spans="1:28">
      <c r="A131" s="41"/>
      <c r="B131" s="44"/>
      <c r="C131" s="281"/>
      <c r="D131" s="46"/>
      <c r="E131" s="46"/>
      <c r="F131" s="39"/>
      <c r="G131" s="39"/>
      <c r="H131" s="39"/>
      <c r="K131" s="41"/>
      <c r="L131" s="44"/>
      <c r="M131" s="281"/>
      <c r="N131" s="46"/>
      <c r="O131" s="46"/>
      <c r="P131" s="39"/>
      <c r="Q131" s="39"/>
      <c r="R131" s="39"/>
      <c r="U131" s="41"/>
      <c r="V131" s="44"/>
      <c r="W131" s="281" t="s">
        <v>784</v>
      </c>
      <c r="X131" s="46">
        <v>20000000</v>
      </c>
      <c r="Y131" s="46"/>
      <c r="Z131" s="39"/>
      <c r="AA131" s="39"/>
      <c r="AB131" s="39"/>
    </row>
    <row r="132" spans="1:28">
      <c r="A132" s="41"/>
      <c r="B132" s="44"/>
      <c r="C132" s="281"/>
      <c r="D132" s="46"/>
      <c r="E132" s="46"/>
      <c r="F132" s="39"/>
      <c r="G132" s="39"/>
      <c r="H132" s="39"/>
      <c r="K132" s="41"/>
      <c r="L132" s="44"/>
      <c r="M132" s="281"/>
      <c r="N132" s="46"/>
      <c r="O132" s="46"/>
      <c r="P132" s="39"/>
      <c r="Q132" s="39"/>
      <c r="R132" s="39"/>
      <c r="U132" s="41"/>
      <c r="V132" s="44"/>
      <c r="W132" s="281" t="s">
        <v>785</v>
      </c>
      <c r="X132" s="46">
        <v>10000000</v>
      </c>
      <c r="Y132" s="46"/>
      <c r="Z132" s="39"/>
      <c r="AA132" s="39"/>
      <c r="AB132" s="39"/>
    </row>
    <row r="133" spans="1:28">
      <c r="A133" s="41"/>
      <c r="B133" s="44"/>
      <c r="C133" s="281"/>
      <c r="D133" s="46"/>
      <c r="E133" s="46"/>
      <c r="F133" s="39"/>
      <c r="G133" s="39"/>
      <c r="H133" s="39"/>
      <c r="K133" s="41"/>
      <c r="L133" s="44"/>
      <c r="M133" s="281"/>
      <c r="N133" s="46"/>
      <c r="O133" s="46"/>
      <c r="P133" s="39"/>
      <c r="Q133" s="39"/>
      <c r="R133" s="39"/>
      <c r="U133" s="41"/>
      <c r="V133" s="44"/>
      <c r="W133" s="281" t="s">
        <v>786</v>
      </c>
      <c r="X133" s="46">
        <v>5000000</v>
      </c>
      <c r="Y133" s="46"/>
      <c r="Z133" s="39"/>
      <c r="AA133" s="39"/>
      <c r="AB133" s="39"/>
    </row>
    <row r="134" spans="1:28">
      <c r="A134" s="41"/>
      <c r="B134" s="44"/>
      <c r="C134" s="47"/>
      <c r="D134" s="46"/>
      <c r="E134" s="46"/>
      <c r="F134" s="39"/>
      <c r="G134" s="39"/>
      <c r="H134" s="39"/>
      <c r="K134" s="41"/>
      <c r="L134" s="44"/>
      <c r="M134" s="47"/>
      <c r="N134" s="46"/>
      <c r="O134" s="46"/>
      <c r="P134" s="39"/>
      <c r="Q134" s="39"/>
      <c r="R134" s="39"/>
      <c r="U134" s="41"/>
      <c r="V134" s="44"/>
      <c r="W134" s="47" t="s">
        <v>790</v>
      </c>
      <c r="X134" s="46">
        <v>20000000</v>
      </c>
      <c r="Y134" s="46"/>
      <c r="Z134" s="39"/>
      <c r="AA134" s="39"/>
      <c r="AB134" s="39"/>
    </row>
    <row r="135" spans="1:28">
      <c r="A135" s="41"/>
      <c r="B135" s="44"/>
      <c r="C135" s="46"/>
      <c r="D135" s="48"/>
      <c r="E135" s="46"/>
      <c r="F135" s="39"/>
      <c r="G135" s="39"/>
      <c r="H135" s="39"/>
      <c r="K135" s="41"/>
      <c r="L135" s="44"/>
      <c r="M135" s="46"/>
      <c r="N135" s="48"/>
      <c r="O135" s="46"/>
      <c r="P135" s="39"/>
      <c r="Q135" s="39"/>
      <c r="R135" s="39"/>
      <c r="U135" s="41"/>
      <c r="V135" s="44"/>
      <c r="W135" s="46"/>
      <c r="X135" s="48"/>
      <c r="Y135" s="46"/>
      <c r="Z135" s="39"/>
      <c r="AA135" s="39"/>
      <c r="AB135" s="39"/>
    </row>
    <row r="136" spans="1:28">
      <c r="A136" s="49"/>
      <c r="B136" s="50"/>
      <c r="C136" s="51" t="s">
        <v>44</v>
      </c>
      <c r="D136" s="51">
        <f>SUM(D126:D135)</f>
        <v>0</v>
      </c>
      <c r="E136" s="52"/>
      <c r="F136" s="39"/>
      <c r="G136" s="39"/>
      <c r="H136" s="39"/>
      <c r="K136" s="49"/>
      <c r="L136" s="50"/>
      <c r="M136" s="51" t="s">
        <v>44</v>
      </c>
      <c r="N136" s="51">
        <f>SUM(N126:N135)</f>
        <v>60000000</v>
      </c>
      <c r="O136" s="52"/>
      <c r="P136" s="39"/>
      <c r="Q136" s="39"/>
      <c r="R136" s="39"/>
      <c r="U136" s="49"/>
      <c r="V136" s="50"/>
      <c r="W136" s="51" t="s">
        <v>44</v>
      </c>
      <c r="X136" s="51">
        <f>SUM(X126:X135)</f>
        <v>125000000</v>
      </c>
      <c r="Y136" s="52"/>
      <c r="Z136" s="39"/>
      <c r="AA136" s="39"/>
      <c r="AB136" s="39"/>
    </row>
    <row r="137" spans="1:28">
      <c r="A137" s="53"/>
      <c r="B137" s="54"/>
      <c r="C137" s="55" t="s">
        <v>779</v>
      </c>
      <c r="D137" s="116"/>
      <c r="E137" s="3"/>
      <c r="F137" s="39"/>
      <c r="G137" s="39"/>
      <c r="H137" s="39"/>
      <c r="K137" s="53"/>
      <c r="L137" s="54"/>
      <c r="M137" s="55" t="s">
        <v>779</v>
      </c>
      <c r="N137" s="116">
        <f>N136-O114</f>
        <v>452000</v>
      </c>
      <c r="O137" s="3"/>
      <c r="P137" s="39"/>
      <c r="Q137" s="39"/>
      <c r="R137" s="39"/>
      <c r="U137" s="53"/>
      <c r="V137" s="54"/>
      <c r="W137" s="55" t="s">
        <v>779</v>
      </c>
      <c r="X137" s="116">
        <f>X136-Y114</f>
        <v>-1779000</v>
      </c>
      <c r="Y137" s="3"/>
      <c r="Z137" s="39"/>
      <c r="AA137" s="39"/>
      <c r="AB137" s="39"/>
    </row>
  </sheetData>
  <mergeCells count="99">
    <mergeCell ref="K115:R115"/>
    <mergeCell ref="K121:M121"/>
    <mergeCell ref="O121:R121"/>
    <mergeCell ref="Q122:R122"/>
    <mergeCell ref="K124:O124"/>
    <mergeCell ref="O112:R112"/>
    <mergeCell ref="K113:M113"/>
    <mergeCell ref="O113:R113"/>
    <mergeCell ref="K114:M114"/>
    <mergeCell ref="O114:R114"/>
    <mergeCell ref="K81:R81"/>
    <mergeCell ref="O86:R86"/>
    <mergeCell ref="K87:R87"/>
    <mergeCell ref="O100:R100"/>
    <mergeCell ref="K101:R101"/>
    <mergeCell ref="O55:R55"/>
    <mergeCell ref="K56:R56"/>
    <mergeCell ref="O62:R62"/>
    <mergeCell ref="K63:R63"/>
    <mergeCell ref="O80:R80"/>
    <mergeCell ref="K31:N31"/>
    <mergeCell ref="O31:R31"/>
    <mergeCell ref="K32:R32"/>
    <mergeCell ref="O50:R50"/>
    <mergeCell ref="K51:R51"/>
    <mergeCell ref="K3:R3"/>
    <mergeCell ref="K12:Q12"/>
    <mergeCell ref="K13:R13"/>
    <mergeCell ref="K14:K15"/>
    <mergeCell ref="L14:L15"/>
    <mergeCell ref="M14:M15"/>
    <mergeCell ref="N14:N15"/>
    <mergeCell ref="O14:R14"/>
    <mergeCell ref="A3:H3"/>
    <mergeCell ref="A12:G12"/>
    <mergeCell ref="A13:H13"/>
    <mergeCell ref="A14:A15"/>
    <mergeCell ref="B14:B15"/>
    <mergeCell ref="C14:C15"/>
    <mergeCell ref="D14:D15"/>
    <mergeCell ref="E14:H14"/>
    <mergeCell ref="E86:H86"/>
    <mergeCell ref="A31:D31"/>
    <mergeCell ref="E31:H31"/>
    <mergeCell ref="A32:H32"/>
    <mergeCell ref="E50:H50"/>
    <mergeCell ref="A51:H51"/>
    <mergeCell ref="E55:H55"/>
    <mergeCell ref="A56:H56"/>
    <mergeCell ref="E62:H62"/>
    <mergeCell ref="A63:H63"/>
    <mergeCell ref="E80:H80"/>
    <mergeCell ref="A81:H81"/>
    <mergeCell ref="A87:H87"/>
    <mergeCell ref="E100:H100"/>
    <mergeCell ref="A101:H101"/>
    <mergeCell ref="E112:H112"/>
    <mergeCell ref="A113:C113"/>
    <mergeCell ref="E113:H113"/>
    <mergeCell ref="A124:E124"/>
    <mergeCell ref="A114:C114"/>
    <mergeCell ref="E114:H114"/>
    <mergeCell ref="A115:H115"/>
    <mergeCell ref="A121:C121"/>
    <mergeCell ref="E121:H121"/>
    <mergeCell ref="G122:H122"/>
    <mergeCell ref="U3:AB3"/>
    <mergeCell ref="U12:AA12"/>
    <mergeCell ref="U13:AB13"/>
    <mergeCell ref="U14:U15"/>
    <mergeCell ref="V14:V15"/>
    <mergeCell ref="W14:W15"/>
    <mergeCell ref="X14:X15"/>
    <mergeCell ref="Y14:AB14"/>
    <mergeCell ref="U31:X31"/>
    <mergeCell ref="Y31:AB31"/>
    <mergeCell ref="U32:AB32"/>
    <mergeCell ref="Y50:AB50"/>
    <mergeCell ref="U51:AB51"/>
    <mergeCell ref="Y55:AB55"/>
    <mergeCell ref="U56:AB56"/>
    <mergeCell ref="Y62:AB62"/>
    <mergeCell ref="U63:AB63"/>
    <mergeCell ref="Y80:AB80"/>
    <mergeCell ref="U81:AB81"/>
    <mergeCell ref="Y86:AB86"/>
    <mergeCell ref="U87:AB87"/>
    <mergeCell ref="Y100:AB100"/>
    <mergeCell ref="U101:AB101"/>
    <mergeCell ref="Y112:AB112"/>
    <mergeCell ref="U113:W113"/>
    <mergeCell ref="Y113:AB113"/>
    <mergeCell ref="U114:W114"/>
    <mergeCell ref="Y114:AB114"/>
    <mergeCell ref="U115:AB115"/>
    <mergeCell ref="U121:W121"/>
    <mergeCell ref="Y121:AB121"/>
    <mergeCell ref="AA122:AB122"/>
    <mergeCell ref="U124:Y124"/>
  </mergeCells>
  <pageMargins left="0.15748031496062992" right="0.11811023622047245" top="0.19685039370078741" bottom="0.35433070866141736" header="0.11811023622047245" footer="0.31496062992125984"/>
  <pageSetup paperSize="9" scale="65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0"/>
  <sheetViews>
    <sheetView workbookViewId="0"/>
  </sheetViews>
  <sheetFormatPr defaultRowHeight="15"/>
  <cols>
    <col min="1" max="1" width="40.7109375" bestFit="1" customWidth="1"/>
    <col min="2" max="2" width="11.5703125" bestFit="1" customWidth="1"/>
    <col min="3" max="3" width="25" bestFit="1" customWidth="1"/>
    <col min="4" max="4" width="10.5703125" bestFit="1" customWidth="1"/>
    <col min="5" max="5" width="54.7109375" bestFit="1" customWidth="1"/>
    <col min="6" max="6" width="10.5703125" bestFit="1" customWidth="1"/>
    <col min="7" max="7" width="45" bestFit="1" customWidth="1"/>
    <col min="8" max="8" width="11.5703125" bestFit="1" customWidth="1"/>
    <col min="9" max="9" width="17.42578125" bestFit="1" customWidth="1"/>
    <col min="10" max="10" width="10.5703125" bestFit="1" customWidth="1"/>
    <col min="11" max="11" width="11.5703125" style="77" bestFit="1" customWidth="1"/>
    <col min="12" max="12" width="12.5703125" bestFit="1" customWidth="1"/>
    <col min="13" max="13" width="11.5703125" bestFit="1" customWidth="1"/>
  </cols>
  <sheetData>
    <row r="1" spans="1:13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3" s="184" customFormat="1">
      <c r="A2" s="23" t="s">
        <v>731</v>
      </c>
      <c r="B2" s="23">
        <v>5705000</v>
      </c>
      <c r="C2" s="23" t="s">
        <v>791</v>
      </c>
      <c r="D2" s="23">
        <v>600000</v>
      </c>
      <c r="E2" s="15" t="s">
        <v>792</v>
      </c>
      <c r="F2" s="22">
        <v>647000</v>
      </c>
      <c r="G2" s="15" t="s">
        <v>795</v>
      </c>
      <c r="H2" s="22">
        <v>69000</v>
      </c>
      <c r="I2" s="14" t="s">
        <v>799</v>
      </c>
      <c r="J2" s="15">
        <v>1150000</v>
      </c>
      <c r="K2" s="282"/>
    </row>
    <row r="3" spans="1:13" s="184" customFormat="1">
      <c r="A3" s="23" t="s">
        <v>263</v>
      </c>
      <c r="B3" s="23">
        <v>1540000</v>
      </c>
      <c r="C3" s="23" t="s">
        <v>410</v>
      </c>
      <c r="D3" s="23">
        <v>530000</v>
      </c>
      <c r="E3" s="15" t="s">
        <v>793</v>
      </c>
      <c r="F3" s="22">
        <v>200000</v>
      </c>
      <c r="G3" s="15" t="s">
        <v>796</v>
      </c>
      <c r="H3" s="23">
        <v>58500</v>
      </c>
      <c r="I3" s="14" t="s">
        <v>800</v>
      </c>
      <c r="J3" s="15">
        <v>200000</v>
      </c>
      <c r="K3" s="282"/>
    </row>
    <row r="4" spans="1:13" s="184" customFormat="1">
      <c r="A4" s="24" t="s">
        <v>756</v>
      </c>
      <c r="B4" s="23">
        <v>300000</v>
      </c>
      <c r="C4" s="183"/>
      <c r="D4" s="30"/>
      <c r="E4" s="23" t="s">
        <v>794</v>
      </c>
      <c r="F4" s="23">
        <v>2765000</v>
      </c>
      <c r="G4" s="24" t="s">
        <v>797</v>
      </c>
      <c r="H4" s="23">
        <v>10000000</v>
      </c>
      <c r="I4" s="183"/>
      <c r="J4" s="30"/>
      <c r="K4" s="282"/>
    </row>
    <row r="5" spans="1:13" s="184" customFormat="1">
      <c r="A5" s="24"/>
      <c r="B5" s="23"/>
      <c r="C5" s="30"/>
      <c r="D5" s="185"/>
      <c r="E5" s="15"/>
      <c r="F5" s="23"/>
      <c r="G5" s="23" t="s">
        <v>754</v>
      </c>
      <c r="H5" s="23">
        <v>35000000</v>
      </c>
      <c r="I5" s="183"/>
      <c r="J5" s="183"/>
      <c r="K5" s="282"/>
    </row>
    <row r="6" spans="1:13" s="187" customFormat="1">
      <c r="A6" s="24"/>
      <c r="B6" s="23"/>
      <c r="C6" s="186"/>
      <c r="D6" s="185"/>
      <c r="E6" s="23"/>
      <c r="F6" s="23"/>
      <c r="G6" s="24" t="s">
        <v>798</v>
      </c>
      <c r="H6" s="23">
        <v>1050000</v>
      </c>
      <c r="I6" s="23"/>
      <c r="J6" s="23"/>
      <c r="K6" s="283"/>
    </row>
    <row r="7" spans="1:13" s="187" customFormat="1">
      <c r="A7" s="22"/>
      <c r="B7" s="22"/>
      <c r="C7" s="30"/>
      <c r="D7" s="188"/>
      <c r="E7" s="183"/>
      <c r="F7" s="30"/>
      <c r="G7" s="23"/>
      <c r="H7" s="23"/>
      <c r="I7" s="14"/>
      <c r="J7" s="15"/>
      <c r="K7" s="283"/>
    </row>
    <row r="8" spans="1:13" s="187" customFormat="1">
      <c r="A8" s="22"/>
      <c r="B8" s="29"/>
      <c r="C8" s="30"/>
      <c r="D8" s="188"/>
      <c r="E8" s="30"/>
      <c r="F8" s="188"/>
      <c r="G8" s="24"/>
      <c r="H8" s="23"/>
      <c r="I8" s="30"/>
      <c r="J8" s="188"/>
      <c r="K8" s="283"/>
    </row>
    <row r="9" spans="1:13" s="187" customFormat="1">
      <c r="A9" s="193"/>
      <c r="B9" s="194"/>
      <c r="C9" s="194"/>
      <c r="D9" s="194"/>
      <c r="E9" s="194"/>
      <c r="F9" s="194"/>
      <c r="G9" s="196"/>
      <c r="H9" s="196"/>
      <c r="I9" s="193"/>
      <c r="J9" s="194"/>
      <c r="K9" s="283"/>
    </row>
    <row r="10" spans="1:13">
      <c r="A10" s="68"/>
      <c r="B10" s="69"/>
      <c r="C10" s="69"/>
      <c r="D10" s="69"/>
      <c r="E10" s="69"/>
      <c r="F10" s="69"/>
      <c r="G10" s="119"/>
      <c r="H10" s="120"/>
      <c r="I10" s="68"/>
      <c r="J10" s="69"/>
    </row>
    <row r="11" spans="1:13">
      <c r="A11" s="70"/>
      <c r="B11" s="71">
        <f t="shared" ref="B11:J11" si="0">SUM(B2:B9)</f>
        <v>7545000</v>
      </c>
      <c r="C11" s="71">
        <f t="shared" si="0"/>
        <v>0</v>
      </c>
      <c r="D11" s="71">
        <f t="shared" si="0"/>
        <v>1130000</v>
      </c>
      <c r="E11" s="71">
        <f t="shared" si="0"/>
        <v>0</v>
      </c>
      <c r="F11" s="71">
        <f t="shared" si="0"/>
        <v>3612000</v>
      </c>
      <c r="G11" s="71">
        <f t="shared" si="0"/>
        <v>0</v>
      </c>
      <c r="H11" s="71">
        <f t="shared" si="0"/>
        <v>46177500</v>
      </c>
      <c r="I11" s="71">
        <f t="shared" si="0"/>
        <v>0</v>
      </c>
      <c r="J11" s="71">
        <f t="shared" si="0"/>
        <v>1350000</v>
      </c>
      <c r="L11" s="72"/>
      <c r="M11" s="72"/>
    </row>
    <row r="12" spans="1:13">
      <c r="L12" s="72">
        <f>+J11+H11+F11+D11+B11</f>
        <v>59814500</v>
      </c>
    </row>
    <row r="13" spans="1:13">
      <c r="A13" s="279"/>
    </row>
    <row r="14" spans="1:13">
      <c r="A14" s="24"/>
      <c r="B14" s="23"/>
      <c r="L14" s="72"/>
    </row>
    <row r="15" spans="1:13">
      <c r="A15" s="22"/>
      <c r="B15" s="22"/>
    </row>
    <row r="16" spans="1:13">
      <c r="B16" s="77"/>
      <c r="H16" s="72"/>
    </row>
    <row r="18" spans="2:8">
      <c r="B18" s="135"/>
    </row>
    <row r="19" spans="2:8">
      <c r="B19" s="72"/>
    </row>
    <row r="20" spans="2:8">
      <c r="B20" s="72"/>
      <c r="H20" s="72">
        <f>+H2+H3+H6</f>
        <v>1177500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137"/>
  <sheetViews>
    <sheetView workbookViewId="0"/>
  </sheetViews>
  <sheetFormatPr defaultRowHeight="15"/>
  <cols>
    <col min="3" max="3" width="54.7109375" bestFit="1" customWidth="1"/>
    <col min="4" max="4" width="12" bestFit="1" customWidth="1"/>
    <col min="8" max="8" width="12" bestFit="1" customWidth="1"/>
    <col min="12" max="12" width="52" bestFit="1" customWidth="1"/>
    <col min="13" max="13" width="11.7109375" bestFit="1" customWidth="1"/>
    <col min="17" max="17" width="11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834</v>
      </c>
      <c r="B2" s="2"/>
      <c r="C2" s="3"/>
      <c r="D2" s="3"/>
      <c r="E2" s="3"/>
      <c r="F2" s="3"/>
      <c r="G2" s="3"/>
      <c r="H2" s="3"/>
      <c r="J2" s="1" t="s">
        <v>834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 t="s">
        <v>746</v>
      </c>
      <c r="E4" s="6"/>
      <c r="F4" s="6"/>
      <c r="G4" s="6"/>
      <c r="H4" s="6"/>
      <c r="J4" s="4"/>
      <c r="K4" s="5"/>
      <c r="L4" s="6" t="s">
        <v>2</v>
      </c>
      <c r="M4" s="7" t="s">
        <v>746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/>
      <c r="E5" s="6"/>
      <c r="F5" s="6"/>
      <c r="G5" s="6"/>
      <c r="H5" s="6"/>
      <c r="J5" s="4"/>
      <c r="K5" s="5"/>
      <c r="L5" s="6" t="s">
        <v>590</v>
      </c>
      <c r="M5" s="7"/>
      <c r="N5" s="6"/>
      <c r="O5" s="6"/>
      <c r="P5" s="6"/>
      <c r="Q5" s="6"/>
    </row>
    <row r="6" spans="1:17">
      <c r="A6" s="4"/>
      <c r="B6" s="5"/>
      <c r="C6" s="6" t="s">
        <v>3</v>
      </c>
      <c r="D6" s="8">
        <v>1295765</v>
      </c>
      <c r="E6" s="6"/>
      <c r="F6" s="6"/>
      <c r="G6" s="6"/>
      <c r="H6" s="6"/>
      <c r="J6" s="4"/>
      <c r="K6" s="5"/>
      <c r="L6" s="6" t="s">
        <v>3</v>
      </c>
      <c r="M6" s="8">
        <v>1295765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1164811</v>
      </c>
      <c r="E7" s="6"/>
      <c r="F7" s="6"/>
      <c r="G7" s="6"/>
      <c r="H7" s="6"/>
      <c r="J7" s="4"/>
      <c r="K7" s="5"/>
      <c r="L7" s="6" t="s">
        <v>4</v>
      </c>
      <c r="M7" s="115">
        <v>1164811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17000000</v>
      </c>
      <c r="E10" s="6"/>
      <c r="F10" s="6"/>
      <c r="G10" s="6"/>
      <c r="H10" s="6"/>
      <c r="J10" s="4"/>
      <c r="K10" s="5"/>
      <c r="L10" s="6" t="s">
        <v>7</v>
      </c>
      <c r="M10" s="6">
        <v>17000000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835</v>
      </c>
      <c r="B12" s="532"/>
      <c r="C12" s="532"/>
      <c r="D12" s="532"/>
      <c r="E12" s="532"/>
      <c r="F12" s="532"/>
      <c r="G12" s="533"/>
      <c r="H12" s="10">
        <f>SUM(D4:D10)</f>
        <v>23904464.513333328</v>
      </c>
      <c r="J12" s="531" t="s">
        <v>835</v>
      </c>
      <c r="K12" s="532"/>
      <c r="L12" s="532"/>
      <c r="M12" s="532"/>
      <c r="N12" s="532"/>
      <c r="O12" s="532"/>
      <c r="P12" s="533"/>
      <c r="Q12" s="10">
        <f>SUM(M4:M10)</f>
        <v>23904464.513333328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287" t="s">
        <v>14</v>
      </c>
      <c r="F15" s="287" t="s">
        <v>15</v>
      </c>
      <c r="G15" s="287" t="s">
        <v>16</v>
      </c>
      <c r="H15" s="287" t="s">
        <v>17</v>
      </c>
      <c r="J15" s="536"/>
      <c r="K15" s="537"/>
      <c r="L15" s="538"/>
      <c r="M15" s="538"/>
      <c r="N15" s="293" t="s">
        <v>14</v>
      </c>
      <c r="O15" s="293" t="s">
        <v>15</v>
      </c>
      <c r="P15" s="293" t="s">
        <v>16</v>
      </c>
      <c r="Q15" s="293" t="s">
        <v>17</v>
      </c>
    </row>
    <row r="16" spans="1:17">
      <c r="A16" s="12"/>
      <c r="B16" s="19" t="s">
        <v>801</v>
      </c>
      <c r="C16" s="14" t="s">
        <v>414</v>
      </c>
      <c r="D16" s="15">
        <v>32000</v>
      </c>
      <c r="E16" s="168"/>
      <c r="F16" s="168"/>
      <c r="G16" s="168"/>
      <c r="H16" s="168"/>
      <c r="J16" s="12"/>
      <c r="K16" s="19" t="s">
        <v>801</v>
      </c>
      <c r="L16" s="14" t="s">
        <v>414</v>
      </c>
      <c r="M16" s="15">
        <v>32000</v>
      </c>
      <c r="N16" s="168"/>
      <c r="O16" s="168"/>
      <c r="P16" s="168"/>
      <c r="Q16" s="168"/>
    </row>
    <row r="17" spans="1:17">
      <c r="A17" s="12"/>
      <c r="B17" s="19" t="s">
        <v>801</v>
      </c>
      <c r="C17" s="14" t="s">
        <v>686</v>
      </c>
      <c r="D17" s="15">
        <v>350000</v>
      </c>
      <c r="E17" s="16"/>
      <c r="F17" s="16"/>
      <c r="G17" s="16"/>
      <c r="H17" s="16"/>
      <c r="J17" s="12"/>
      <c r="K17" s="19" t="s">
        <v>801</v>
      </c>
      <c r="L17" s="14" t="s">
        <v>686</v>
      </c>
      <c r="M17" s="15">
        <v>350000</v>
      </c>
      <c r="N17" s="16"/>
      <c r="O17" s="16"/>
      <c r="P17" s="16"/>
      <c r="Q17" s="16"/>
    </row>
    <row r="18" spans="1:17">
      <c r="A18" s="12"/>
      <c r="B18" s="19" t="s">
        <v>801</v>
      </c>
      <c r="C18" s="14" t="s">
        <v>802</v>
      </c>
      <c r="D18" s="15">
        <v>185000</v>
      </c>
      <c r="E18" s="16"/>
      <c r="F18" s="16"/>
      <c r="G18" s="16"/>
      <c r="H18" s="16"/>
      <c r="J18" s="12"/>
      <c r="K18" s="19" t="s">
        <v>801</v>
      </c>
      <c r="L18" s="14" t="s">
        <v>802</v>
      </c>
      <c r="M18" s="15">
        <v>185000</v>
      </c>
      <c r="N18" s="16"/>
      <c r="O18" s="16"/>
      <c r="P18" s="16"/>
      <c r="Q18" s="16"/>
    </row>
    <row r="19" spans="1:17">
      <c r="A19" s="12"/>
      <c r="B19" s="19" t="s">
        <v>801</v>
      </c>
      <c r="C19" s="14" t="s">
        <v>803</v>
      </c>
      <c r="D19" s="15">
        <v>1194312</v>
      </c>
      <c r="E19" s="16"/>
      <c r="F19" s="16"/>
      <c r="G19" s="16"/>
      <c r="H19" s="16"/>
      <c r="J19" s="12"/>
      <c r="K19" s="19" t="s">
        <v>801</v>
      </c>
      <c r="L19" s="14" t="s">
        <v>803</v>
      </c>
      <c r="M19" s="15">
        <v>1194312</v>
      </c>
      <c r="N19" s="16"/>
      <c r="O19" s="16"/>
      <c r="P19" s="16"/>
      <c r="Q19" s="16"/>
    </row>
    <row r="20" spans="1:17">
      <c r="A20" s="12"/>
      <c r="B20" s="19" t="s">
        <v>801</v>
      </c>
      <c r="C20" s="14" t="s">
        <v>804</v>
      </c>
      <c r="D20" s="15">
        <v>450000</v>
      </c>
      <c r="E20" s="16"/>
      <c r="F20" s="16"/>
      <c r="G20" s="16"/>
      <c r="H20" s="16"/>
      <c r="J20" s="12"/>
      <c r="K20" s="19" t="s">
        <v>801</v>
      </c>
      <c r="L20" s="14" t="s">
        <v>804</v>
      </c>
      <c r="M20" s="15">
        <v>450000</v>
      </c>
      <c r="N20" s="16"/>
      <c r="O20" s="16"/>
      <c r="P20" s="16"/>
      <c r="Q20" s="16"/>
    </row>
    <row r="21" spans="1:17">
      <c r="A21" s="12"/>
      <c r="B21" s="19" t="s">
        <v>801</v>
      </c>
      <c r="C21" s="14" t="s">
        <v>805</v>
      </c>
      <c r="D21" s="15">
        <v>202500</v>
      </c>
      <c r="E21" s="16"/>
      <c r="F21" s="16"/>
      <c r="G21" s="16"/>
      <c r="H21" s="16"/>
      <c r="J21" s="12"/>
      <c r="K21" s="19" t="s">
        <v>801</v>
      </c>
      <c r="L21" s="14" t="s">
        <v>805</v>
      </c>
      <c r="M21" s="15">
        <v>202500</v>
      </c>
      <c r="N21" s="16"/>
      <c r="O21" s="16"/>
      <c r="P21" s="16"/>
      <c r="Q21" s="16"/>
    </row>
    <row r="22" spans="1:17">
      <c r="A22" s="12"/>
      <c r="B22" s="19" t="s">
        <v>801</v>
      </c>
      <c r="C22" s="14" t="s">
        <v>806</v>
      </c>
      <c r="D22" s="15">
        <v>503500</v>
      </c>
      <c r="E22" s="16"/>
      <c r="F22" s="16"/>
      <c r="G22" s="16"/>
      <c r="H22" s="16"/>
      <c r="J22" s="12"/>
      <c r="K22" s="19" t="s">
        <v>801</v>
      </c>
      <c r="L22" s="14" t="s">
        <v>806</v>
      </c>
      <c r="M22" s="15">
        <v>503500</v>
      </c>
      <c r="N22" s="16"/>
      <c r="O22" s="16"/>
      <c r="P22" s="16"/>
      <c r="Q22" s="16"/>
    </row>
    <row r="23" spans="1:17">
      <c r="A23" s="12"/>
      <c r="B23" s="19" t="s">
        <v>801</v>
      </c>
      <c r="C23" s="14" t="s">
        <v>19</v>
      </c>
      <c r="D23" s="15">
        <v>503500</v>
      </c>
      <c r="E23" s="16"/>
      <c r="F23" s="16"/>
      <c r="G23" s="16"/>
      <c r="H23" s="16"/>
      <c r="J23" s="12"/>
      <c r="K23" s="19" t="s">
        <v>801</v>
      </c>
      <c r="L23" s="14" t="s">
        <v>19</v>
      </c>
      <c r="M23" s="15">
        <v>503500</v>
      </c>
      <c r="N23" s="16"/>
      <c r="O23" s="16"/>
      <c r="P23" s="16"/>
      <c r="Q23" s="16"/>
    </row>
    <row r="24" spans="1:17">
      <c r="A24" s="12"/>
      <c r="B24" s="19" t="s">
        <v>801</v>
      </c>
      <c r="C24" s="14" t="s">
        <v>807</v>
      </c>
      <c r="D24" s="15">
        <v>363000</v>
      </c>
      <c r="E24" s="16"/>
      <c r="F24" s="16"/>
      <c r="G24" s="16"/>
      <c r="H24" s="16"/>
      <c r="J24" s="12"/>
      <c r="K24" s="19" t="s">
        <v>801</v>
      </c>
      <c r="L24" s="14" t="s">
        <v>807</v>
      </c>
      <c r="M24" s="15">
        <v>363000</v>
      </c>
      <c r="N24" s="16"/>
      <c r="O24" s="16"/>
      <c r="P24" s="16"/>
      <c r="Q24" s="16"/>
    </row>
    <row r="25" spans="1:17">
      <c r="A25" s="12"/>
      <c r="B25" s="19" t="s">
        <v>801</v>
      </c>
      <c r="C25" s="14" t="s">
        <v>808</v>
      </c>
      <c r="D25" s="15">
        <v>300000</v>
      </c>
      <c r="E25" s="16"/>
      <c r="F25" s="16"/>
      <c r="G25" s="16"/>
      <c r="H25" s="16"/>
      <c r="J25" s="12"/>
      <c r="K25" s="19" t="s">
        <v>801</v>
      </c>
      <c r="L25" s="14" t="s">
        <v>808</v>
      </c>
      <c r="M25" s="15">
        <v>300000</v>
      </c>
      <c r="N25" s="16"/>
      <c r="O25" s="16"/>
      <c r="P25" s="16"/>
      <c r="Q25" s="16"/>
    </row>
    <row r="26" spans="1:17">
      <c r="A26" s="12"/>
      <c r="B26" s="19" t="s">
        <v>801</v>
      </c>
      <c r="C26" s="14" t="s">
        <v>809</v>
      </c>
      <c r="D26" s="15">
        <v>215000</v>
      </c>
      <c r="E26" s="16"/>
      <c r="F26" s="16"/>
      <c r="G26" s="16"/>
      <c r="H26" s="16"/>
      <c r="J26" s="12"/>
      <c r="K26" s="19" t="s">
        <v>801</v>
      </c>
      <c r="L26" s="14" t="s">
        <v>809</v>
      </c>
      <c r="M26" s="15">
        <v>215000</v>
      </c>
      <c r="N26" s="16"/>
      <c r="O26" s="16"/>
      <c r="P26" s="16"/>
      <c r="Q26" s="16"/>
    </row>
    <row r="27" spans="1:17">
      <c r="A27" s="12"/>
      <c r="B27" s="19" t="s">
        <v>801</v>
      </c>
      <c r="C27" s="14" t="s">
        <v>810</v>
      </c>
      <c r="D27" s="15">
        <v>105000</v>
      </c>
      <c r="E27" s="16"/>
      <c r="F27" s="16"/>
      <c r="G27" s="16"/>
      <c r="H27" s="16"/>
      <c r="J27" s="12"/>
      <c r="K27" s="19" t="s">
        <v>801</v>
      </c>
      <c r="L27" s="14" t="s">
        <v>810</v>
      </c>
      <c r="M27" s="15">
        <v>105000</v>
      </c>
      <c r="N27" s="16"/>
      <c r="O27" s="16"/>
      <c r="P27" s="16"/>
      <c r="Q27" s="16"/>
    </row>
    <row r="28" spans="1:17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287" t="s">
        <v>20</v>
      </c>
      <c r="D29" s="10">
        <f>SUM(D16:D27)</f>
        <v>4403812</v>
      </c>
      <c r="E29" s="10"/>
      <c r="F29" s="10"/>
      <c r="G29" s="10"/>
      <c r="H29" s="10"/>
      <c r="J29" s="18"/>
      <c r="K29" s="19"/>
      <c r="L29" s="293" t="s">
        <v>20</v>
      </c>
      <c r="M29" s="10">
        <f>SUM(M16:M27)</f>
        <v>4403812</v>
      </c>
      <c r="N29" s="10"/>
      <c r="O29" s="10"/>
      <c r="P29" s="10"/>
      <c r="Q29" s="10"/>
    </row>
    <row r="30" spans="1:17">
      <c r="A30" s="20"/>
      <c r="B30" s="288"/>
      <c r="C30" s="152" t="s">
        <v>21</v>
      </c>
      <c r="D30" s="150"/>
      <c r="E30" s="150"/>
      <c r="F30" s="150"/>
      <c r="G30" s="151"/>
      <c r="H30" s="21">
        <f>+D29</f>
        <v>4403812</v>
      </c>
      <c r="J30" s="20"/>
      <c r="K30" s="291"/>
      <c r="L30" s="152" t="s">
        <v>21</v>
      </c>
      <c r="M30" s="150"/>
      <c r="N30" s="150"/>
      <c r="O30" s="150"/>
      <c r="P30" s="151"/>
      <c r="Q30" s="21">
        <f>+M29</f>
        <v>4403812</v>
      </c>
    </row>
    <row r="31" spans="1:17">
      <c r="A31" s="526" t="s">
        <v>22</v>
      </c>
      <c r="B31" s="526"/>
      <c r="C31" s="526"/>
      <c r="D31" s="526"/>
      <c r="E31" s="526">
        <f>+H30</f>
        <v>4403812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4403812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7">
      <c r="A33" s="12"/>
      <c r="B33" s="19" t="s">
        <v>811</v>
      </c>
      <c r="C33" s="15" t="s">
        <v>812</v>
      </c>
      <c r="D33" s="22">
        <v>1250000</v>
      </c>
      <c r="E33" s="22"/>
      <c r="F33" s="22"/>
      <c r="G33" s="16"/>
      <c r="H33" s="16"/>
      <c r="J33" s="12"/>
      <c r="K33" s="19" t="s">
        <v>811</v>
      </c>
      <c r="L33" s="15" t="s">
        <v>812</v>
      </c>
      <c r="M33" s="22">
        <v>1250000</v>
      </c>
      <c r="N33" s="22"/>
      <c r="O33" s="22"/>
      <c r="P33" s="16"/>
      <c r="Q33" s="16"/>
    </row>
    <row r="34" spans="1:17">
      <c r="A34" s="12"/>
      <c r="B34" s="19" t="s">
        <v>811</v>
      </c>
      <c r="C34" s="15" t="s">
        <v>813</v>
      </c>
      <c r="D34" s="22">
        <v>300000</v>
      </c>
      <c r="E34" s="22"/>
      <c r="F34" s="22"/>
      <c r="G34" s="16"/>
      <c r="H34" s="16"/>
      <c r="J34" s="12"/>
      <c r="K34" s="19" t="s">
        <v>811</v>
      </c>
      <c r="L34" s="15" t="s">
        <v>813</v>
      </c>
      <c r="M34" s="22">
        <v>300000</v>
      </c>
      <c r="N34" s="22"/>
      <c r="O34" s="22"/>
      <c r="P34" s="16"/>
      <c r="Q34" s="16"/>
    </row>
    <row r="35" spans="1:17">
      <c r="A35" s="12"/>
      <c r="B35" s="19" t="s">
        <v>811</v>
      </c>
      <c r="C35" s="15" t="s">
        <v>814</v>
      </c>
      <c r="D35" s="22">
        <v>200000</v>
      </c>
      <c r="E35" s="22"/>
      <c r="F35" s="22"/>
      <c r="G35" s="16"/>
      <c r="H35" s="16"/>
      <c r="J35" s="12"/>
      <c r="K35" s="19" t="s">
        <v>811</v>
      </c>
      <c r="L35" s="15" t="s">
        <v>814</v>
      </c>
      <c r="M35" s="22">
        <v>200000</v>
      </c>
      <c r="N35" s="22"/>
      <c r="O35" s="22"/>
      <c r="P35" s="16"/>
      <c r="Q35" s="16"/>
    </row>
    <row r="36" spans="1:17">
      <c r="A36" s="12"/>
      <c r="B36" s="19" t="s">
        <v>815</v>
      </c>
      <c r="C36" s="15" t="s">
        <v>816</v>
      </c>
      <c r="D36" s="23">
        <v>620000</v>
      </c>
      <c r="E36" s="22"/>
      <c r="F36" s="22"/>
      <c r="G36" s="16"/>
      <c r="H36" s="16"/>
      <c r="J36" s="12"/>
      <c r="K36" s="19" t="s">
        <v>815</v>
      </c>
      <c r="L36" s="15" t="s">
        <v>816</v>
      </c>
      <c r="M36" s="23">
        <v>620000</v>
      </c>
      <c r="N36" s="22"/>
      <c r="O36" s="22"/>
      <c r="P36" s="16"/>
      <c r="Q36" s="16"/>
    </row>
    <row r="37" spans="1:17">
      <c r="A37" s="12"/>
      <c r="B37" s="19" t="s">
        <v>815</v>
      </c>
      <c r="C37" s="15" t="s">
        <v>817</v>
      </c>
      <c r="D37" s="23">
        <v>150000</v>
      </c>
      <c r="E37" s="22"/>
      <c r="F37" s="22"/>
      <c r="G37" s="16"/>
      <c r="H37" s="16"/>
      <c r="J37" s="12"/>
      <c r="K37" s="19" t="s">
        <v>815</v>
      </c>
      <c r="L37" s="15" t="s">
        <v>817</v>
      </c>
      <c r="M37" s="23">
        <v>150000</v>
      </c>
      <c r="N37" s="22"/>
      <c r="O37" s="22"/>
      <c r="P37" s="16"/>
      <c r="Q37" s="16"/>
    </row>
    <row r="38" spans="1:17">
      <c r="A38" s="12"/>
      <c r="B38" s="19"/>
      <c r="C38" s="15"/>
      <c r="D38" s="23"/>
      <c r="E38" s="22"/>
      <c r="F38" s="22"/>
      <c r="G38" s="16"/>
      <c r="H38" s="16"/>
      <c r="J38" s="12"/>
      <c r="K38" s="19"/>
      <c r="L38" s="15"/>
      <c r="M38" s="23"/>
      <c r="N38" s="22"/>
      <c r="O38" s="22"/>
      <c r="P38" s="16"/>
      <c r="Q38" s="16"/>
    </row>
    <row r="39" spans="1:17" hidden="1">
      <c r="A39" s="12"/>
      <c r="B39" s="19"/>
      <c r="C39" s="15"/>
      <c r="D39" s="23"/>
      <c r="E39" s="22"/>
      <c r="F39" s="22"/>
      <c r="G39" s="16"/>
      <c r="H39" s="16"/>
      <c r="J39" s="12"/>
      <c r="K39" s="19"/>
      <c r="L39" s="15"/>
      <c r="M39" s="23"/>
      <c r="N39" s="22"/>
      <c r="O39" s="22"/>
      <c r="P39" s="16"/>
      <c r="Q39" s="16"/>
    </row>
    <row r="40" spans="1:17" hidden="1">
      <c r="A40" s="12"/>
      <c r="B40" s="19"/>
      <c r="C40" s="15"/>
      <c r="D40" s="23"/>
      <c r="E40" s="22"/>
      <c r="F40" s="22"/>
      <c r="G40" s="16"/>
      <c r="H40" s="16"/>
      <c r="J40" s="12"/>
      <c r="K40" s="19"/>
      <c r="L40" s="15"/>
      <c r="M40" s="23"/>
      <c r="N40" s="22"/>
      <c r="O40" s="22"/>
      <c r="P40" s="16"/>
      <c r="Q40" s="16"/>
    </row>
    <row r="41" spans="1:17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7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7" hidden="1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7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 hidden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7" hidden="1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7" hidden="1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7" hidden="1">
      <c r="A48" s="12"/>
      <c r="B48" s="13"/>
      <c r="C48" s="15"/>
      <c r="D48" s="23"/>
      <c r="E48" s="22"/>
      <c r="F48" s="22"/>
      <c r="G48" s="16"/>
      <c r="H48" s="16"/>
      <c r="J48" s="12"/>
      <c r="K48" s="13"/>
      <c r="L48" s="15"/>
      <c r="M48" s="23"/>
      <c r="N48" s="22"/>
      <c r="O48" s="22"/>
      <c r="P48" s="16"/>
      <c r="Q48" s="16"/>
    </row>
    <row r="49" spans="1:17">
      <c r="A49" s="25"/>
      <c r="B49" s="19"/>
      <c r="C49" s="26" t="s">
        <v>24</v>
      </c>
      <c r="D49" s="27">
        <f>SUM(D33:D48)</f>
        <v>2520000</v>
      </c>
      <c r="E49" s="27"/>
      <c r="F49" s="27"/>
      <c r="G49" s="27"/>
      <c r="H49" s="27"/>
      <c r="J49" s="25"/>
      <c r="K49" s="19"/>
      <c r="L49" s="26" t="s">
        <v>24</v>
      </c>
      <c r="M49" s="27">
        <f>SUM(M33:M48)</f>
        <v>2520000</v>
      </c>
      <c r="N49" s="27"/>
      <c r="O49" s="27"/>
      <c r="P49" s="27"/>
      <c r="Q49" s="27"/>
    </row>
    <row r="50" spans="1:17">
      <c r="A50" s="20"/>
      <c r="B50" s="19"/>
      <c r="C50" s="287" t="s">
        <v>21</v>
      </c>
      <c r="D50" s="10"/>
      <c r="E50" s="530">
        <f>D49</f>
        <v>2520000</v>
      </c>
      <c r="F50" s="530"/>
      <c r="G50" s="530"/>
      <c r="H50" s="530"/>
      <c r="J50" s="20"/>
      <c r="K50" s="19"/>
      <c r="L50" s="293" t="s">
        <v>21</v>
      </c>
      <c r="M50" s="10"/>
      <c r="N50" s="530">
        <f>M49</f>
        <v>2520000</v>
      </c>
      <c r="O50" s="530"/>
      <c r="P50" s="530"/>
      <c r="Q50" s="530"/>
    </row>
    <row r="51" spans="1:17" hidden="1">
      <c r="A51" s="524" t="s">
        <v>349</v>
      </c>
      <c r="B51" s="524"/>
      <c r="C51" s="524"/>
      <c r="D51" s="524"/>
      <c r="E51" s="524"/>
      <c r="F51" s="524"/>
      <c r="G51" s="524"/>
      <c r="H51" s="524"/>
      <c r="J51" s="524" t="s">
        <v>349</v>
      </c>
      <c r="K51" s="524"/>
      <c r="L51" s="524"/>
      <c r="M51" s="524"/>
      <c r="N51" s="524"/>
      <c r="O51" s="524"/>
      <c r="P51" s="524"/>
      <c r="Q51" s="524"/>
    </row>
    <row r="52" spans="1:17" hidden="1">
      <c r="A52" s="28"/>
      <c r="B52" s="23" t="s">
        <v>717</v>
      </c>
      <c r="C52" s="23" t="s">
        <v>749</v>
      </c>
      <c r="D52" s="23"/>
      <c r="E52" s="28"/>
      <c r="F52" s="28"/>
      <c r="G52" s="28"/>
      <c r="H52" s="28"/>
      <c r="J52" s="28"/>
      <c r="K52" s="23" t="s">
        <v>717</v>
      </c>
      <c r="L52" s="23" t="s">
        <v>749</v>
      </c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idden="1">
      <c r="A54" s="12"/>
      <c r="B54" s="13"/>
      <c r="C54" s="26" t="s">
        <v>448</v>
      </c>
      <c r="D54" s="27">
        <f>SUM(D52:D53)</f>
        <v>0</v>
      </c>
      <c r="E54" s="27">
        <v>0</v>
      </c>
      <c r="F54" s="27">
        <v>0</v>
      </c>
      <c r="G54" s="27"/>
      <c r="H54" s="27"/>
      <c r="J54" s="12"/>
      <c r="K54" s="13"/>
      <c r="L54" s="26" t="s">
        <v>448</v>
      </c>
      <c r="M54" s="27">
        <f>SUM(M52:M53)</f>
        <v>0</v>
      </c>
      <c r="N54" s="27">
        <v>0</v>
      </c>
      <c r="O54" s="27">
        <v>0</v>
      </c>
      <c r="P54" s="27"/>
      <c r="Q54" s="27"/>
    </row>
    <row r="55" spans="1:17" hidden="1">
      <c r="A55" s="20"/>
      <c r="B55" s="19"/>
      <c r="C55" s="287" t="s">
        <v>21</v>
      </c>
      <c r="D55" s="10"/>
      <c r="E55" s="530">
        <f>D54</f>
        <v>0</v>
      </c>
      <c r="F55" s="530"/>
      <c r="G55" s="530"/>
      <c r="H55" s="530"/>
      <c r="J55" s="20"/>
      <c r="K55" s="19"/>
      <c r="L55" s="293" t="s">
        <v>21</v>
      </c>
      <c r="M55" s="10"/>
      <c r="N55" s="530">
        <f>M54</f>
        <v>0</v>
      </c>
      <c r="O55" s="530"/>
      <c r="P55" s="530"/>
      <c r="Q55" s="530"/>
    </row>
    <row r="56" spans="1:17">
      <c r="A56" s="524" t="s">
        <v>818</v>
      </c>
      <c r="B56" s="524"/>
      <c r="C56" s="524"/>
      <c r="D56" s="524"/>
      <c r="E56" s="524"/>
      <c r="F56" s="524"/>
      <c r="G56" s="524"/>
      <c r="H56" s="524"/>
      <c r="J56" s="524" t="s">
        <v>818</v>
      </c>
      <c r="K56" s="524"/>
      <c r="L56" s="524"/>
      <c r="M56" s="524"/>
      <c r="N56" s="524"/>
      <c r="O56" s="524"/>
      <c r="P56" s="524"/>
      <c r="Q56" s="524"/>
    </row>
    <row r="57" spans="1:17">
      <c r="A57" s="28"/>
      <c r="B57" s="19" t="s">
        <v>819</v>
      </c>
      <c r="C57" s="23" t="s">
        <v>820</v>
      </c>
      <c r="D57" s="23">
        <v>200000</v>
      </c>
      <c r="E57" s="28"/>
      <c r="F57" s="28"/>
      <c r="G57" s="28"/>
      <c r="H57" s="28"/>
      <c r="J57" s="28"/>
      <c r="K57" s="19" t="s">
        <v>819</v>
      </c>
      <c r="L57" s="23" t="s">
        <v>838</v>
      </c>
      <c r="M57" s="23">
        <v>200000</v>
      </c>
      <c r="N57" s="28"/>
      <c r="O57" s="28"/>
      <c r="P57" s="28"/>
      <c r="Q57" s="28"/>
    </row>
    <row r="58" spans="1:17">
      <c r="A58" s="28"/>
      <c r="B58" s="19" t="s">
        <v>821</v>
      </c>
      <c r="C58" s="23" t="s">
        <v>822</v>
      </c>
      <c r="D58" s="23">
        <v>120000</v>
      </c>
      <c r="E58" s="28"/>
      <c r="F58" s="28"/>
      <c r="G58" s="28"/>
      <c r="H58" s="28"/>
      <c r="J58" s="28"/>
      <c r="K58" s="19" t="s">
        <v>821</v>
      </c>
      <c r="L58" s="23" t="s">
        <v>822</v>
      </c>
      <c r="M58" s="23">
        <v>120000</v>
      </c>
      <c r="N58" s="28"/>
      <c r="O58" s="28"/>
      <c r="P58" s="28"/>
      <c r="Q58" s="28"/>
    </row>
    <row r="59" spans="1:17">
      <c r="A59" s="28"/>
      <c r="B59" s="23" t="s">
        <v>821</v>
      </c>
      <c r="C59" s="23" t="s">
        <v>823</v>
      </c>
      <c r="D59" s="23">
        <v>203000</v>
      </c>
      <c r="E59" s="28"/>
      <c r="F59" s="28"/>
      <c r="G59" s="28"/>
      <c r="H59" s="28"/>
      <c r="J59" s="28"/>
      <c r="K59" s="23" t="s">
        <v>821</v>
      </c>
      <c r="L59" s="23" t="s">
        <v>823</v>
      </c>
      <c r="M59" s="23">
        <v>203000</v>
      </c>
      <c r="N59" s="28"/>
      <c r="O59" s="28"/>
      <c r="P59" s="28"/>
      <c r="Q59" s="28"/>
    </row>
    <row r="60" spans="1:17">
      <c r="A60" s="28"/>
      <c r="B60" s="23"/>
      <c r="C60" s="23"/>
      <c r="D60" s="23"/>
      <c r="E60" s="28"/>
      <c r="F60" s="28"/>
      <c r="G60" s="28"/>
      <c r="H60" s="28"/>
      <c r="J60" s="28"/>
      <c r="K60" s="23"/>
      <c r="L60" s="23"/>
      <c r="M60" s="23"/>
      <c r="N60" s="28"/>
      <c r="O60" s="28"/>
      <c r="P60" s="28"/>
      <c r="Q60" s="28"/>
    </row>
    <row r="61" spans="1:17">
      <c r="A61" s="12"/>
      <c r="B61" s="13"/>
      <c r="C61" s="26" t="s">
        <v>703</v>
      </c>
      <c r="D61" s="27">
        <f>SUM(D57:D60)</f>
        <v>523000</v>
      </c>
      <c r="E61" s="27">
        <v>0</v>
      </c>
      <c r="F61" s="27">
        <v>0</v>
      </c>
      <c r="G61" s="27"/>
      <c r="H61" s="27"/>
      <c r="J61" s="12"/>
      <c r="K61" s="13"/>
      <c r="L61" s="26" t="s">
        <v>703</v>
      </c>
      <c r="M61" s="27">
        <f>SUM(M57:M60)</f>
        <v>523000</v>
      </c>
      <c r="N61" s="27">
        <v>0</v>
      </c>
      <c r="O61" s="27">
        <v>0</v>
      </c>
      <c r="P61" s="27"/>
      <c r="Q61" s="27"/>
    </row>
    <row r="62" spans="1:17">
      <c r="A62" s="20"/>
      <c r="B62" s="19"/>
      <c r="C62" s="287" t="s">
        <v>21</v>
      </c>
      <c r="D62" s="10"/>
      <c r="E62" s="530">
        <f>D61</f>
        <v>523000</v>
      </c>
      <c r="F62" s="530"/>
      <c r="G62" s="530"/>
      <c r="H62" s="530"/>
      <c r="J62" s="20"/>
      <c r="K62" s="19"/>
      <c r="L62" s="293" t="s">
        <v>21</v>
      </c>
      <c r="M62" s="10"/>
      <c r="N62" s="530">
        <f>M61</f>
        <v>523000</v>
      </c>
      <c r="O62" s="530"/>
      <c r="P62" s="530"/>
      <c r="Q62" s="530"/>
    </row>
    <row r="63" spans="1:17">
      <c r="A63" s="524" t="s">
        <v>54</v>
      </c>
      <c r="B63" s="524"/>
      <c r="C63" s="524"/>
      <c r="D63" s="524"/>
      <c r="E63" s="524"/>
      <c r="F63" s="524"/>
      <c r="G63" s="524"/>
      <c r="H63" s="524"/>
      <c r="J63" s="524" t="s">
        <v>54</v>
      </c>
      <c r="K63" s="524"/>
      <c r="L63" s="524"/>
      <c r="M63" s="524"/>
      <c r="N63" s="524"/>
      <c r="O63" s="524"/>
      <c r="P63" s="524"/>
      <c r="Q63" s="524"/>
    </row>
    <row r="64" spans="1:17">
      <c r="A64" s="28"/>
      <c r="B64" s="23" t="s">
        <v>824</v>
      </c>
      <c r="C64" s="23" t="s">
        <v>731</v>
      </c>
      <c r="D64" s="23">
        <v>5855000</v>
      </c>
      <c r="E64" s="28"/>
      <c r="F64" s="28"/>
      <c r="G64" s="28"/>
      <c r="H64" s="28"/>
      <c r="J64" s="28"/>
      <c r="K64" s="23" t="s">
        <v>824</v>
      </c>
      <c r="L64" s="23" t="s">
        <v>731</v>
      </c>
      <c r="M64" s="23">
        <v>5855000</v>
      </c>
      <c r="N64" s="28"/>
      <c r="O64" s="28"/>
      <c r="P64" s="28"/>
      <c r="Q64" s="28"/>
    </row>
    <row r="65" spans="1:17">
      <c r="A65" s="28"/>
      <c r="B65" s="23" t="s">
        <v>824</v>
      </c>
      <c r="C65" s="23" t="s">
        <v>825</v>
      </c>
      <c r="D65" s="23">
        <v>35000000</v>
      </c>
      <c r="E65" s="28"/>
      <c r="F65" s="28"/>
      <c r="G65" s="28"/>
      <c r="H65" s="28"/>
      <c r="J65" s="28"/>
      <c r="K65" s="23" t="s">
        <v>824</v>
      </c>
      <c r="L65" s="23" t="s">
        <v>825</v>
      </c>
      <c r="M65" s="23">
        <v>30000000</v>
      </c>
      <c r="N65" s="28"/>
      <c r="O65" s="28"/>
      <c r="P65" s="28"/>
      <c r="Q65" s="28"/>
    </row>
    <row r="66" spans="1:17">
      <c r="A66" s="28"/>
      <c r="B66" s="23" t="s">
        <v>824</v>
      </c>
      <c r="C66" s="23" t="s">
        <v>263</v>
      </c>
      <c r="D66" s="23">
        <v>1320000</v>
      </c>
      <c r="E66" s="28"/>
      <c r="F66" s="28"/>
      <c r="G66" s="28"/>
      <c r="H66" s="28"/>
      <c r="J66" s="28"/>
      <c r="K66" s="23" t="s">
        <v>824</v>
      </c>
      <c r="L66" s="23" t="s">
        <v>263</v>
      </c>
      <c r="M66" s="23">
        <v>1320000</v>
      </c>
      <c r="N66" s="28"/>
      <c r="O66" s="28"/>
      <c r="P66" s="28"/>
      <c r="Q66" s="28"/>
    </row>
    <row r="67" spans="1:17">
      <c r="A67" s="12"/>
      <c r="B67" s="23" t="s">
        <v>824</v>
      </c>
      <c r="C67" s="23" t="s">
        <v>410</v>
      </c>
      <c r="D67" s="23">
        <v>600000</v>
      </c>
      <c r="E67" s="287"/>
      <c r="F67" s="287"/>
      <c r="G67" s="287"/>
      <c r="H67" s="287"/>
      <c r="J67" s="12"/>
      <c r="K67" s="23" t="s">
        <v>824</v>
      </c>
      <c r="L67" s="23" t="s">
        <v>410</v>
      </c>
      <c r="M67" s="23">
        <v>600000</v>
      </c>
      <c r="N67" s="293"/>
      <c r="O67" s="293"/>
      <c r="P67" s="293"/>
      <c r="Q67" s="293"/>
    </row>
    <row r="68" spans="1:17">
      <c r="A68" s="12"/>
      <c r="B68" s="23" t="s">
        <v>824</v>
      </c>
      <c r="C68" s="23" t="s">
        <v>826</v>
      </c>
      <c r="D68" s="23">
        <v>300000</v>
      </c>
      <c r="E68" s="287"/>
      <c r="F68" s="287"/>
      <c r="G68" s="287"/>
      <c r="H68" s="287"/>
      <c r="J68" s="12"/>
      <c r="K68" s="23" t="s">
        <v>824</v>
      </c>
      <c r="L68" s="23" t="s">
        <v>826</v>
      </c>
      <c r="M68" s="23">
        <v>300000</v>
      </c>
      <c r="N68" s="293"/>
      <c r="O68" s="293"/>
      <c r="P68" s="293"/>
      <c r="Q68" s="293"/>
    </row>
    <row r="69" spans="1:17">
      <c r="A69" s="12"/>
      <c r="B69" s="23" t="s">
        <v>824</v>
      </c>
      <c r="C69" s="24" t="s">
        <v>827</v>
      </c>
      <c r="D69" s="23">
        <v>237000</v>
      </c>
      <c r="E69" s="287"/>
      <c r="F69" s="287"/>
      <c r="G69" s="287"/>
      <c r="H69" s="287"/>
      <c r="J69" s="12"/>
      <c r="K69" s="23" t="s">
        <v>824</v>
      </c>
      <c r="L69" s="24" t="s">
        <v>827</v>
      </c>
      <c r="M69" s="23">
        <v>237000</v>
      </c>
      <c r="N69" s="293"/>
      <c r="O69" s="293"/>
      <c r="P69" s="293"/>
      <c r="Q69" s="293"/>
    </row>
    <row r="70" spans="1:17">
      <c r="A70" s="12"/>
      <c r="B70" s="23" t="s">
        <v>828</v>
      </c>
      <c r="C70" s="24" t="s">
        <v>829</v>
      </c>
      <c r="D70" s="23">
        <f>300000+482500</f>
        <v>782500</v>
      </c>
      <c r="E70" s="287"/>
      <c r="F70" s="287"/>
      <c r="G70" s="287"/>
      <c r="H70" s="287"/>
      <c r="J70" s="12"/>
      <c r="K70" s="23" t="s">
        <v>828</v>
      </c>
      <c r="L70" s="24" t="s">
        <v>829</v>
      </c>
      <c r="M70" s="23">
        <f>300000+482500</f>
        <v>782500</v>
      </c>
      <c r="N70" s="293"/>
      <c r="O70" s="293"/>
      <c r="P70" s="293"/>
      <c r="Q70" s="293"/>
    </row>
    <row r="71" spans="1:17">
      <c r="A71" s="12"/>
      <c r="B71" s="23"/>
      <c r="C71" s="24"/>
      <c r="D71" s="23"/>
      <c r="E71" s="287"/>
      <c r="F71" s="287"/>
      <c r="G71" s="287"/>
      <c r="H71" s="287"/>
      <c r="J71" s="12"/>
      <c r="K71" s="23"/>
      <c r="L71" s="24"/>
      <c r="M71" s="23"/>
      <c r="N71" s="293"/>
      <c r="O71" s="293"/>
      <c r="P71" s="293"/>
      <c r="Q71" s="293"/>
    </row>
    <row r="72" spans="1:17" hidden="1">
      <c r="A72" s="12"/>
      <c r="B72" s="19"/>
      <c r="C72" s="24"/>
      <c r="D72" s="23"/>
      <c r="E72" s="287"/>
      <c r="F72" s="287"/>
      <c r="G72" s="287"/>
      <c r="H72" s="287"/>
      <c r="J72" s="12"/>
      <c r="K72" s="19"/>
      <c r="L72" s="24"/>
      <c r="M72" s="23"/>
      <c r="N72" s="293"/>
      <c r="O72" s="293"/>
      <c r="P72" s="293"/>
      <c r="Q72" s="293"/>
    </row>
    <row r="73" spans="1:17" hidden="1">
      <c r="A73" s="12"/>
      <c r="B73" s="19"/>
      <c r="C73" s="24"/>
      <c r="D73" s="23"/>
      <c r="E73" s="287"/>
      <c r="F73" s="287"/>
      <c r="G73" s="287"/>
      <c r="H73" s="287"/>
      <c r="J73" s="12"/>
      <c r="K73" s="19"/>
      <c r="L73" s="24"/>
      <c r="M73" s="23"/>
      <c r="N73" s="293"/>
      <c r="O73" s="293"/>
      <c r="P73" s="293"/>
      <c r="Q73" s="293"/>
    </row>
    <row r="74" spans="1:17" hidden="1">
      <c r="A74" s="12"/>
      <c r="B74" s="19"/>
      <c r="C74" s="24"/>
      <c r="D74" s="23"/>
      <c r="E74" s="287"/>
      <c r="F74" s="287"/>
      <c r="G74" s="287"/>
      <c r="H74" s="287"/>
      <c r="J74" s="12"/>
      <c r="K74" s="19"/>
      <c r="L74" s="24"/>
      <c r="M74" s="23"/>
      <c r="N74" s="293"/>
      <c r="O74" s="293"/>
      <c r="P74" s="293"/>
      <c r="Q74" s="293"/>
    </row>
    <row r="75" spans="1:17" hidden="1">
      <c r="A75" s="12"/>
      <c r="B75" s="19"/>
      <c r="C75" s="24"/>
      <c r="D75" s="23"/>
      <c r="E75" s="287"/>
      <c r="F75" s="287"/>
      <c r="G75" s="287"/>
      <c r="H75" s="287"/>
      <c r="J75" s="12"/>
      <c r="K75" s="19"/>
      <c r="L75" s="24"/>
      <c r="M75" s="23"/>
      <c r="N75" s="293"/>
      <c r="O75" s="293"/>
      <c r="P75" s="293"/>
      <c r="Q75" s="293"/>
    </row>
    <row r="76" spans="1:17" hidden="1">
      <c r="A76" s="12"/>
      <c r="B76" s="19"/>
      <c r="C76" s="24"/>
      <c r="D76" s="23"/>
      <c r="E76" s="287"/>
      <c r="F76" s="287"/>
      <c r="G76" s="287"/>
      <c r="H76" s="287"/>
      <c r="J76" s="12"/>
      <c r="K76" s="19"/>
      <c r="L76" s="24"/>
      <c r="M76" s="23"/>
      <c r="N76" s="293"/>
      <c r="O76" s="293"/>
      <c r="P76" s="293"/>
      <c r="Q76" s="293"/>
    </row>
    <row r="77" spans="1:17" hidden="1">
      <c r="A77" s="12"/>
      <c r="B77" s="19"/>
      <c r="C77" s="24"/>
      <c r="D77" s="23"/>
      <c r="E77" s="287"/>
      <c r="F77" s="287"/>
      <c r="G77" s="287"/>
      <c r="H77" s="287"/>
      <c r="J77" s="12"/>
      <c r="K77" s="19"/>
      <c r="L77" s="24"/>
      <c r="M77" s="23"/>
      <c r="N77" s="293"/>
      <c r="O77" s="293"/>
      <c r="P77" s="293"/>
      <c r="Q77" s="293"/>
    </row>
    <row r="78" spans="1:17" hidden="1">
      <c r="A78" s="12"/>
      <c r="B78" s="19"/>
      <c r="C78" s="24"/>
      <c r="D78" s="23"/>
      <c r="E78" s="287"/>
      <c r="F78" s="287"/>
      <c r="G78" s="287"/>
      <c r="H78" s="287"/>
      <c r="J78" s="12"/>
      <c r="K78" s="19"/>
      <c r="L78" s="24"/>
      <c r="M78" s="23"/>
      <c r="N78" s="293"/>
      <c r="O78" s="293"/>
      <c r="P78" s="293"/>
      <c r="Q78" s="293"/>
    </row>
    <row r="79" spans="1:17">
      <c r="A79" s="12"/>
      <c r="B79" s="13"/>
      <c r="C79" s="26" t="s">
        <v>55</v>
      </c>
      <c r="D79" s="27">
        <f>SUM(D64:D77)</f>
        <v>44094500</v>
      </c>
      <c r="E79" s="27">
        <v>0</v>
      </c>
      <c r="F79" s="27">
        <v>0</v>
      </c>
      <c r="G79" s="27"/>
      <c r="H79" s="27"/>
      <c r="J79" s="12"/>
      <c r="K79" s="13"/>
      <c r="L79" s="26" t="s">
        <v>55</v>
      </c>
      <c r="M79" s="27">
        <f>SUM(M64:M77)</f>
        <v>39094500</v>
      </c>
      <c r="N79" s="27">
        <v>0</v>
      </c>
      <c r="O79" s="27">
        <v>0</v>
      </c>
      <c r="P79" s="27"/>
      <c r="Q79" s="27"/>
    </row>
    <row r="80" spans="1:17">
      <c r="A80" s="20"/>
      <c r="B80" s="19"/>
      <c r="C80" s="287" t="s">
        <v>21</v>
      </c>
      <c r="D80" s="10"/>
      <c r="E80" s="530">
        <f>D79</f>
        <v>44094500</v>
      </c>
      <c r="F80" s="530"/>
      <c r="G80" s="530"/>
      <c r="H80" s="530"/>
      <c r="J80" s="20"/>
      <c r="K80" s="19"/>
      <c r="L80" s="293" t="s">
        <v>21</v>
      </c>
      <c r="M80" s="10"/>
      <c r="N80" s="530">
        <f>M79</f>
        <v>39094500</v>
      </c>
      <c r="O80" s="530"/>
      <c r="P80" s="530"/>
      <c r="Q80" s="530"/>
    </row>
    <row r="81" spans="1:17" hidden="1">
      <c r="A81" s="524" t="s">
        <v>453</v>
      </c>
      <c r="B81" s="524"/>
      <c r="C81" s="524"/>
      <c r="D81" s="524"/>
      <c r="E81" s="524"/>
      <c r="F81" s="524"/>
      <c r="G81" s="524"/>
      <c r="H81" s="524"/>
      <c r="J81" s="524" t="s">
        <v>453</v>
      </c>
      <c r="K81" s="524"/>
      <c r="L81" s="524"/>
      <c r="M81" s="524"/>
      <c r="N81" s="524"/>
      <c r="O81" s="524"/>
      <c r="P81" s="524"/>
      <c r="Q81" s="524"/>
    </row>
    <row r="82" spans="1:17" hidden="1">
      <c r="A82" s="28"/>
      <c r="B82" s="23"/>
      <c r="C82" s="23"/>
      <c r="D82" s="23"/>
      <c r="E82" s="28"/>
      <c r="F82" s="28"/>
      <c r="G82" s="28"/>
      <c r="H82" s="28"/>
      <c r="J82" s="28"/>
      <c r="K82" s="23"/>
      <c r="L82" s="23"/>
      <c r="M82" s="23"/>
      <c r="N82" s="28"/>
      <c r="O82" s="28"/>
      <c r="P82" s="28"/>
      <c r="Q82" s="28"/>
    </row>
    <row r="83" spans="1:17" hidden="1">
      <c r="A83" s="28"/>
      <c r="B83" s="23"/>
      <c r="C83" s="23"/>
      <c r="D83" s="23"/>
      <c r="E83" s="28"/>
      <c r="F83" s="28"/>
      <c r="G83" s="28"/>
      <c r="H83" s="28"/>
      <c r="J83" s="28"/>
      <c r="K83" s="23"/>
      <c r="L83" s="23"/>
      <c r="M83" s="23"/>
      <c r="N83" s="28"/>
      <c r="O83" s="28"/>
      <c r="P83" s="28"/>
      <c r="Q83" s="28"/>
    </row>
    <row r="84" spans="1:17" hidden="1">
      <c r="A84" s="12"/>
      <c r="B84" s="19"/>
      <c r="C84" s="24"/>
      <c r="D84" s="23"/>
      <c r="E84" s="287"/>
      <c r="F84" s="287"/>
      <c r="G84" s="287"/>
      <c r="H84" s="287"/>
      <c r="J84" s="12"/>
      <c r="K84" s="19"/>
      <c r="L84" s="24"/>
      <c r="M84" s="23"/>
      <c r="N84" s="293"/>
      <c r="O84" s="293"/>
      <c r="P84" s="293"/>
      <c r="Q84" s="293"/>
    </row>
    <row r="85" spans="1:17" hidden="1">
      <c r="A85" s="12"/>
      <c r="B85" s="13"/>
      <c r="C85" s="26" t="s">
        <v>196</v>
      </c>
      <c r="D85" s="27">
        <f>SUM(D82:D84)</f>
        <v>0</v>
      </c>
      <c r="E85" s="27">
        <v>0</v>
      </c>
      <c r="F85" s="27">
        <v>0</v>
      </c>
      <c r="G85" s="27"/>
      <c r="H85" s="27"/>
      <c r="J85" s="12"/>
      <c r="K85" s="13"/>
      <c r="L85" s="26" t="s">
        <v>196</v>
      </c>
      <c r="M85" s="27">
        <f>SUM(M82:M84)</f>
        <v>0</v>
      </c>
      <c r="N85" s="27">
        <v>0</v>
      </c>
      <c r="O85" s="27">
        <v>0</v>
      </c>
      <c r="P85" s="27"/>
      <c r="Q85" s="27"/>
    </row>
    <row r="86" spans="1:17" hidden="1">
      <c r="A86" s="20"/>
      <c r="B86" s="19"/>
      <c r="C86" s="287" t="s">
        <v>21</v>
      </c>
      <c r="D86" s="10"/>
      <c r="E86" s="530">
        <f>D85</f>
        <v>0</v>
      </c>
      <c r="F86" s="530"/>
      <c r="G86" s="530"/>
      <c r="H86" s="530"/>
      <c r="J86" s="20"/>
      <c r="K86" s="19"/>
      <c r="L86" s="293" t="s">
        <v>21</v>
      </c>
      <c r="M86" s="10"/>
      <c r="N86" s="530">
        <f>M85</f>
        <v>0</v>
      </c>
      <c r="O86" s="530"/>
      <c r="P86" s="530"/>
      <c r="Q86" s="530"/>
    </row>
    <row r="87" spans="1:17">
      <c r="A87" s="527" t="s">
        <v>26</v>
      </c>
      <c r="B87" s="528"/>
      <c r="C87" s="528"/>
      <c r="D87" s="528"/>
      <c r="E87" s="528"/>
      <c r="F87" s="528"/>
      <c r="G87" s="528"/>
      <c r="H87" s="529"/>
      <c r="J87" s="527" t="s">
        <v>26</v>
      </c>
      <c r="K87" s="528"/>
      <c r="L87" s="528"/>
      <c r="M87" s="528"/>
      <c r="N87" s="528"/>
      <c r="O87" s="528"/>
      <c r="P87" s="528"/>
      <c r="Q87" s="529"/>
    </row>
    <row r="88" spans="1:17">
      <c r="A88" s="12"/>
      <c r="B88" s="23" t="s">
        <v>832</v>
      </c>
      <c r="C88" s="24" t="s">
        <v>830</v>
      </c>
      <c r="D88" s="23">
        <v>1117500</v>
      </c>
      <c r="E88" s="22"/>
      <c r="F88" s="22"/>
      <c r="G88" s="16"/>
      <c r="H88" s="16"/>
      <c r="J88" s="12"/>
      <c r="K88" s="23" t="s">
        <v>832</v>
      </c>
      <c r="L88" s="24" t="s">
        <v>830</v>
      </c>
      <c r="M88" s="23">
        <v>1117500</v>
      </c>
      <c r="N88" s="22"/>
      <c r="O88" s="22"/>
      <c r="P88" s="16"/>
      <c r="Q88" s="16"/>
    </row>
    <row r="89" spans="1:17">
      <c r="A89" s="12"/>
      <c r="B89" s="23" t="s">
        <v>833</v>
      </c>
      <c r="C89" s="24" t="s">
        <v>831</v>
      </c>
      <c r="D89" s="23">
        <v>50000</v>
      </c>
      <c r="E89" s="22"/>
      <c r="F89" s="22"/>
      <c r="G89" s="16"/>
      <c r="H89" s="16"/>
      <c r="J89" s="12"/>
      <c r="K89" s="23" t="s">
        <v>833</v>
      </c>
      <c r="L89" s="24" t="s">
        <v>831</v>
      </c>
      <c r="M89" s="23">
        <v>50000</v>
      </c>
      <c r="N89" s="22"/>
      <c r="O89" s="22"/>
      <c r="P89" s="16"/>
      <c r="Q89" s="16"/>
    </row>
    <row r="90" spans="1:17">
      <c r="A90" s="12"/>
      <c r="B90" s="19"/>
      <c r="C90" s="24"/>
      <c r="D90" s="23"/>
      <c r="E90" s="22"/>
      <c r="F90" s="22"/>
      <c r="G90" s="16"/>
      <c r="H90" s="16"/>
      <c r="J90" s="12"/>
      <c r="K90" s="19"/>
      <c r="L90" s="24"/>
      <c r="M90" s="23"/>
      <c r="N90" s="22"/>
      <c r="O90" s="22"/>
      <c r="P90" s="16"/>
      <c r="Q90" s="16"/>
    </row>
    <row r="91" spans="1:17">
      <c r="A91" s="12"/>
      <c r="B91" s="19"/>
      <c r="C91" s="24"/>
      <c r="D91" s="23"/>
      <c r="E91" s="22"/>
      <c r="F91" s="22"/>
      <c r="G91" s="16"/>
      <c r="H91" s="16"/>
      <c r="J91" s="12"/>
      <c r="K91" s="19"/>
      <c r="L91" s="24"/>
      <c r="M91" s="23"/>
      <c r="N91" s="22"/>
      <c r="O91" s="22"/>
      <c r="P91" s="16"/>
      <c r="Q91" s="16"/>
    </row>
    <row r="92" spans="1:17" hidden="1">
      <c r="A92" s="12"/>
      <c r="B92" s="19"/>
      <c r="C92" s="24"/>
      <c r="D92" s="23"/>
      <c r="E92" s="22"/>
      <c r="F92" s="22"/>
      <c r="G92" s="16"/>
      <c r="H92" s="16"/>
      <c r="J92" s="12"/>
      <c r="K92" s="19"/>
      <c r="L92" s="24"/>
      <c r="M92" s="23"/>
      <c r="N92" s="22"/>
      <c r="O92" s="22"/>
      <c r="P92" s="16"/>
      <c r="Q92" s="16"/>
    </row>
    <row r="93" spans="1:17" hidden="1">
      <c r="A93" s="12"/>
      <c r="B93" s="19"/>
      <c r="C93" s="24"/>
      <c r="D93" s="23"/>
      <c r="E93" s="22"/>
      <c r="F93" s="22"/>
      <c r="G93" s="16"/>
      <c r="H93" s="16"/>
      <c r="J93" s="12"/>
      <c r="K93" s="19"/>
      <c r="L93" s="24"/>
      <c r="M93" s="23"/>
      <c r="N93" s="22"/>
      <c r="O93" s="22"/>
      <c r="P93" s="16"/>
      <c r="Q93" s="16"/>
    </row>
    <row r="94" spans="1:17" hidden="1">
      <c r="A94" s="12"/>
      <c r="B94" s="19"/>
      <c r="C94" s="23"/>
      <c r="D94" s="23"/>
      <c r="E94" s="22"/>
      <c r="F94" s="22"/>
      <c r="G94" s="16"/>
      <c r="H94" s="16"/>
      <c r="J94" s="12"/>
      <c r="K94" s="19"/>
      <c r="L94" s="23"/>
      <c r="M94" s="23"/>
      <c r="N94" s="22"/>
      <c r="O94" s="22"/>
      <c r="P94" s="16"/>
      <c r="Q94" s="16"/>
    </row>
    <row r="95" spans="1:17" hidden="1">
      <c r="A95" s="12"/>
      <c r="B95" s="19"/>
      <c r="C95" s="23"/>
      <c r="D95" s="23"/>
      <c r="E95" s="22"/>
      <c r="F95" s="22"/>
      <c r="G95" s="16"/>
      <c r="H95" s="16"/>
      <c r="J95" s="12"/>
      <c r="K95" s="19"/>
      <c r="L95" s="23"/>
      <c r="M95" s="23"/>
      <c r="N95" s="22"/>
      <c r="O95" s="22"/>
      <c r="P95" s="16"/>
      <c r="Q95" s="16"/>
    </row>
    <row r="96" spans="1:17" hidden="1">
      <c r="A96" s="12"/>
      <c r="B96" s="19"/>
      <c r="C96" s="23"/>
      <c r="D96" s="23"/>
      <c r="E96" s="22"/>
      <c r="F96" s="22"/>
      <c r="G96" s="16"/>
      <c r="H96" s="16"/>
      <c r="J96" s="12"/>
      <c r="K96" s="19"/>
      <c r="L96" s="23"/>
      <c r="M96" s="23"/>
      <c r="N96" s="22"/>
      <c r="O96" s="22"/>
      <c r="P96" s="16"/>
      <c r="Q96" s="16"/>
    </row>
    <row r="97" spans="1:17" hidden="1">
      <c r="A97" s="12"/>
      <c r="B97" s="19"/>
      <c r="C97" s="24"/>
      <c r="D97" s="23"/>
      <c r="E97" s="22"/>
      <c r="F97" s="22"/>
      <c r="G97" s="16"/>
      <c r="H97" s="16"/>
      <c r="J97" s="12"/>
      <c r="K97" s="19"/>
      <c r="L97" s="24"/>
      <c r="M97" s="23"/>
      <c r="N97" s="22"/>
      <c r="O97" s="22"/>
      <c r="P97" s="16"/>
      <c r="Q97" s="16"/>
    </row>
    <row r="98" spans="1:17" hidden="1">
      <c r="A98" s="12"/>
      <c r="B98" s="19"/>
      <c r="C98" s="24"/>
      <c r="D98" s="23"/>
      <c r="E98" s="22"/>
      <c r="F98" s="22"/>
      <c r="G98" s="16"/>
      <c r="H98" s="16"/>
      <c r="J98" s="12"/>
      <c r="K98" s="19"/>
      <c r="L98" s="24"/>
      <c r="M98" s="23"/>
      <c r="N98" s="22"/>
      <c r="O98" s="22"/>
      <c r="P98" s="16"/>
      <c r="Q98" s="16"/>
    </row>
    <row r="99" spans="1:17">
      <c r="A99" s="25"/>
      <c r="B99" s="19"/>
      <c r="C99" s="26" t="s">
        <v>31</v>
      </c>
      <c r="D99" s="27">
        <f>SUM(D88:D98)</f>
        <v>1167500</v>
      </c>
      <c r="E99" s="27"/>
      <c r="F99" s="27"/>
      <c r="G99" s="27"/>
      <c r="H99" s="27"/>
      <c r="J99" s="25"/>
      <c r="K99" s="19"/>
      <c r="L99" s="26" t="s">
        <v>31</v>
      </c>
      <c r="M99" s="27">
        <f>SUM(M88:M98)</f>
        <v>1167500</v>
      </c>
      <c r="N99" s="27"/>
      <c r="O99" s="27"/>
      <c r="P99" s="27"/>
      <c r="Q99" s="27"/>
    </row>
    <row r="100" spans="1:17">
      <c r="A100" s="20"/>
      <c r="B100" s="19"/>
      <c r="C100" s="287" t="s">
        <v>21</v>
      </c>
      <c r="D100" s="10"/>
      <c r="E100" s="530">
        <f>D99</f>
        <v>1167500</v>
      </c>
      <c r="F100" s="530"/>
      <c r="G100" s="530"/>
      <c r="H100" s="530"/>
      <c r="J100" s="20"/>
      <c r="K100" s="19"/>
      <c r="L100" s="293" t="s">
        <v>21</v>
      </c>
      <c r="M100" s="10"/>
      <c r="N100" s="530">
        <f>M99</f>
        <v>1167500</v>
      </c>
      <c r="O100" s="530"/>
      <c r="P100" s="530"/>
      <c r="Q100" s="530"/>
    </row>
    <row r="101" spans="1:17">
      <c r="A101" s="527" t="s">
        <v>32</v>
      </c>
      <c r="B101" s="528"/>
      <c r="C101" s="528"/>
      <c r="D101" s="528"/>
      <c r="E101" s="528"/>
      <c r="F101" s="528"/>
      <c r="G101" s="528"/>
      <c r="H101" s="529"/>
      <c r="J101" s="527" t="s">
        <v>32</v>
      </c>
      <c r="K101" s="528"/>
      <c r="L101" s="528"/>
      <c r="M101" s="528"/>
      <c r="N101" s="528"/>
      <c r="O101" s="528"/>
      <c r="P101" s="528"/>
      <c r="Q101" s="529"/>
    </row>
    <row r="102" spans="1:17">
      <c r="A102" s="12"/>
      <c r="B102" s="13"/>
      <c r="C102" s="22"/>
      <c r="D102" s="22"/>
      <c r="E102" s="287"/>
      <c r="F102" s="287"/>
      <c r="G102" s="287"/>
      <c r="H102" s="287"/>
      <c r="J102" s="12"/>
      <c r="K102" s="13"/>
      <c r="L102" s="22" t="s">
        <v>836</v>
      </c>
      <c r="M102" s="22">
        <v>1250000</v>
      </c>
      <c r="N102" s="293"/>
      <c r="O102" s="293"/>
      <c r="P102" s="293"/>
      <c r="Q102" s="293"/>
    </row>
    <row r="103" spans="1:17">
      <c r="A103" s="12"/>
      <c r="B103" s="13"/>
      <c r="C103" s="22"/>
      <c r="D103" s="22"/>
      <c r="E103" s="287"/>
      <c r="F103" s="287"/>
      <c r="G103" s="287"/>
      <c r="H103" s="287"/>
      <c r="J103" s="12"/>
      <c r="K103" s="13"/>
      <c r="L103" s="22" t="s">
        <v>837</v>
      </c>
      <c r="M103" s="22">
        <v>678000</v>
      </c>
      <c r="N103" s="293"/>
      <c r="O103" s="293"/>
      <c r="P103" s="293"/>
      <c r="Q103" s="293"/>
    </row>
    <row r="104" spans="1:17">
      <c r="A104" s="12"/>
      <c r="B104" s="13"/>
      <c r="C104" s="22"/>
      <c r="D104" s="22"/>
      <c r="E104" s="287"/>
      <c r="F104" s="287"/>
      <c r="G104" s="287"/>
      <c r="H104" s="287"/>
      <c r="J104" s="12"/>
      <c r="K104" s="13"/>
      <c r="L104" s="22"/>
      <c r="M104" s="22"/>
      <c r="N104" s="293"/>
      <c r="O104" s="293"/>
      <c r="P104" s="293"/>
      <c r="Q104" s="293"/>
    </row>
    <row r="105" spans="1:17">
      <c r="A105" s="12"/>
      <c r="B105" s="13"/>
      <c r="C105" s="22"/>
      <c r="D105" s="29"/>
      <c r="E105" s="287"/>
      <c r="F105" s="287"/>
      <c r="G105" s="287"/>
      <c r="H105" s="287"/>
      <c r="J105" s="12"/>
      <c r="K105" s="13"/>
      <c r="L105" s="22"/>
      <c r="M105" s="29"/>
      <c r="N105" s="293"/>
      <c r="O105" s="293"/>
      <c r="P105" s="293"/>
      <c r="Q105" s="293"/>
    </row>
    <row r="106" spans="1:17">
      <c r="A106" s="12"/>
      <c r="B106" s="13"/>
      <c r="C106" s="22"/>
      <c r="D106" s="29"/>
      <c r="E106" s="287"/>
      <c r="F106" s="287"/>
      <c r="G106" s="287"/>
      <c r="H106" s="287"/>
      <c r="J106" s="12"/>
      <c r="K106" s="13"/>
      <c r="L106" s="22"/>
      <c r="M106" s="29"/>
      <c r="N106" s="293"/>
      <c r="O106" s="293"/>
      <c r="P106" s="293"/>
      <c r="Q106" s="293"/>
    </row>
    <row r="107" spans="1:17" hidden="1">
      <c r="A107" s="12"/>
      <c r="B107" s="13"/>
      <c r="C107" s="22"/>
      <c r="D107" s="29"/>
      <c r="E107" s="287"/>
      <c r="F107" s="287"/>
      <c r="G107" s="287"/>
      <c r="H107" s="287"/>
      <c r="J107" s="12"/>
      <c r="K107" s="13"/>
      <c r="L107" s="22"/>
      <c r="M107" s="29"/>
      <c r="N107" s="293"/>
      <c r="O107" s="293"/>
      <c r="P107" s="293"/>
      <c r="Q107" s="293"/>
    </row>
    <row r="108" spans="1:17" hidden="1">
      <c r="A108" s="12"/>
      <c r="B108" s="13"/>
      <c r="C108" s="22"/>
      <c r="D108" s="29"/>
      <c r="E108" s="287"/>
      <c r="F108" s="287"/>
      <c r="G108" s="287"/>
      <c r="H108" s="287"/>
      <c r="J108" s="12"/>
      <c r="K108" s="13"/>
      <c r="L108" s="22"/>
      <c r="M108" s="29"/>
      <c r="N108" s="293"/>
      <c r="O108" s="293"/>
      <c r="P108" s="293"/>
      <c r="Q108" s="293"/>
    </row>
    <row r="109" spans="1:17" hidden="1">
      <c r="A109" s="12"/>
      <c r="B109" s="13"/>
      <c r="C109" s="22"/>
      <c r="D109" s="29"/>
      <c r="E109" s="287"/>
      <c r="F109" s="287"/>
      <c r="G109" s="287"/>
      <c r="H109" s="287"/>
      <c r="J109" s="12"/>
      <c r="K109" s="13"/>
      <c r="L109" s="22"/>
      <c r="M109" s="29"/>
      <c r="N109" s="293"/>
      <c r="O109" s="293"/>
      <c r="P109" s="293"/>
      <c r="Q109" s="293"/>
    </row>
    <row r="110" spans="1:17" hidden="1">
      <c r="A110" s="12"/>
      <c r="B110" s="13"/>
      <c r="C110" s="22"/>
      <c r="D110" s="29"/>
      <c r="E110" s="287"/>
      <c r="F110" s="287"/>
      <c r="G110" s="287"/>
      <c r="H110" s="287"/>
      <c r="J110" s="12"/>
      <c r="K110" s="13"/>
      <c r="L110" s="22"/>
      <c r="M110" s="29"/>
      <c r="N110" s="293"/>
      <c r="O110" s="293"/>
      <c r="P110" s="293"/>
      <c r="Q110" s="293"/>
    </row>
    <row r="111" spans="1:17">
      <c r="A111" s="12"/>
      <c r="B111" s="13"/>
      <c r="C111" s="26" t="s">
        <v>34</v>
      </c>
      <c r="D111" s="27">
        <f>SUM(D102:D105)</f>
        <v>0</v>
      </c>
      <c r="E111" s="27">
        <v>0</v>
      </c>
      <c r="F111" s="27">
        <v>0</v>
      </c>
      <c r="G111" s="27"/>
      <c r="H111" s="27"/>
      <c r="J111" s="12"/>
      <c r="K111" s="13"/>
      <c r="L111" s="26" t="s">
        <v>34</v>
      </c>
      <c r="M111" s="27">
        <f>SUM(M102:M105)</f>
        <v>1928000</v>
      </c>
      <c r="N111" s="27">
        <v>0</v>
      </c>
      <c r="O111" s="27">
        <v>0</v>
      </c>
      <c r="P111" s="27"/>
      <c r="Q111" s="27"/>
    </row>
    <row r="112" spans="1:17">
      <c r="A112" s="20"/>
      <c r="B112" s="19"/>
      <c r="C112" s="287" t="s">
        <v>21</v>
      </c>
      <c r="D112" s="10"/>
      <c r="E112" s="531">
        <f>D111</f>
        <v>0</v>
      </c>
      <c r="F112" s="532"/>
      <c r="G112" s="532"/>
      <c r="H112" s="533"/>
      <c r="J112" s="20"/>
      <c r="K112" s="19"/>
      <c r="L112" s="293" t="s">
        <v>21</v>
      </c>
      <c r="M112" s="10"/>
      <c r="N112" s="531">
        <f>M111</f>
        <v>1928000</v>
      </c>
      <c r="O112" s="532"/>
      <c r="P112" s="532"/>
      <c r="Q112" s="533"/>
    </row>
    <row r="113" spans="1:17">
      <c r="A113" s="525" t="s">
        <v>35</v>
      </c>
      <c r="B113" s="525"/>
      <c r="C113" s="525"/>
      <c r="D113" s="285"/>
      <c r="E113" s="526">
        <f>E50+E55+E100+E112+E80+E86+E62</f>
        <v>48305000</v>
      </c>
      <c r="F113" s="526"/>
      <c r="G113" s="526"/>
      <c r="H113" s="526"/>
      <c r="J113" s="525" t="s">
        <v>35</v>
      </c>
      <c r="K113" s="525"/>
      <c r="L113" s="525"/>
      <c r="M113" s="289"/>
      <c r="N113" s="526">
        <f>N50+N55+N100+N112+N80+N86+N62</f>
        <v>45233000</v>
      </c>
      <c r="O113" s="526"/>
      <c r="P113" s="526"/>
      <c r="Q113" s="526"/>
    </row>
    <row r="114" spans="1:17">
      <c r="A114" s="522" t="s">
        <v>36</v>
      </c>
      <c r="B114" s="522"/>
      <c r="C114" s="522"/>
      <c r="D114" s="284"/>
      <c r="E114" s="523">
        <f>+E31+E113</f>
        <v>52708812</v>
      </c>
      <c r="F114" s="523"/>
      <c r="G114" s="523"/>
      <c r="H114" s="523"/>
      <c r="J114" s="522" t="s">
        <v>36</v>
      </c>
      <c r="K114" s="522"/>
      <c r="L114" s="522"/>
      <c r="M114" s="292"/>
      <c r="N114" s="523">
        <f>+N31+N113</f>
        <v>49636812</v>
      </c>
      <c r="O114" s="523"/>
      <c r="P114" s="523"/>
      <c r="Q114" s="523"/>
    </row>
    <row r="115" spans="1:17">
      <c r="A115" s="524" t="s">
        <v>32</v>
      </c>
      <c r="B115" s="524"/>
      <c r="C115" s="524"/>
      <c r="D115" s="524"/>
      <c r="E115" s="524"/>
      <c r="F115" s="524"/>
      <c r="G115" s="524"/>
      <c r="H115" s="524"/>
      <c r="J115" s="524" t="s">
        <v>32</v>
      </c>
      <c r="K115" s="524"/>
      <c r="L115" s="524"/>
      <c r="M115" s="524"/>
      <c r="N115" s="524"/>
      <c r="O115" s="524"/>
      <c r="P115" s="524"/>
      <c r="Q115" s="524"/>
    </row>
    <row r="116" spans="1:17">
      <c r="A116" s="33"/>
      <c r="B116" s="13"/>
      <c r="C116" s="22"/>
      <c r="D116" s="22"/>
      <c r="E116" s="22"/>
      <c r="F116" s="22"/>
      <c r="G116" s="16"/>
      <c r="H116" s="16"/>
      <c r="J116" s="33"/>
      <c r="K116" s="13"/>
      <c r="L116" s="22"/>
      <c r="M116" s="22"/>
      <c r="N116" s="22"/>
      <c r="O116" s="22"/>
      <c r="P116" s="16"/>
      <c r="Q116" s="16"/>
    </row>
    <row r="117" spans="1:17">
      <c r="A117" s="33"/>
      <c r="B117" s="13"/>
      <c r="C117" s="22"/>
      <c r="D117" s="22"/>
      <c r="E117" s="22"/>
      <c r="F117" s="22"/>
      <c r="G117" s="16"/>
      <c r="H117" s="16"/>
      <c r="J117" s="33"/>
      <c r="K117" s="13"/>
      <c r="L117" s="22"/>
      <c r="M117" s="22"/>
      <c r="N117" s="22"/>
      <c r="O117" s="22"/>
      <c r="P117" s="16"/>
      <c r="Q117" s="16"/>
    </row>
    <row r="118" spans="1:17">
      <c r="A118" s="33"/>
      <c r="B118" s="13"/>
      <c r="C118" s="22"/>
      <c r="D118" s="22"/>
      <c r="E118" s="22"/>
      <c r="F118" s="22"/>
      <c r="G118" s="16"/>
      <c r="H118" s="16"/>
      <c r="J118" s="33"/>
      <c r="K118" s="13"/>
      <c r="L118" s="22"/>
      <c r="M118" s="22"/>
      <c r="N118" s="22"/>
      <c r="O118" s="22"/>
      <c r="P118" s="16"/>
      <c r="Q118" s="16"/>
    </row>
    <row r="119" spans="1:17">
      <c r="A119" s="20"/>
      <c r="B119" s="13"/>
      <c r="C119" s="22"/>
      <c r="D119" s="22"/>
      <c r="E119" s="22"/>
      <c r="F119" s="16"/>
      <c r="G119" s="16"/>
      <c r="H119" s="16"/>
      <c r="J119" s="20"/>
      <c r="K119" s="13"/>
      <c r="L119" s="22"/>
      <c r="M119" s="22"/>
      <c r="N119" s="22"/>
      <c r="O119" s="16"/>
      <c r="P119" s="16"/>
      <c r="Q119" s="16"/>
    </row>
    <row r="120" spans="1:17">
      <c r="A120" s="20"/>
      <c r="B120" s="13"/>
      <c r="C120" s="22"/>
      <c r="D120" s="22"/>
      <c r="E120" s="22"/>
      <c r="F120" s="16"/>
      <c r="G120" s="16"/>
      <c r="H120" s="16"/>
      <c r="J120" s="20"/>
      <c r="K120" s="13"/>
      <c r="L120" s="22"/>
      <c r="M120" s="22"/>
      <c r="N120" s="22"/>
      <c r="O120" s="16"/>
      <c r="P120" s="16"/>
      <c r="Q120" s="16"/>
    </row>
    <row r="121" spans="1:17">
      <c r="A121" s="525" t="s">
        <v>37</v>
      </c>
      <c r="B121" s="525"/>
      <c r="C121" s="525"/>
      <c r="D121" s="285">
        <f>SUM(D116:D120)</f>
        <v>0</v>
      </c>
      <c r="E121" s="526"/>
      <c r="F121" s="526"/>
      <c r="G121" s="526"/>
      <c r="H121" s="526"/>
      <c r="J121" s="525" t="s">
        <v>37</v>
      </c>
      <c r="K121" s="525"/>
      <c r="L121" s="525"/>
      <c r="M121" s="289">
        <f>SUM(M116:M120)</f>
        <v>0</v>
      </c>
      <c r="N121" s="526"/>
      <c r="O121" s="526"/>
      <c r="P121" s="526"/>
      <c r="Q121" s="526"/>
    </row>
    <row r="122" spans="1:17">
      <c r="A122" s="34" t="s">
        <v>38</v>
      </c>
      <c r="B122" s="35"/>
      <c r="C122" s="285"/>
      <c r="D122" s="285"/>
      <c r="E122" s="286"/>
      <c r="F122" s="286"/>
      <c r="G122" s="526"/>
      <c r="H122" s="526"/>
      <c r="J122" s="34" t="s">
        <v>38</v>
      </c>
      <c r="K122" s="35"/>
      <c r="L122" s="289"/>
      <c r="M122" s="289"/>
      <c r="N122" s="290"/>
      <c r="O122" s="290"/>
      <c r="P122" s="526"/>
      <c r="Q122" s="526"/>
    </row>
    <row r="123" spans="1:17">
      <c r="A123" s="37"/>
      <c r="B123" s="38"/>
      <c r="C123" s="39"/>
      <c r="D123" s="39"/>
      <c r="E123" s="39"/>
      <c r="F123" s="39"/>
      <c r="G123" s="39"/>
      <c r="H123" s="39"/>
      <c r="J123" s="37"/>
      <c r="K123" s="38"/>
      <c r="L123" s="39"/>
      <c r="M123" s="39"/>
      <c r="N123" s="39"/>
      <c r="O123" s="39"/>
      <c r="P123" s="39"/>
      <c r="Q123" s="39"/>
    </row>
    <row r="124" spans="1:17">
      <c r="A124" s="519" t="s">
        <v>13</v>
      </c>
      <c r="B124" s="520"/>
      <c r="C124" s="520"/>
      <c r="D124" s="520"/>
      <c r="E124" s="521"/>
      <c r="F124" s="39"/>
      <c r="G124" s="39"/>
      <c r="H124" s="40"/>
      <c r="J124" s="519" t="s">
        <v>13</v>
      </c>
      <c r="K124" s="520"/>
      <c r="L124" s="520"/>
      <c r="M124" s="520"/>
      <c r="N124" s="521"/>
      <c r="O124" s="39"/>
      <c r="P124" s="39"/>
      <c r="Q124" s="40"/>
    </row>
    <row r="125" spans="1:17">
      <c r="A125" s="41" t="s">
        <v>39</v>
      </c>
      <c r="B125" s="42" t="s">
        <v>40</v>
      </c>
      <c r="C125" s="43" t="s">
        <v>41</v>
      </c>
      <c r="D125" s="43" t="s">
        <v>42</v>
      </c>
      <c r="E125" s="43" t="s">
        <v>43</v>
      </c>
      <c r="F125" s="39"/>
      <c r="G125" s="39"/>
      <c r="H125" s="39"/>
      <c r="J125" s="41" t="s">
        <v>39</v>
      </c>
      <c r="K125" s="42" t="s">
        <v>40</v>
      </c>
      <c r="L125" s="43" t="s">
        <v>41</v>
      </c>
      <c r="M125" s="43" t="s">
        <v>42</v>
      </c>
      <c r="N125" s="43" t="s">
        <v>43</v>
      </c>
      <c r="O125" s="39"/>
      <c r="P125" s="39"/>
      <c r="Q125" s="39"/>
    </row>
    <row r="126" spans="1:17">
      <c r="A126" s="41"/>
      <c r="B126" s="44"/>
      <c r="C126" s="45"/>
      <c r="D126" s="46"/>
      <c r="E126" s="46"/>
      <c r="F126" s="39"/>
      <c r="G126" s="39"/>
      <c r="H126" s="39"/>
      <c r="J126" s="41"/>
      <c r="K126" s="44"/>
      <c r="L126" s="45" t="s">
        <v>714</v>
      </c>
      <c r="M126" s="46">
        <v>54636000</v>
      </c>
      <c r="N126" s="46"/>
      <c r="O126" s="39"/>
      <c r="P126" s="39"/>
      <c r="Q126" s="39"/>
    </row>
    <row r="127" spans="1:17">
      <c r="A127" s="41"/>
      <c r="B127" s="44"/>
      <c r="C127" s="45"/>
      <c r="D127" s="46"/>
      <c r="E127" s="46"/>
      <c r="F127" s="39"/>
      <c r="G127" s="39"/>
      <c r="H127" s="39"/>
      <c r="J127" s="41"/>
      <c r="K127" s="44"/>
      <c r="L127" s="45"/>
      <c r="M127" s="46"/>
      <c r="N127" s="46"/>
      <c r="O127" s="39"/>
      <c r="P127" s="39"/>
      <c r="Q127" s="39"/>
    </row>
    <row r="128" spans="1:17" ht="16.5" customHeight="1">
      <c r="A128" s="41"/>
      <c r="B128" s="44"/>
      <c r="C128" s="45"/>
      <c r="D128" s="46"/>
      <c r="E128" s="46"/>
      <c r="F128" s="39"/>
      <c r="G128" s="39"/>
      <c r="H128" s="39"/>
      <c r="J128" s="41"/>
      <c r="K128" s="44"/>
      <c r="L128" s="45"/>
      <c r="M128" s="46"/>
      <c r="N128" s="46"/>
      <c r="O128" s="39"/>
      <c r="P128" s="39"/>
      <c r="Q128" s="39"/>
    </row>
    <row r="129" spans="1:17" hidden="1">
      <c r="A129" s="41"/>
      <c r="B129" s="44"/>
      <c r="C129" s="281"/>
      <c r="D129" s="46"/>
      <c r="E129" s="46"/>
      <c r="F129" s="39"/>
      <c r="G129" s="39"/>
      <c r="H129" s="39"/>
      <c r="J129" s="41"/>
      <c r="K129" s="44"/>
      <c r="L129" s="281"/>
      <c r="M129" s="46"/>
      <c r="N129" s="46"/>
      <c r="O129" s="39"/>
      <c r="P129" s="39"/>
      <c r="Q129" s="39"/>
    </row>
    <row r="130" spans="1:17" hidden="1">
      <c r="A130" s="41"/>
      <c r="B130" s="44"/>
      <c r="C130" s="281"/>
      <c r="D130" s="46"/>
      <c r="E130" s="46"/>
      <c r="F130" s="39"/>
      <c r="G130" s="39"/>
      <c r="H130" s="39"/>
      <c r="J130" s="41"/>
      <c r="K130" s="44"/>
      <c r="L130" s="281"/>
      <c r="M130" s="46"/>
      <c r="N130" s="46"/>
      <c r="O130" s="39"/>
      <c r="P130" s="39"/>
      <c r="Q130" s="39"/>
    </row>
    <row r="131" spans="1:17" hidden="1">
      <c r="A131" s="41"/>
      <c r="B131" s="44"/>
      <c r="C131" s="281"/>
      <c r="D131" s="46"/>
      <c r="E131" s="46"/>
      <c r="F131" s="39"/>
      <c r="G131" s="39"/>
      <c r="H131" s="39"/>
      <c r="J131" s="41"/>
      <c r="K131" s="44"/>
      <c r="L131" s="281"/>
      <c r="M131" s="46"/>
      <c r="N131" s="46"/>
      <c r="O131" s="39"/>
      <c r="P131" s="39"/>
      <c r="Q131" s="39"/>
    </row>
    <row r="132" spans="1:17" hidden="1">
      <c r="A132" s="41"/>
      <c r="B132" s="44"/>
      <c r="C132" s="281"/>
      <c r="D132" s="46"/>
      <c r="E132" s="46"/>
      <c r="F132" s="39"/>
      <c r="G132" s="39"/>
      <c r="H132" s="39"/>
      <c r="J132" s="41"/>
      <c r="K132" s="44"/>
      <c r="L132" s="281"/>
      <c r="M132" s="46"/>
      <c r="N132" s="46"/>
      <c r="O132" s="39"/>
      <c r="P132" s="39"/>
      <c r="Q132" s="39"/>
    </row>
    <row r="133" spans="1:17" hidden="1">
      <c r="A133" s="41"/>
      <c r="B133" s="44"/>
      <c r="C133" s="281"/>
      <c r="D133" s="46"/>
      <c r="E133" s="46"/>
      <c r="F133" s="39"/>
      <c r="G133" s="39"/>
      <c r="H133" s="39"/>
      <c r="J133" s="41"/>
      <c r="K133" s="44"/>
      <c r="L133" s="281"/>
      <c r="M133" s="46"/>
      <c r="N133" s="46"/>
      <c r="O133" s="39"/>
      <c r="P133" s="39"/>
      <c r="Q133" s="39"/>
    </row>
    <row r="134" spans="1:17" hidden="1">
      <c r="A134" s="41"/>
      <c r="B134" s="44"/>
      <c r="C134" s="47"/>
      <c r="D134" s="46"/>
      <c r="E134" s="46"/>
      <c r="F134" s="39"/>
      <c r="G134" s="39"/>
      <c r="H134" s="39"/>
      <c r="J134" s="41"/>
      <c r="K134" s="44"/>
      <c r="L134" s="47"/>
      <c r="M134" s="46"/>
      <c r="N134" s="46"/>
      <c r="O134" s="39"/>
      <c r="P134" s="39"/>
      <c r="Q134" s="39"/>
    </row>
    <row r="135" spans="1:17">
      <c r="A135" s="41"/>
      <c r="B135" s="44"/>
      <c r="C135" s="46"/>
      <c r="D135" s="48"/>
      <c r="E135" s="46"/>
      <c r="F135" s="39"/>
      <c r="G135" s="39"/>
      <c r="H135" s="39"/>
      <c r="J135" s="41"/>
      <c r="K135" s="44"/>
      <c r="L135" s="46"/>
      <c r="M135" s="48"/>
      <c r="N135" s="46"/>
      <c r="O135" s="39"/>
      <c r="P135" s="39"/>
      <c r="Q135" s="39"/>
    </row>
    <row r="136" spans="1:17">
      <c r="A136" s="49"/>
      <c r="B136" s="50"/>
      <c r="C136" s="51" t="s">
        <v>44</v>
      </c>
      <c r="D136" s="51">
        <f>SUM(D126:D135)</f>
        <v>0</v>
      </c>
      <c r="E136" s="52"/>
      <c r="F136" s="39"/>
      <c r="G136" s="39"/>
      <c r="H136" s="39"/>
      <c r="J136" s="49"/>
      <c r="K136" s="50"/>
      <c r="L136" s="51" t="s">
        <v>44</v>
      </c>
      <c r="M136" s="51">
        <f>SUM(M126:M135)</f>
        <v>54636000</v>
      </c>
      <c r="N136" s="52"/>
      <c r="O136" s="39"/>
      <c r="P136" s="39"/>
      <c r="Q136" s="39"/>
    </row>
    <row r="137" spans="1:17">
      <c r="A137" s="53"/>
      <c r="B137" s="54"/>
      <c r="C137" s="55" t="s">
        <v>779</v>
      </c>
      <c r="D137" s="116"/>
      <c r="E137" s="3"/>
      <c r="F137" s="39"/>
      <c r="G137" s="39"/>
      <c r="H137" s="39"/>
      <c r="J137" s="53"/>
      <c r="K137" s="54"/>
      <c r="L137" s="55" t="s">
        <v>779</v>
      </c>
      <c r="M137" s="116">
        <f>M136-N114</f>
        <v>4999188</v>
      </c>
      <c r="N137" s="3"/>
      <c r="O137" s="39"/>
      <c r="P137" s="39"/>
      <c r="Q137" s="39"/>
    </row>
  </sheetData>
  <mergeCells count="66">
    <mergeCell ref="J115:Q115"/>
    <mergeCell ref="J121:L121"/>
    <mergeCell ref="N121:Q121"/>
    <mergeCell ref="P122:Q122"/>
    <mergeCell ref="J124:N124"/>
    <mergeCell ref="N112:Q112"/>
    <mergeCell ref="J113:L113"/>
    <mergeCell ref="N113:Q113"/>
    <mergeCell ref="J114:L114"/>
    <mergeCell ref="N114:Q114"/>
    <mergeCell ref="J81:Q81"/>
    <mergeCell ref="N86:Q86"/>
    <mergeCell ref="J87:Q87"/>
    <mergeCell ref="N100:Q100"/>
    <mergeCell ref="J101:Q101"/>
    <mergeCell ref="N55:Q55"/>
    <mergeCell ref="J56:Q56"/>
    <mergeCell ref="N62:Q62"/>
    <mergeCell ref="J63:Q63"/>
    <mergeCell ref="N80:Q80"/>
    <mergeCell ref="J31:M31"/>
    <mergeCell ref="N31:Q31"/>
    <mergeCell ref="J32:Q32"/>
    <mergeCell ref="N50:Q50"/>
    <mergeCell ref="J51:Q51"/>
    <mergeCell ref="J3:Q3"/>
    <mergeCell ref="J12:P12"/>
    <mergeCell ref="J13:Q13"/>
    <mergeCell ref="J14:J15"/>
    <mergeCell ref="K14:K15"/>
    <mergeCell ref="L14:L15"/>
    <mergeCell ref="M14:M15"/>
    <mergeCell ref="N14:Q14"/>
    <mergeCell ref="A3:H3"/>
    <mergeCell ref="A12:G12"/>
    <mergeCell ref="A13:H13"/>
    <mergeCell ref="A14:A15"/>
    <mergeCell ref="B14:B15"/>
    <mergeCell ref="C14:C15"/>
    <mergeCell ref="D14:D15"/>
    <mergeCell ref="E14:H14"/>
    <mergeCell ref="E86:H86"/>
    <mergeCell ref="A31:D31"/>
    <mergeCell ref="E31:H31"/>
    <mergeCell ref="A32:H32"/>
    <mergeCell ref="E50:H50"/>
    <mergeCell ref="A51:H51"/>
    <mergeCell ref="E55:H55"/>
    <mergeCell ref="A56:H56"/>
    <mergeCell ref="E62:H62"/>
    <mergeCell ref="A63:H63"/>
    <mergeCell ref="E80:H80"/>
    <mergeCell ref="A81:H81"/>
    <mergeCell ref="A87:H87"/>
    <mergeCell ref="E100:H100"/>
    <mergeCell ref="A101:H101"/>
    <mergeCell ref="E112:H112"/>
    <mergeCell ref="A113:C113"/>
    <mergeCell ref="E113:H113"/>
    <mergeCell ref="A124:E124"/>
    <mergeCell ref="A114:C114"/>
    <mergeCell ref="E114:H114"/>
    <mergeCell ref="A115:H115"/>
    <mergeCell ref="A121:C121"/>
    <mergeCell ref="E121:H121"/>
    <mergeCell ref="G122:H122"/>
  </mergeCells>
  <pageMargins left="0.56000000000000005" right="0.02" top="0.25" bottom="0.19685039370078741" header="0.15748031496062992" footer="0.15748031496062992"/>
  <pageSetup paperSize="9" scale="74" orientation="portrait" horizontalDpi="300" verticalDpi="300" r:id="rId1"/>
  <rowBreaks count="1" manualBreakCount="1">
    <brk id="114" max="7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32"/>
  <sheetViews>
    <sheetView workbookViewId="0"/>
  </sheetViews>
  <sheetFormatPr defaultRowHeight="15"/>
  <cols>
    <col min="1" max="1" width="40.7109375" bestFit="1" customWidth="1"/>
    <col min="2" max="2" width="10.5703125" bestFit="1" customWidth="1"/>
    <col min="3" max="3" width="25" bestFit="1" customWidth="1"/>
    <col min="4" max="4" width="10.5703125" bestFit="1" customWidth="1"/>
    <col min="5" max="5" width="52" bestFit="1" customWidth="1"/>
    <col min="6" max="6" width="10.5703125" bestFit="1" customWidth="1"/>
    <col min="7" max="7" width="40.5703125" bestFit="1" customWidth="1"/>
    <col min="8" max="8" width="11.5703125" bestFit="1" customWidth="1"/>
    <col min="9" max="9" width="22.85546875" bestFit="1" customWidth="1"/>
    <col min="12" max="13" width="11.5703125" bestFit="1" customWidth="1"/>
  </cols>
  <sheetData>
    <row r="1" spans="1:11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  <c r="K1" s="77"/>
    </row>
    <row r="2" spans="1:11" s="184" customFormat="1">
      <c r="A2" s="23" t="s">
        <v>731</v>
      </c>
      <c r="B2" s="23">
        <v>5855000</v>
      </c>
      <c r="C2" s="23" t="s">
        <v>813</v>
      </c>
      <c r="D2" s="23">
        <v>300000</v>
      </c>
      <c r="E2" s="15" t="s">
        <v>812</v>
      </c>
      <c r="F2" s="22">
        <v>1250000</v>
      </c>
      <c r="G2" s="15" t="s">
        <v>686</v>
      </c>
      <c r="H2" s="22">
        <v>350000</v>
      </c>
      <c r="I2" s="14" t="s">
        <v>414</v>
      </c>
      <c r="J2" s="15">
        <v>32000</v>
      </c>
      <c r="K2" s="282"/>
    </row>
    <row r="3" spans="1:11" s="184" customFormat="1">
      <c r="A3" s="23" t="s">
        <v>263</v>
      </c>
      <c r="B3" s="23">
        <v>1320000</v>
      </c>
      <c r="C3" s="23" t="s">
        <v>817</v>
      </c>
      <c r="D3" s="23">
        <v>150000</v>
      </c>
      <c r="E3" s="15" t="s">
        <v>816</v>
      </c>
      <c r="F3" s="22">
        <v>620000</v>
      </c>
      <c r="G3" s="15" t="s">
        <v>802</v>
      </c>
      <c r="H3" s="23">
        <v>185000</v>
      </c>
      <c r="I3" s="14" t="s">
        <v>807</v>
      </c>
      <c r="J3" s="15">
        <v>363000</v>
      </c>
      <c r="K3" s="282"/>
    </row>
    <row r="4" spans="1:11" s="184" customFormat="1">
      <c r="A4" s="24" t="s">
        <v>826</v>
      </c>
      <c r="B4" s="23">
        <v>300000</v>
      </c>
      <c r="C4" s="183" t="s">
        <v>410</v>
      </c>
      <c r="D4" s="30">
        <v>600000</v>
      </c>
      <c r="E4" s="23" t="s">
        <v>822</v>
      </c>
      <c r="F4" s="23">
        <v>120000</v>
      </c>
      <c r="G4" s="24" t="s">
        <v>803</v>
      </c>
      <c r="H4" s="23">
        <v>1194312</v>
      </c>
      <c r="I4" s="183" t="s">
        <v>823</v>
      </c>
      <c r="J4" s="30">
        <v>203000</v>
      </c>
      <c r="K4" s="282"/>
    </row>
    <row r="5" spans="1:11" s="184" customFormat="1">
      <c r="A5" s="24" t="s">
        <v>827</v>
      </c>
      <c r="B5" s="23">
        <v>237000</v>
      </c>
      <c r="C5" s="30" t="s">
        <v>809</v>
      </c>
      <c r="D5" s="185">
        <v>215000</v>
      </c>
      <c r="E5" s="15"/>
      <c r="F5" s="23"/>
      <c r="G5" s="23" t="s">
        <v>804</v>
      </c>
      <c r="H5" s="23">
        <v>450000</v>
      </c>
      <c r="I5" s="183"/>
      <c r="J5" s="183"/>
      <c r="K5" s="282"/>
    </row>
    <row r="6" spans="1:11" s="187" customFormat="1">
      <c r="A6" s="24" t="s">
        <v>829</v>
      </c>
      <c r="B6" s="23">
        <v>782500</v>
      </c>
      <c r="C6" s="186" t="s">
        <v>810</v>
      </c>
      <c r="D6" s="185">
        <v>105000</v>
      </c>
      <c r="E6" s="23"/>
      <c r="F6" s="23"/>
      <c r="G6" s="24" t="s">
        <v>805</v>
      </c>
      <c r="H6" s="23">
        <v>202500</v>
      </c>
      <c r="I6" s="23"/>
      <c r="J6" s="23"/>
      <c r="K6" s="283"/>
    </row>
    <row r="7" spans="1:11" s="187" customFormat="1">
      <c r="A7" s="22"/>
      <c r="B7" s="22"/>
      <c r="C7" s="30"/>
      <c r="D7" s="188"/>
      <c r="E7" s="183"/>
      <c r="F7" s="30"/>
      <c r="G7" s="23" t="s">
        <v>806</v>
      </c>
      <c r="H7" s="23">
        <v>503500</v>
      </c>
      <c r="I7" s="14"/>
      <c r="J7" s="15"/>
      <c r="K7" s="283"/>
    </row>
    <row r="8" spans="1:11" s="187" customFormat="1" hidden="1">
      <c r="A8" s="22"/>
      <c r="B8" s="29"/>
      <c r="C8" s="30"/>
      <c r="D8" s="188"/>
      <c r="E8" s="30"/>
      <c r="F8" s="188"/>
      <c r="G8" s="24" t="s">
        <v>19</v>
      </c>
      <c r="H8" s="23">
        <v>503500</v>
      </c>
      <c r="I8" s="30"/>
      <c r="J8" s="188"/>
      <c r="K8" s="283"/>
    </row>
    <row r="9" spans="1:11" s="187" customFormat="1" hidden="1">
      <c r="A9" s="193"/>
      <c r="B9" s="194"/>
      <c r="C9" s="194"/>
      <c r="D9" s="194"/>
      <c r="E9" s="194"/>
      <c r="F9" s="194"/>
      <c r="G9" s="119" t="s">
        <v>808</v>
      </c>
      <c r="H9" s="120">
        <v>300000</v>
      </c>
      <c r="I9" s="193"/>
      <c r="J9" s="194"/>
      <c r="K9" s="283"/>
    </row>
    <row r="10" spans="1:11" hidden="1">
      <c r="A10" s="68"/>
      <c r="B10" s="69"/>
      <c r="C10" s="69"/>
      <c r="D10" s="69"/>
      <c r="E10" s="69"/>
      <c r="F10" s="69"/>
      <c r="G10" s="119" t="s">
        <v>814</v>
      </c>
      <c r="H10" s="120">
        <v>200000</v>
      </c>
      <c r="I10" s="68"/>
      <c r="J10" s="69"/>
      <c r="K10" s="77"/>
    </row>
    <row r="11" spans="1:11" hidden="1">
      <c r="A11" s="68"/>
      <c r="B11" s="69"/>
      <c r="C11" s="69"/>
      <c r="D11" s="69"/>
      <c r="E11" s="69"/>
      <c r="F11" s="69"/>
      <c r="G11" s="119" t="s">
        <v>838</v>
      </c>
      <c r="H11" s="120">
        <v>200000</v>
      </c>
      <c r="I11" s="68"/>
      <c r="J11" s="69"/>
      <c r="K11" s="77"/>
    </row>
    <row r="12" spans="1:11" hidden="1">
      <c r="A12" s="68"/>
      <c r="B12" s="69"/>
      <c r="C12" s="69"/>
      <c r="D12" s="69"/>
      <c r="E12" s="69"/>
      <c r="F12" s="69"/>
      <c r="G12" s="119" t="s">
        <v>830</v>
      </c>
      <c r="H12" s="120">
        <v>1117500</v>
      </c>
      <c r="I12" s="68"/>
      <c r="J12" s="69"/>
      <c r="K12" s="77"/>
    </row>
    <row r="13" spans="1:11" hidden="1">
      <c r="A13" s="68"/>
      <c r="B13" s="69"/>
      <c r="C13" s="69"/>
      <c r="D13" s="69"/>
      <c r="E13" s="69"/>
      <c r="F13" s="69"/>
      <c r="G13" s="119" t="s">
        <v>831</v>
      </c>
      <c r="H13" s="120">
        <v>50000</v>
      </c>
      <c r="I13" s="68"/>
      <c r="J13" s="69"/>
      <c r="K13" s="77"/>
    </row>
    <row r="14" spans="1:11" hidden="1">
      <c r="A14" s="68"/>
      <c r="B14" s="69"/>
      <c r="C14" s="69"/>
      <c r="D14" s="69"/>
      <c r="E14" s="69"/>
      <c r="F14" s="69"/>
      <c r="G14" s="119" t="s">
        <v>836</v>
      </c>
      <c r="H14" s="120">
        <v>1250000</v>
      </c>
      <c r="I14" s="68"/>
      <c r="J14" s="69"/>
      <c r="K14" s="77"/>
    </row>
    <row r="15" spans="1:11" hidden="1">
      <c r="A15" s="68"/>
      <c r="B15" s="69"/>
      <c r="C15" s="69"/>
      <c r="D15" s="69"/>
      <c r="E15" s="69"/>
      <c r="F15" s="69"/>
      <c r="G15" s="119" t="s">
        <v>837</v>
      </c>
      <c r="H15" s="120">
        <v>678000</v>
      </c>
      <c r="I15" s="68"/>
      <c r="J15" s="69"/>
      <c r="K15" s="77"/>
    </row>
    <row r="16" spans="1:11" hidden="1">
      <c r="A16" s="68"/>
      <c r="B16" s="69"/>
      <c r="C16" s="69"/>
      <c r="D16" s="69"/>
      <c r="E16" s="69"/>
      <c r="F16" s="69"/>
      <c r="G16" s="23" t="s">
        <v>825</v>
      </c>
      <c r="H16" s="23">
        <v>30000000</v>
      </c>
      <c r="I16" s="68"/>
      <c r="J16" s="69"/>
      <c r="K16" s="77"/>
    </row>
    <row r="17" spans="1:13" hidden="1">
      <c r="A17" s="68"/>
      <c r="B17" s="69"/>
      <c r="C17" s="69"/>
      <c r="D17" s="69"/>
      <c r="E17" s="69"/>
      <c r="F17" s="69"/>
      <c r="G17" s="119"/>
      <c r="H17" s="120"/>
      <c r="I17" s="68"/>
      <c r="J17" s="69"/>
      <c r="K17" s="77"/>
    </row>
    <row r="18" spans="1:13">
      <c r="A18" s="70"/>
      <c r="B18" s="71">
        <f>SUM(B2:B16)</f>
        <v>8494500</v>
      </c>
      <c r="C18" s="71">
        <f t="shared" ref="C18:J18" si="0">SUM(C2:C16)</f>
        <v>0</v>
      </c>
      <c r="D18" s="71">
        <f t="shared" si="0"/>
        <v>1370000</v>
      </c>
      <c r="E18" s="71">
        <f t="shared" si="0"/>
        <v>0</v>
      </c>
      <c r="F18" s="71">
        <f t="shared" si="0"/>
        <v>1990000</v>
      </c>
      <c r="G18" s="71">
        <f t="shared" si="0"/>
        <v>0</v>
      </c>
      <c r="H18" s="71">
        <f>SUM(H2:H16)</f>
        <v>37184312</v>
      </c>
      <c r="I18" s="71">
        <f t="shared" si="0"/>
        <v>0</v>
      </c>
      <c r="J18" s="71">
        <f t="shared" si="0"/>
        <v>598000</v>
      </c>
      <c r="K18" s="77"/>
      <c r="L18" s="72">
        <f>SUM(B18:K18)</f>
        <v>49636812</v>
      </c>
      <c r="M18" s="72">
        <f>L18-Sheet32!N114</f>
        <v>0</v>
      </c>
    </row>
    <row r="21" spans="1:13">
      <c r="M21" s="77"/>
    </row>
    <row r="22" spans="1:13">
      <c r="M22" s="77"/>
    </row>
    <row r="23" spans="1:13">
      <c r="M23" s="77"/>
    </row>
    <row r="24" spans="1:13">
      <c r="M24" s="77">
        <v>318000</v>
      </c>
    </row>
    <row r="25" spans="1:13">
      <c r="M25" s="77">
        <v>60000</v>
      </c>
    </row>
    <row r="26" spans="1:13">
      <c r="M26" s="77">
        <v>37500</v>
      </c>
    </row>
    <row r="27" spans="1:13">
      <c r="M27" s="77">
        <v>2000</v>
      </c>
    </row>
    <row r="28" spans="1:13">
      <c r="M28" s="77">
        <v>6000</v>
      </c>
    </row>
    <row r="29" spans="1:13">
      <c r="M29" s="77">
        <v>5000</v>
      </c>
    </row>
    <row r="30" spans="1:13">
      <c r="M30" s="77">
        <v>25000</v>
      </c>
    </row>
    <row r="31" spans="1:13">
      <c r="M31" s="77"/>
    </row>
    <row r="32" spans="1:13">
      <c r="M32" s="72">
        <f>SUM(M21:M31)</f>
        <v>453500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XFD139"/>
  <sheetViews>
    <sheetView workbookViewId="0"/>
  </sheetViews>
  <sheetFormatPr defaultRowHeight="15"/>
  <cols>
    <col min="3" max="3" width="52" bestFit="1" customWidth="1"/>
    <col min="4" max="4" width="12" bestFit="1" customWidth="1"/>
    <col min="8" max="8" width="12" bestFit="1" customWidth="1"/>
    <col min="12" max="12" width="52" bestFit="1" customWidth="1"/>
    <col min="13" max="13" width="12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868</v>
      </c>
      <c r="B2" s="2"/>
      <c r="C2" s="3"/>
      <c r="D2" s="3"/>
      <c r="E2" s="3"/>
      <c r="F2" s="3"/>
      <c r="G2" s="3"/>
      <c r="H2" s="3"/>
      <c r="J2" s="1" t="s">
        <v>868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118768151</v>
      </c>
      <c r="E4" s="6"/>
      <c r="F4" s="6"/>
      <c r="G4" s="6"/>
      <c r="H4" s="6"/>
      <c r="J4" s="4"/>
      <c r="K4" s="5"/>
      <c r="L4" s="6" t="s">
        <v>2</v>
      </c>
      <c r="M4" s="7">
        <v>118768151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 t="s">
        <v>849</v>
      </c>
      <c r="E5" s="6"/>
      <c r="F5" s="6"/>
      <c r="G5" s="6"/>
      <c r="H5" s="6"/>
      <c r="J5" s="4"/>
      <c r="K5" s="5"/>
      <c r="L5" s="6" t="s">
        <v>590</v>
      </c>
      <c r="M5" s="7" t="s">
        <v>849</v>
      </c>
      <c r="N5" s="6"/>
      <c r="O5" s="6"/>
      <c r="P5" s="6"/>
      <c r="Q5" s="6"/>
    </row>
    <row r="6" spans="1:17">
      <c r="A6" s="4"/>
      <c r="B6" s="5"/>
      <c r="C6" s="6" t="s">
        <v>3</v>
      </c>
      <c r="D6" s="8">
        <v>30930815</v>
      </c>
      <c r="E6" s="6"/>
      <c r="F6" s="6"/>
      <c r="G6" s="6"/>
      <c r="H6" s="6"/>
      <c r="J6" s="4"/>
      <c r="K6" s="5"/>
      <c r="L6" s="6" t="s">
        <v>3</v>
      </c>
      <c r="M6" s="8">
        <v>30930815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1139810</v>
      </c>
      <c r="E7" s="6"/>
      <c r="F7" s="6"/>
      <c r="G7" s="6"/>
      <c r="H7" s="6"/>
      <c r="J7" s="4"/>
      <c r="K7" s="5"/>
      <c r="L7" s="6" t="s">
        <v>4</v>
      </c>
      <c r="M7" s="115">
        <v>1139810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J10" s="4"/>
      <c r="K10" s="5"/>
      <c r="L10" s="6" t="s">
        <v>7</v>
      </c>
      <c r="M10" s="6">
        <v>2363662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839</v>
      </c>
      <c r="B12" s="532"/>
      <c r="C12" s="532"/>
      <c r="D12" s="532"/>
      <c r="E12" s="532"/>
      <c r="F12" s="532"/>
      <c r="G12" s="533"/>
      <c r="H12" s="10">
        <f>SUM(D4:D10)</f>
        <v>157646326.51333332</v>
      </c>
      <c r="J12" s="531" t="s">
        <v>839</v>
      </c>
      <c r="K12" s="532"/>
      <c r="L12" s="532"/>
      <c r="M12" s="532"/>
      <c r="N12" s="532"/>
      <c r="O12" s="532"/>
      <c r="P12" s="533"/>
      <c r="Q12" s="10">
        <f>SUM(M4:M10)</f>
        <v>157646326.51333332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298" t="s">
        <v>14</v>
      </c>
      <c r="F15" s="298" t="s">
        <v>15</v>
      </c>
      <c r="G15" s="298" t="s">
        <v>16</v>
      </c>
      <c r="H15" s="298" t="s">
        <v>17</v>
      </c>
      <c r="J15" s="536"/>
      <c r="K15" s="537"/>
      <c r="L15" s="538"/>
      <c r="M15" s="538"/>
      <c r="N15" s="303" t="s">
        <v>14</v>
      </c>
      <c r="O15" s="303" t="s">
        <v>15</v>
      </c>
      <c r="P15" s="303" t="s">
        <v>16</v>
      </c>
      <c r="Q15" s="303" t="s">
        <v>17</v>
      </c>
    </row>
    <row r="16" spans="1:17">
      <c r="A16" s="12"/>
      <c r="B16" s="19" t="s">
        <v>842</v>
      </c>
      <c r="C16" s="14" t="s">
        <v>840</v>
      </c>
      <c r="D16" s="15">
        <v>54000</v>
      </c>
      <c r="E16" s="168"/>
      <c r="F16" s="168"/>
      <c r="G16" s="168"/>
      <c r="H16" s="168"/>
      <c r="J16" s="12"/>
      <c r="K16" s="19" t="s">
        <v>842</v>
      </c>
      <c r="L16" s="14" t="s">
        <v>840</v>
      </c>
      <c r="M16" s="15">
        <v>54000</v>
      </c>
      <c r="N16" s="168"/>
      <c r="O16" s="168"/>
      <c r="P16" s="168"/>
      <c r="Q16" s="168"/>
    </row>
    <row r="17" spans="1:17">
      <c r="A17" s="12"/>
      <c r="B17" s="19" t="s">
        <v>842</v>
      </c>
      <c r="C17" s="14" t="s">
        <v>841</v>
      </c>
      <c r="D17" s="15">
        <v>400000</v>
      </c>
      <c r="E17" s="16"/>
      <c r="F17" s="16"/>
      <c r="G17" s="16"/>
      <c r="H17" s="16"/>
      <c r="J17" s="12"/>
      <c r="K17" s="19" t="s">
        <v>842</v>
      </c>
      <c r="L17" s="14" t="s">
        <v>841</v>
      </c>
      <c r="M17" s="15">
        <v>400000</v>
      </c>
      <c r="N17" s="16"/>
      <c r="O17" s="16"/>
      <c r="P17" s="16"/>
      <c r="Q17" s="16"/>
    </row>
    <row r="18" spans="1:17">
      <c r="A18" s="12"/>
      <c r="B18" s="19" t="s">
        <v>842</v>
      </c>
      <c r="C18" s="14" t="s">
        <v>851</v>
      </c>
      <c r="D18" s="15">
        <v>47000</v>
      </c>
      <c r="E18" s="16"/>
      <c r="F18" s="16"/>
      <c r="G18" s="16"/>
      <c r="H18" s="16"/>
      <c r="J18" s="12"/>
      <c r="K18" s="19" t="s">
        <v>842</v>
      </c>
      <c r="L18" s="14" t="s">
        <v>851</v>
      </c>
      <c r="M18" s="15">
        <v>47000</v>
      </c>
      <c r="N18" s="16"/>
      <c r="O18" s="16"/>
      <c r="P18" s="16"/>
      <c r="Q18" s="16"/>
    </row>
    <row r="19" spans="1:17">
      <c r="A19" s="12"/>
      <c r="B19" s="19" t="s">
        <v>842</v>
      </c>
      <c r="C19" s="14" t="s">
        <v>845</v>
      </c>
      <c r="D19" s="15">
        <f>20000*5</f>
        <v>100000</v>
      </c>
      <c r="E19" s="16"/>
      <c r="F19" s="16"/>
      <c r="G19" s="16"/>
      <c r="H19" s="16"/>
      <c r="J19" s="12"/>
      <c r="K19" s="19" t="s">
        <v>842</v>
      </c>
      <c r="L19" s="14" t="s">
        <v>845</v>
      </c>
      <c r="M19" s="15">
        <f>20000*5</f>
        <v>100000</v>
      </c>
      <c r="N19" s="16"/>
      <c r="O19" s="16"/>
      <c r="P19" s="16"/>
      <c r="Q19" s="16"/>
    </row>
    <row r="20" spans="1:17">
      <c r="A20" s="12"/>
      <c r="B20" s="19" t="s">
        <v>842</v>
      </c>
      <c r="C20" s="14" t="s">
        <v>846</v>
      </c>
      <c r="D20" s="15">
        <v>150000</v>
      </c>
      <c r="E20" s="16"/>
      <c r="F20" s="16"/>
      <c r="G20" s="16"/>
      <c r="H20" s="16"/>
      <c r="J20" s="12"/>
      <c r="K20" s="19" t="s">
        <v>842</v>
      </c>
      <c r="L20" s="14" t="s">
        <v>846</v>
      </c>
      <c r="M20" s="15">
        <v>150000</v>
      </c>
      <c r="N20" s="16"/>
      <c r="O20" s="16"/>
      <c r="P20" s="16"/>
      <c r="Q20" s="16"/>
    </row>
    <row r="21" spans="1:17">
      <c r="A21" s="12"/>
      <c r="B21" s="19" t="s">
        <v>842</v>
      </c>
      <c r="C21" s="14" t="s">
        <v>850</v>
      </c>
      <c r="D21" s="15">
        <v>15000</v>
      </c>
      <c r="E21" s="16"/>
      <c r="F21" s="16"/>
      <c r="G21" s="16"/>
      <c r="H21" s="16"/>
      <c r="J21" s="12"/>
      <c r="K21" s="19" t="s">
        <v>842</v>
      </c>
      <c r="L21" s="14" t="s">
        <v>850</v>
      </c>
      <c r="M21" s="15">
        <v>15000</v>
      </c>
      <c r="N21" s="16"/>
      <c r="O21" s="16"/>
      <c r="P21" s="16"/>
      <c r="Q21" s="16"/>
    </row>
    <row r="22" spans="1:17">
      <c r="A22" s="12"/>
      <c r="B22" s="19"/>
      <c r="C22" s="14"/>
      <c r="D22" s="15"/>
      <c r="E22" s="16"/>
      <c r="F22" s="16"/>
      <c r="G22" s="16"/>
      <c r="H22" s="16"/>
      <c r="J22" s="12"/>
      <c r="K22" s="19"/>
      <c r="L22" s="14"/>
      <c r="M22" s="15"/>
      <c r="N22" s="16"/>
      <c r="O22" s="16"/>
      <c r="P22" s="16"/>
      <c r="Q22" s="16"/>
    </row>
    <row r="23" spans="1:17" hidden="1">
      <c r="A23" s="12"/>
      <c r="B23" s="19"/>
      <c r="C23" s="14"/>
      <c r="D23" s="15"/>
      <c r="E23" s="16"/>
      <c r="F23" s="16"/>
      <c r="G23" s="16"/>
      <c r="H23" s="16"/>
      <c r="J23" s="12"/>
      <c r="K23" s="19"/>
      <c r="L23" s="14"/>
      <c r="M23" s="15"/>
      <c r="N23" s="16"/>
      <c r="O23" s="16"/>
      <c r="P23" s="16"/>
      <c r="Q23" s="16"/>
    </row>
    <row r="24" spans="1:17" hidden="1">
      <c r="A24" s="12"/>
      <c r="B24" s="19"/>
      <c r="C24" s="14"/>
      <c r="D24" s="15"/>
      <c r="E24" s="16"/>
      <c r="F24" s="16"/>
      <c r="G24" s="16"/>
      <c r="H24" s="16"/>
      <c r="J24" s="12"/>
      <c r="K24" s="19"/>
      <c r="L24" s="14"/>
      <c r="M24" s="15"/>
      <c r="N24" s="16"/>
      <c r="O24" s="16"/>
      <c r="P24" s="16"/>
      <c r="Q24" s="16"/>
    </row>
    <row r="25" spans="1:17" hidden="1">
      <c r="A25" s="12"/>
      <c r="B25" s="19"/>
      <c r="C25" s="14"/>
      <c r="D25" s="15"/>
      <c r="E25" s="16"/>
      <c r="F25" s="16"/>
      <c r="G25" s="16"/>
      <c r="H25" s="16"/>
      <c r="J25" s="12"/>
      <c r="K25" s="19"/>
      <c r="L25" s="14"/>
      <c r="M25" s="15"/>
      <c r="N25" s="16"/>
      <c r="O25" s="16"/>
      <c r="P25" s="16"/>
      <c r="Q25" s="16"/>
    </row>
    <row r="26" spans="1:17" hidden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7" hidden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7" hidden="1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298" t="s">
        <v>20</v>
      </c>
      <c r="D29" s="10">
        <f>SUM(D16:D27)</f>
        <v>766000</v>
      </c>
      <c r="E29" s="10"/>
      <c r="F29" s="10"/>
      <c r="G29" s="10"/>
      <c r="H29" s="10"/>
      <c r="J29" s="18"/>
      <c r="K29" s="19"/>
      <c r="L29" s="303" t="s">
        <v>20</v>
      </c>
      <c r="M29" s="10">
        <f>SUM(M16:M27)</f>
        <v>766000</v>
      </c>
      <c r="N29" s="10"/>
      <c r="O29" s="10"/>
      <c r="P29" s="10"/>
      <c r="Q29" s="10"/>
    </row>
    <row r="30" spans="1:17">
      <c r="A30" s="20"/>
      <c r="B30" s="296"/>
      <c r="C30" s="152" t="s">
        <v>21</v>
      </c>
      <c r="D30" s="150"/>
      <c r="E30" s="150"/>
      <c r="F30" s="150"/>
      <c r="G30" s="151"/>
      <c r="H30" s="21">
        <f>+D29</f>
        <v>766000</v>
      </c>
      <c r="J30" s="20"/>
      <c r="K30" s="301"/>
      <c r="L30" s="152" t="s">
        <v>21</v>
      </c>
      <c r="M30" s="150"/>
      <c r="N30" s="150"/>
      <c r="O30" s="150"/>
      <c r="P30" s="151"/>
      <c r="Q30" s="21">
        <f>+M29</f>
        <v>766000</v>
      </c>
    </row>
    <row r="31" spans="1:17">
      <c r="A31" s="526" t="s">
        <v>22</v>
      </c>
      <c r="B31" s="526"/>
      <c r="C31" s="526"/>
      <c r="D31" s="526"/>
      <c r="E31" s="526">
        <f>+H30</f>
        <v>766000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766000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7">
      <c r="A33" s="12"/>
      <c r="B33" s="19" t="s">
        <v>867</v>
      </c>
      <c r="C33" s="15" t="s">
        <v>869</v>
      </c>
      <c r="D33" s="23">
        <v>220000</v>
      </c>
      <c r="E33" s="22"/>
      <c r="F33" s="22"/>
      <c r="G33" s="16"/>
      <c r="H33" s="16"/>
      <c r="J33" s="12"/>
      <c r="K33" s="19" t="s">
        <v>867</v>
      </c>
      <c r="L33" s="15" t="s">
        <v>816</v>
      </c>
      <c r="M33" s="23">
        <v>220000</v>
      </c>
      <c r="N33" s="22"/>
      <c r="O33" s="22"/>
      <c r="P33" s="16"/>
      <c r="Q33" s="16"/>
    </row>
    <row r="34" spans="1:17">
      <c r="A34" s="12"/>
      <c r="B34" s="19"/>
      <c r="C34" s="15"/>
      <c r="D34" s="22"/>
      <c r="E34" s="22"/>
      <c r="F34" s="22"/>
      <c r="G34" s="16"/>
      <c r="H34" s="16"/>
      <c r="J34" s="12"/>
      <c r="K34" s="19"/>
      <c r="L34" s="15"/>
      <c r="M34" s="22"/>
      <c r="N34" s="22"/>
      <c r="O34" s="22"/>
      <c r="P34" s="16"/>
      <c r="Q34" s="16"/>
    </row>
    <row r="35" spans="1:17" hidden="1">
      <c r="A35" s="12"/>
      <c r="B35" s="19"/>
      <c r="C35" s="15"/>
      <c r="D35" s="22"/>
      <c r="E35" s="22"/>
      <c r="F35" s="22"/>
      <c r="G35" s="16"/>
      <c r="H35" s="16"/>
      <c r="J35" s="12"/>
      <c r="K35" s="19"/>
      <c r="L35" s="15"/>
      <c r="M35" s="22"/>
      <c r="N35" s="22"/>
      <c r="O35" s="22"/>
      <c r="P35" s="16"/>
      <c r="Q35" s="16"/>
    </row>
    <row r="36" spans="1:17" hidden="1">
      <c r="A36" s="12"/>
      <c r="B36" s="19"/>
      <c r="C36" s="15"/>
      <c r="D36" s="23"/>
      <c r="E36" s="22"/>
      <c r="F36" s="22"/>
      <c r="G36" s="16"/>
      <c r="H36" s="16"/>
      <c r="J36" s="12"/>
      <c r="K36" s="19"/>
      <c r="L36" s="15"/>
      <c r="M36" s="23"/>
      <c r="N36" s="22"/>
      <c r="O36" s="22"/>
      <c r="P36" s="16"/>
      <c r="Q36" s="16"/>
    </row>
    <row r="37" spans="1:17" hidden="1">
      <c r="A37" s="12"/>
      <c r="B37" s="19"/>
      <c r="C37" s="15"/>
      <c r="D37" s="23"/>
      <c r="E37" s="22"/>
      <c r="F37" s="22"/>
      <c r="G37" s="16"/>
      <c r="H37" s="16"/>
      <c r="J37" s="12"/>
      <c r="K37" s="19"/>
      <c r="L37" s="15"/>
      <c r="M37" s="23"/>
      <c r="N37" s="22"/>
      <c r="O37" s="22"/>
      <c r="P37" s="16"/>
      <c r="Q37" s="16"/>
    </row>
    <row r="38" spans="1:17" hidden="1">
      <c r="A38" s="12"/>
      <c r="B38" s="19"/>
      <c r="C38" s="15"/>
      <c r="D38" s="23"/>
      <c r="E38" s="22"/>
      <c r="F38" s="22"/>
      <c r="G38" s="16"/>
      <c r="H38" s="16"/>
      <c r="J38" s="12"/>
      <c r="K38" s="19"/>
      <c r="L38" s="15"/>
      <c r="M38" s="23"/>
      <c r="N38" s="22"/>
      <c r="O38" s="22"/>
      <c r="P38" s="16"/>
      <c r="Q38" s="16"/>
    </row>
    <row r="39" spans="1:17" hidden="1">
      <c r="A39" s="12"/>
      <c r="B39" s="19"/>
      <c r="C39" s="15"/>
      <c r="D39" s="23"/>
      <c r="E39" s="22"/>
      <c r="F39" s="22"/>
      <c r="G39" s="16"/>
      <c r="H39" s="16"/>
      <c r="J39" s="12"/>
      <c r="K39" s="19"/>
      <c r="L39" s="15"/>
      <c r="M39" s="23"/>
      <c r="N39" s="22"/>
      <c r="O39" s="22"/>
      <c r="P39" s="16"/>
      <c r="Q39" s="16"/>
    </row>
    <row r="40" spans="1:17" hidden="1">
      <c r="A40" s="12"/>
      <c r="B40" s="19"/>
      <c r="C40" s="15"/>
      <c r="D40" s="23"/>
      <c r="E40" s="22"/>
      <c r="F40" s="22"/>
      <c r="G40" s="16"/>
      <c r="H40" s="16"/>
      <c r="J40" s="12"/>
      <c r="K40" s="19"/>
      <c r="L40" s="15"/>
      <c r="M40" s="23"/>
      <c r="N40" s="22"/>
      <c r="O40" s="22"/>
      <c r="P40" s="16"/>
      <c r="Q40" s="16"/>
    </row>
    <row r="41" spans="1:17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7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7" hidden="1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7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 hidden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7" hidden="1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7" hidden="1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7" hidden="1">
      <c r="A48" s="12"/>
      <c r="B48" s="13"/>
      <c r="C48" s="15"/>
      <c r="D48" s="23"/>
      <c r="E48" s="22"/>
      <c r="F48" s="22"/>
      <c r="G48" s="16"/>
      <c r="H48" s="16"/>
      <c r="J48" s="12"/>
      <c r="K48" s="13"/>
      <c r="L48" s="15"/>
      <c r="M48" s="23"/>
      <c r="N48" s="22"/>
      <c r="O48" s="22"/>
      <c r="P48" s="16"/>
      <c r="Q48" s="16"/>
    </row>
    <row r="49" spans="1:17 16384:16384">
      <c r="A49" s="25"/>
      <c r="B49" s="19"/>
      <c r="C49" s="26" t="s">
        <v>24</v>
      </c>
      <c r="D49" s="27">
        <f>SUM(D33:D48)</f>
        <v>220000</v>
      </c>
      <c r="E49" s="27"/>
      <c r="F49" s="27"/>
      <c r="G49" s="27"/>
      <c r="H49" s="27"/>
      <c r="J49" s="25"/>
      <c r="K49" s="19"/>
      <c r="L49" s="26" t="s">
        <v>24</v>
      </c>
      <c r="M49" s="27">
        <f>SUM(M33:M48)</f>
        <v>220000</v>
      </c>
      <c r="N49" s="27"/>
      <c r="O49" s="27"/>
      <c r="P49" s="27"/>
      <c r="Q49" s="27"/>
    </row>
    <row r="50" spans="1:17 16384:16384">
      <c r="A50" s="20"/>
      <c r="B50" s="19"/>
      <c r="C50" s="298" t="s">
        <v>21</v>
      </c>
      <c r="D50" s="10"/>
      <c r="E50" s="530">
        <f>D49</f>
        <v>220000</v>
      </c>
      <c r="F50" s="530"/>
      <c r="G50" s="530"/>
      <c r="H50" s="530"/>
      <c r="J50" s="20"/>
      <c r="K50" s="19"/>
      <c r="L50" s="303" t="s">
        <v>21</v>
      </c>
      <c r="M50" s="10"/>
      <c r="N50" s="530">
        <f>M49</f>
        <v>220000</v>
      </c>
      <c r="O50" s="530"/>
      <c r="P50" s="530"/>
      <c r="Q50" s="530"/>
    </row>
    <row r="51" spans="1:17 16384:16384" hidden="1">
      <c r="A51" s="524" t="s">
        <v>349</v>
      </c>
      <c r="B51" s="524"/>
      <c r="C51" s="524"/>
      <c r="D51" s="524"/>
      <c r="E51" s="524"/>
      <c r="F51" s="524"/>
      <c r="G51" s="524"/>
      <c r="H51" s="524"/>
      <c r="J51" s="524" t="s">
        <v>349</v>
      </c>
      <c r="K51" s="524"/>
      <c r="L51" s="524"/>
      <c r="M51" s="524"/>
      <c r="N51" s="524"/>
      <c r="O51" s="524"/>
      <c r="P51" s="524"/>
      <c r="Q51" s="524"/>
    </row>
    <row r="52" spans="1:17 16384:16384" hidden="1">
      <c r="A52" s="28"/>
      <c r="B52" s="23" t="s">
        <v>717</v>
      </c>
      <c r="C52" s="23" t="s">
        <v>749</v>
      </c>
      <c r="D52" s="23"/>
      <c r="E52" s="28"/>
      <c r="F52" s="28"/>
      <c r="G52" s="28"/>
      <c r="H52" s="28"/>
      <c r="J52" s="28"/>
      <c r="K52" s="23" t="s">
        <v>717</v>
      </c>
      <c r="L52" s="23" t="s">
        <v>749</v>
      </c>
      <c r="M52" s="23"/>
      <c r="N52" s="28"/>
      <c r="O52" s="28"/>
      <c r="P52" s="28"/>
      <c r="Q52" s="28"/>
    </row>
    <row r="53" spans="1:17 16384:16384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 16384:16384" hidden="1">
      <c r="A54" s="12"/>
      <c r="B54" s="13"/>
      <c r="C54" s="26" t="s">
        <v>448</v>
      </c>
      <c r="D54" s="27">
        <f>SUM(D52:D53)</f>
        <v>0</v>
      </c>
      <c r="E54" s="27">
        <v>0</v>
      </c>
      <c r="F54" s="27">
        <v>0</v>
      </c>
      <c r="G54" s="27"/>
      <c r="H54" s="27"/>
      <c r="J54" s="12"/>
      <c r="K54" s="13"/>
      <c r="L54" s="26" t="s">
        <v>448</v>
      </c>
      <c r="M54" s="27">
        <f>SUM(M52:M53)</f>
        <v>0</v>
      </c>
      <c r="N54" s="27">
        <v>0</v>
      </c>
      <c r="O54" s="27">
        <v>0</v>
      </c>
      <c r="P54" s="27"/>
      <c r="Q54" s="27"/>
    </row>
    <row r="55" spans="1:17 16384:16384" hidden="1">
      <c r="A55" s="20"/>
      <c r="B55" s="19"/>
      <c r="C55" s="298" t="s">
        <v>21</v>
      </c>
      <c r="D55" s="10"/>
      <c r="E55" s="530">
        <f>D54</f>
        <v>0</v>
      </c>
      <c r="F55" s="530"/>
      <c r="G55" s="530"/>
      <c r="H55" s="530"/>
      <c r="J55" s="20"/>
      <c r="K55" s="19"/>
      <c r="L55" s="303" t="s">
        <v>21</v>
      </c>
      <c r="M55" s="10"/>
      <c r="N55" s="530">
        <f>M54</f>
        <v>0</v>
      </c>
      <c r="O55" s="530"/>
      <c r="P55" s="530"/>
      <c r="Q55" s="530"/>
    </row>
    <row r="56" spans="1:17 16384:16384" hidden="1">
      <c r="A56" s="524" t="s">
        <v>818</v>
      </c>
      <c r="B56" s="524"/>
      <c r="C56" s="524"/>
      <c r="D56" s="524"/>
      <c r="E56" s="524"/>
      <c r="F56" s="524"/>
      <c r="G56" s="524"/>
      <c r="H56" s="524"/>
      <c r="J56" s="524" t="s">
        <v>818</v>
      </c>
      <c r="K56" s="524"/>
      <c r="L56" s="524"/>
      <c r="M56" s="524"/>
      <c r="N56" s="524"/>
      <c r="O56" s="524"/>
      <c r="P56" s="524"/>
      <c r="Q56" s="524"/>
    </row>
    <row r="57" spans="1:17 16384:16384" hidden="1">
      <c r="A57" s="28"/>
      <c r="B57" s="19" t="s">
        <v>819</v>
      </c>
      <c r="C57" s="23" t="s">
        <v>820</v>
      </c>
      <c r="D57" s="23"/>
      <c r="E57" s="28"/>
      <c r="F57" s="28"/>
      <c r="G57" s="28"/>
      <c r="H57" s="28"/>
      <c r="J57" s="28"/>
      <c r="K57" s="19" t="s">
        <v>819</v>
      </c>
      <c r="L57" s="23" t="s">
        <v>820</v>
      </c>
      <c r="M57" s="23"/>
      <c r="N57" s="28"/>
      <c r="O57" s="28"/>
      <c r="P57" s="28"/>
      <c r="Q57" s="28"/>
    </row>
    <row r="58" spans="1:17 16384:16384" hidden="1">
      <c r="A58" s="28"/>
      <c r="B58" s="19" t="s">
        <v>821</v>
      </c>
      <c r="C58" s="23" t="s">
        <v>822</v>
      </c>
      <c r="D58" s="23"/>
      <c r="E58" s="28"/>
      <c r="F58" s="28"/>
      <c r="G58" s="28"/>
      <c r="H58" s="28"/>
      <c r="J58" s="28"/>
      <c r="K58" s="19" t="s">
        <v>821</v>
      </c>
      <c r="L58" s="23" t="s">
        <v>822</v>
      </c>
      <c r="M58" s="23"/>
      <c r="N58" s="28"/>
      <c r="O58" s="28"/>
      <c r="P58" s="28"/>
      <c r="Q58" s="28"/>
    </row>
    <row r="59" spans="1:17 16384:16384" hidden="1">
      <c r="A59" s="28"/>
      <c r="B59" s="23" t="s">
        <v>821</v>
      </c>
      <c r="C59" s="23" t="s">
        <v>823</v>
      </c>
      <c r="D59" s="23"/>
      <c r="E59" s="28"/>
      <c r="F59" s="28"/>
      <c r="G59" s="28"/>
      <c r="H59" s="28"/>
      <c r="J59" s="28"/>
      <c r="K59" s="23" t="s">
        <v>821</v>
      </c>
      <c r="L59" s="23" t="s">
        <v>823</v>
      </c>
      <c r="M59" s="23"/>
      <c r="N59" s="28"/>
      <c r="O59" s="28"/>
      <c r="P59" s="28"/>
      <c r="Q59" s="28"/>
    </row>
    <row r="60" spans="1:17 16384:16384" hidden="1">
      <c r="A60" s="28"/>
      <c r="B60" s="23"/>
      <c r="C60" s="23"/>
      <c r="D60" s="23"/>
      <c r="E60" s="28"/>
      <c r="F60" s="28"/>
      <c r="G60" s="28"/>
      <c r="H60" s="28"/>
      <c r="J60" s="28"/>
      <c r="K60" s="23"/>
      <c r="L60" s="23"/>
      <c r="M60" s="23"/>
      <c r="N60" s="28"/>
      <c r="O60" s="28"/>
      <c r="P60" s="28"/>
      <c r="Q60" s="28"/>
    </row>
    <row r="61" spans="1:17 16384:16384" hidden="1">
      <c r="A61" s="12"/>
      <c r="B61" s="13"/>
      <c r="C61" s="26" t="s">
        <v>703</v>
      </c>
      <c r="D61" s="27">
        <f>SUM(D57:D60)</f>
        <v>0</v>
      </c>
      <c r="E61" s="27">
        <v>0</v>
      </c>
      <c r="F61" s="27">
        <v>0</v>
      </c>
      <c r="G61" s="27"/>
      <c r="H61" s="27"/>
      <c r="J61" s="12"/>
      <c r="K61" s="13"/>
      <c r="L61" s="26" t="s">
        <v>703</v>
      </c>
      <c r="M61" s="27">
        <f>SUM(M57:M60)</f>
        <v>0</v>
      </c>
      <c r="N61" s="27">
        <v>0</v>
      </c>
      <c r="O61" s="27">
        <v>0</v>
      </c>
      <c r="P61" s="27"/>
      <c r="Q61" s="27"/>
    </row>
    <row r="62" spans="1:17 16384:16384" hidden="1">
      <c r="A62" s="20"/>
      <c r="B62" s="19"/>
      <c r="C62" s="298" t="s">
        <v>21</v>
      </c>
      <c r="D62" s="10"/>
      <c r="E62" s="530">
        <f>D61</f>
        <v>0</v>
      </c>
      <c r="F62" s="530"/>
      <c r="G62" s="530"/>
      <c r="H62" s="530"/>
      <c r="J62" s="20"/>
      <c r="K62" s="19"/>
      <c r="L62" s="303" t="s">
        <v>21</v>
      </c>
      <c r="M62" s="10"/>
      <c r="N62" s="530">
        <f>M61</f>
        <v>0</v>
      </c>
      <c r="O62" s="530"/>
      <c r="P62" s="530"/>
      <c r="Q62" s="530"/>
    </row>
    <row r="63" spans="1:17 16384:16384">
      <c r="A63" s="524" t="s">
        <v>54</v>
      </c>
      <c r="B63" s="524"/>
      <c r="C63" s="524"/>
      <c r="D63" s="524"/>
      <c r="E63" s="524"/>
      <c r="F63" s="524"/>
      <c r="G63" s="524"/>
      <c r="H63" s="524"/>
      <c r="J63" s="524" t="s">
        <v>54</v>
      </c>
      <c r="K63" s="524"/>
      <c r="L63" s="524"/>
      <c r="M63" s="524"/>
      <c r="N63" s="524"/>
      <c r="O63" s="524"/>
      <c r="P63" s="524"/>
      <c r="Q63" s="524"/>
    </row>
    <row r="64" spans="1:17 16384:16384">
      <c r="A64" s="28"/>
      <c r="B64" s="23" t="s">
        <v>854</v>
      </c>
      <c r="C64" s="23" t="s">
        <v>855</v>
      </c>
      <c r="D64" s="23">
        <v>60000000</v>
      </c>
      <c r="E64" s="28"/>
      <c r="F64" s="28"/>
      <c r="G64" s="28"/>
      <c r="H64" s="28"/>
      <c r="J64" s="28"/>
      <c r="K64" s="23" t="s">
        <v>854</v>
      </c>
      <c r="L64" s="23" t="s">
        <v>855</v>
      </c>
      <c r="M64" s="23">
        <v>60000000</v>
      </c>
      <c r="N64" s="28"/>
      <c r="O64" s="28"/>
      <c r="P64" s="28"/>
      <c r="Q64" s="28"/>
      <c r="XFD64" s="72">
        <f>SUM(A64:XFC64)</f>
        <v>120000000</v>
      </c>
    </row>
    <row r="65" spans="1:19 16384:16384">
      <c r="A65" s="28"/>
      <c r="B65" s="23" t="s">
        <v>852</v>
      </c>
      <c r="C65" s="23" t="s">
        <v>853</v>
      </c>
      <c r="D65" s="23">
        <v>2715850</v>
      </c>
      <c r="E65" s="28"/>
      <c r="F65" s="28"/>
      <c r="G65" s="28"/>
      <c r="H65" s="28"/>
      <c r="J65" s="28"/>
      <c r="K65" s="23" t="s">
        <v>852</v>
      </c>
      <c r="L65" s="23" t="s">
        <v>853</v>
      </c>
      <c r="M65" s="23">
        <v>2715850</v>
      </c>
      <c r="N65" s="28"/>
      <c r="O65" s="28"/>
      <c r="P65" s="28"/>
      <c r="Q65" s="28"/>
      <c r="XFD65" s="72"/>
    </row>
    <row r="66" spans="1:19 16384:16384">
      <c r="A66" s="28"/>
      <c r="B66" s="23" t="s">
        <v>856</v>
      </c>
      <c r="C66" s="23" t="s">
        <v>731</v>
      </c>
      <c r="D66" s="23">
        <v>4775000</v>
      </c>
      <c r="E66" s="28"/>
      <c r="F66" s="28"/>
      <c r="G66" s="28"/>
      <c r="H66" s="28"/>
      <c r="J66" s="28"/>
      <c r="K66" s="23" t="s">
        <v>856</v>
      </c>
      <c r="L66" s="23" t="s">
        <v>731</v>
      </c>
      <c r="M66" s="23">
        <v>4775000</v>
      </c>
      <c r="N66" s="28"/>
      <c r="O66" s="28"/>
      <c r="P66" s="28"/>
      <c r="Q66" s="28"/>
      <c r="XFD66" s="72"/>
    </row>
    <row r="67" spans="1:19 16384:16384">
      <c r="A67" s="28"/>
      <c r="B67" s="23" t="s">
        <v>856</v>
      </c>
      <c r="C67" s="23" t="s">
        <v>843</v>
      </c>
      <c r="D67" s="23">
        <v>35000000</v>
      </c>
      <c r="E67" s="28"/>
      <c r="F67" s="28"/>
      <c r="G67" s="28"/>
      <c r="H67" s="28"/>
      <c r="J67" s="28"/>
      <c r="K67" s="23" t="s">
        <v>856</v>
      </c>
      <c r="L67" s="23" t="s">
        <v>843</v>
      </c>
      <c r="M67" s="23">
        <v>35000000</v>
      </c>
      <c r="N67" s="28"/>
      <c r="O67" s="28"/>
      <c r="P67" s="28"/>
      <c r="Q67" s="28"/>
    </row>
    <row r="68" spans="1:19 16384:16384">
      <c r="A68" s="28"/>
      <c r="B68" s="23" t="s">
        <v>856</v>
      </c>
      <c r="C68" s="23" t="s">
        <v>263</v>
      </c>
      <c r="D68" s="23">
        <f>220000*7</f>
        <v>1540000</v>
      </c>
      <c r="E68" s="28"/>
      <c r="F68" s="28"/>
      <c r="G68" s="28"/>
      <c r="H68" s="28"/>
      <c r="J68" s="28"/>
      <c r="K68" s="23" t="s">
        <v>856</v>
      </c>
      <c r="L68" s="23" t="s">
        <v>263</v>
      </c>
      <c r="M68" s="23">
        <f>220000*7</f>
        <v>1540000</v>
      </c>
      <c r="N68" s="28"/>
      <c r="O68" s="28"/>
      <c r="P68" s="28"/>
      <c r="Q68" s="28"/>
    </row>
    <row r="69" spans="1:19 16384:16384">
      <c r="A69" s="12"/>
      <c r="B69" s="23" t="s">
        <v>856</v>
      </c>
      <c r="C69" s="23" t="s">
        <v>410</v>
      </c>
      <c r="D69" s="23">
        <f>150000*5</f>
        <v>750000</v>
      </c>
      <c r="E69" s="298"/>
      <c r="F69" s="298"/>
      <c r="G69" s="298"/>
      <c r="H69" s="298"/>
      <c r="J69" s="12"/>
      <c r="K69" s="23" t="s">
        <v>856</v>
      </c>
      <c r="L69" s="23" t="s">
        <v>410</v>
      </c>
      <c r="M69" s="23">
        <f>150000*5</f>
        <v>750000</v>
      </c>
      <c r="N69" s="303"/>
      <c r="O69" s="303"/>
      <c r="P69" s="303"/>
      <c r="Q69" s="303"/>
    </row>
    <row r="70" spans="1:19 16384:16384">
      <c r="A70" s="12"/>
      <c r="B70" s="23" t="s">
        <v>856</v>
      </c>
      <c r="C70" s="23" t="s">
        <v>844</v>
      </c>
      <c r="D70" s="23">
        <v>300000</v>
      </c>
      <c r="E70" s="298"/>
      <c r="F70" s="298"/>
      <c r="G70" s="298"/>
      <c r="H70" s="298"/>
      <c r="J70" s="12"/>
      <c r="K70" s="23" t="s">
        <v>856</v>
      </c>
      <c r="L70" s="23" t="s">
        <v>844</v>
      </c>
      <c r="M70" s="23">
        <v>300000</v>
      </c>
      <c r="N70" s="303"/>
      <c r="O70" s="303"/>
      <c r="P70" s="303"/>
      <c r="Q70" s="303"/>
    </row>
    <row r="71" spans="1:19 16384:16384">
      <c r="A71" s="12"/>
      <c r="B71" s="23" t="s">
        <v>856</v>
      </c>
      <c r="C71" s="23" t="s">
        <v>857</v>
      </c>
      <c r="D71" s="23">
        <f>180000*2*6</f>
        <v>2160000</v>
      </c>
      <c r="E71" s="298"/>
      <c r="F71" s="298"/>
      <c r="G71" s="298"/>
      <c r="H71" s="298"/>
      <c r="J71" s="12"/>
      <c r="K71" s="23" t="s">
        <v>856</v>
      </c>
      <c r="L71" s="23" t="s">
        <v>857</v>
      </c>
      <c r="M71" s="23">
        <f>180000*2*6</f>
        <v>2160000</v>
      </c>
      <c r="N71" s="303"/>
      <c r="O71" s="303"/>
      <c r="P71" s="303"/>
      <c r="Q71" s="303"/>
      <c r="S71" s="77">
        <f>130000*6</f>
        <v>780000</v>
      </c>
    </row>
    <row r="72" spans="1:19 16384:16384">
      <c r="A72" s="12"/>
      <c r="B72" s="23" t="s">
        <v>866</v>
      </c>
      <c r="C72" s="24" t="s">
        <v>865</v>
      </c>
      <c r="D72" s="23">
        <v>3000000</v>
      </c>
      <c r="E72" s="298"/>
      <c r="F72" s="298"/>
      <c r="G72" s="298"/>
      <c r="H72" s="298"/>
      <c r="J72" s="12"/>
      <c r="K72" s="23" t="s">
        <v>866</v>
      </c>
      <c r="L72" s="24" t="s">
        <v>865</v>
      </c>
      <c r="M72" s="23">
        <v>3000000</v>
      </c>
      <c r="N72" s="303"/>
      <c r="O72" s="303"/>
      <c r="P72" s="303"/>
      <c r="Q72" s="303"/>
    </row>
    <row r="73" spans="1:19 16384:16384">
      <c r="A73" s="12"/>
      <c r="B73" s="23"/>
      <c r="C73" s="24"/>
      <c r="D73" s="23"/>
      <c r="E73" s="298"/>
      <c r="F73" s="298"/>
      <c r="G73" s="298"/>
      <c r="H73" s="298"/>
      <c r="J73" s="12"/>
      <c r="K73" s="23"/>
      <c r="L73" s="24"/>
      <c r="M73" s="23"/>
      <c r="N73" s="303"/>
      <c r="O73" s="303"/>
      <c r="P73" s="303"/>
      <c r="Q73" s="303"/>
    </row>
    <row r="74" spans="1:19 16384:16384" hidden="1">
      <c r="A74" s="12"/>
      <c r="B74" s="19"/>
      <c r="C74" s="24"/>
      <c r="D74" s="23"/>
      <c r="E74" s="298"/>
      <c r="F74" s="298"/>
      <c r="G74" s="298"/>
      <c r="H74" s="298"/>
      <c r="J74" s="12"/>
      <c r="K74" s="19"/>
      <c r="L74" s="24"/>
      <c r="M74" s="23"/>
      <c r="N74" s="303"/>
      <c r="O74" s="303"/>
      <c r="P74" s="303"/>
      <c r="Q74" s="303"/>
    </row>
    <row r="75" spans="1:19 16384:16384" hidden="1">
      <c r="A75" s="12"/>
      <c r="B75" s="19"/>
      <c r="C75" s="24"/>
      <c r="D75" s="23"/>
      <c r="E75" s="298"/>
      <c r="F75" s="298"/>
      <c r="G75" s="298"/>
      <c r="H75" s="298"/>
      <c r="J75" s="12"/>
      <c r="K75" s="19"/>
      <c r="L75" s="24"/>
      <c r="M75" s="23"/>
      <c r="N75" s="303"/>
      <c r="O75" s="303"/>
      <c r="P75" s="303"/>
      <c r="Q75" s="303"/>
    </row>
    <row r="76" spans="1:19 16384:16384" hidden="1">
      <c r="A76" s="12"/>
      <c r="B76" s="19"/>
      <c r="C76" s="24"/>
      <c r="D76" s="23"/>
      <c r="E76" s="298"/>
      <c r="F76" s="298"/>
      <c r="G76" s="298"/>
      <c r="H76" s="298"/>
      <c r="J76" s="12"/>
      <c r="K76" s="19"/>
      <c r="L76" s="24"/>
      <c r="M76" s="23"/>
      <c r="N76" s="303"/>
      <c r="O76" s="303"/>
      <c r="P76" s="303"/>
      <c r="Q76" s="303"/>
    </row>
    <row r="77" spans="1:19 16384:16384" hidden="1">
      <c r="A77" s="12"/>
      <c r="B77" s="19"/>
      <c r="C77" s="24"/>
      <c r="D77" s="23"/>
      <c r="E77" s="298"/>
      <c r="F77" s="298"/>
      <c r="G77" s="298"/>
      <c r="H77" s="298"/>
      <c r="J77" s="12"/>
      <c r="K77" s="19"/>
      <c r="L77" s="24"/>
      <c r="M77" s="23"/>
      <c r="N77" s="303"/>
      <c r="O77" s="303"/>
      <c r="P77" s="303"/>
      <c r="Q77" s="303"/>
    </row>
    <row r="78" spans="1:19 16384:16384" hidden="1">
      <c r="A78" s="12"/>
      <c r="B78" s="19"/>
      <c r="C78" s="24"/>
      <c r="D78" s="23"/>
      <c r="E78" s="298"/>
      <c r="F78" s="298"/>
      <c r="G78" s="298"/>
      <c r="H78" s="298"/>
      <c r="J78" s="12"/>
      <c r="K78" s="19"/>
      <c r="L78" s="24"/>
      <c r="M78" s="23"/>
      <c r="N78" s="303"/>
      <c r="O78" s="303"/>
      <c r="P78" s="303"/>
      <c r="Q78" s="303"/>
    </row>
    <row r="79" spans="1:19 16384:16384" hidden="1">
      <c r="A79" s="12"/>
      <c r="B79" s="19"/>
      <c r="C79" s="24"/>
      <c r="D79" s="23"/>
      <c r="E79" s="298"/>
      <c r="F79" s="298"/>
      <c r="G79" s="298"/>
      <c r="H79" s="298"/>
      <c r="J79" s="12"/>
      <c r="K79" s="19"/>
      <c r="L79" s="24"/>
      <c r="M79" s="23"/>
      <c r="N79" s="303"/>
      <c r="O79" s="303"/>
      <c r="P79" s="303"/>
      <c r="Q79" s="303"/>
    </row>
    <row r="80" spans="1:19 16384:16384" hidden="1">
      <c r="A80" s="12"/>
      <c r="B80" s="19"/>
      <c r="C80" s="24"/>
      <c r="D80" s="23"/>
      <c r="E80" s="298"/>
      <c r="F80" s="298"/>
      <c r="G80" s="298"/>
      <c r="H80" s="298"/>
      <c r="J80" s="12"/>
      <c r="K80" s="19"/>
      <c r="L80" s="24"/>
      <c r="M80" s="23"/>
      <c r="N80" s="303"/>
      <c r="O80" s="303"/>
      <c r="P80" s="303"/>
      <c r="Q80" s="303"/>
    </row>
    <row r="81" spans="1:17">
      <c r="A81" s="12"/>
      <c r="B81" s="13"/>
      <c r="C81" s="26" t="s">
        <v>55</v>
      </c>
      <c r="D81" s="27">
        <f>SUM(D64:D79)</f>
        <v>110240850</v>
      </c>
      <c r="E81" s="27">
        <v>0</v>
      </c>
      <c r="F81" s="27">
        <v>0</v>
      </c>
      <c r="G81" s="27"/>
      <c r="H81" s="27"/>
      <c r="J81" s="12"/>
      <c r="K81" s="13"/>
      <c r="L81" s="26" t="s">
        <v>55</v>
      </c>
      <c r="M81" s="27">
        <f>SUM(M64:M79)</f>
        <v>110240850</v>
      </c>
      <c r="N81" s="27">
        <v>0</v>
      </c>
      <c r="O81" s="27">
        <v>0</v>
      </c>
      <c r="P81" s="27"/>
      <c r="Q81" s="27"/>
    </row>
    <row r="82" spans="1:17">
      <c r="A82" s="20"/>
      <c r="B82" s="19"/>
      <c r="C82" s="298" t="s">
        <v>21</v>
      </c>
      <c r="D82" s="10"/>
      <c r="E82" s="530">
        <f>D81</f>
        <v>110240850</v>
      </c>
      <c r="F82" s="530"/>
      <c r="G82" s="530"/>
      <c r="H82" s="530"/>
      <c r="J82" s="20"/>
      <c r="K82" s="19"/>
      <c r="L82" s="303" t="s">
        <v>21</v>
      </c>
      <c r="M82" s="10"/>
      <c r="N82" s="530">
        <f>M81</f>
        <v>110240850</v>
      </c>
      <c r="O82" s="530"/>
      <c r="P82" s="530"/>
      <c r="Q82" s="530"/>
    </row>
    <row r="83" spans="1:17">
      <c r="A83" s="524" t="s">
        <v>847</v>
      </c>
      <c r="B83" s="524"/>
      <c r="C83" s="524"/>
      <c r="D83" s="524"/>
      <c r="E83" s="524"/>
      <c r="F83" s="524"/>
      <c r="G83" s="524"/>
      <c r="H83" s="524"/>
      <c r="J83" s="524" t="s">
        <v>847</v>
      </c>
      <c r="K83" s="524"/>
      <c r="L83" s="524"/>
      <c r="M83" s="524"/>
      <c r="N83" s="524"/>
      <c r="O83" s="524"/>
      <c r="P83" s="524"/>
      <c r="Q83" s="524"/>
    </row>
    <row r="84" spans="1:17">
      <c r="A84" s="28"/>
      <c r="B84" s="23" t="s">
        <v>858</v>
      </c>
      <c r="C84" s="23" t="s">
        <v>859</v>
      </c>
      <c r="D84" s="23">
        <v>100000</v>
      </c>
      <c r="E84" s="28"/>
      <c r="F84" s="28"/>
      <c r="G84" s="28"/>
      <c r="H84" s="28"/>
      <c r="J84" s="28"/>
      <c r="K84" s="23" t="s">
        <v>858</v>
      </c>
      <c r="L84" s="23" t="s">
        <v>859</v>
      </c>
      <c r="M84" s="23">
        <v>100000</v>
      </c>
      <c r="N84" s="28"/>
      <c r="O84" s="28"/>
      <c r="P84" s="28"/>
      <c r="Q84" s="28"/>
    </row>
    <row r="85" spans="1:17">
      <c r="A85" s="28"/>
      <c r="B85" s="23"/>
      <c r="C85" s="23"/>
      <c r="D85" s="23"/>
      <c r="E85" s="28"/>
      <c r="F85" s="28"/>
      <c r="G85" s="28"/>
      <c r="H85" s="28"/>
      <c r="J85" s="28"/>
      <c r="K85" s="23"/>
      <c r="L85" s="23"/>
      <c r="M85" s="23"/>
      <c r="N85" s="28"/>
      <c r="O85" s="28"/>
      <c r="P85" s="28"/>
      <c r="Q85" s="28"/>
    </row>
    <row r="86" spans="1:17" hidden="1">
      <c r="A86" s="12"/>
      <c r="B86" s="19"/>
      <c r="C86" s="24"/>
      <c r="D86" s="23"/>
      <c r="E86" s="298"/>
      <c r="F86" s="298"/>
      <c r="G86" s="298"/>
      <c r="H86" s="298"/>
      <c r="J86" s="12"/>
      <c r="K86" s="19"/>
      <c r="L86" s="24"/>
      <c r="M86" s="23"/>
      <c r="N86" s="303"/>
      <c r="O86" s="303"/>
      <c r="P86" s="303"/>
      <c r="Q86" s="303"/>
    </row>
    <row r="87" spans="1:17">
      <c r="A87" s="12"/>
      <c r="B87" s="13"/>
      <c r="C87" s="26" t="s">
        <v>848</v>
      </c>
      <c r="D87" s="27">
        <f>SUM(D84:D86)</f>
        <v>100000</v>
      </c>
      <c r="E87" s="27">
        <v>0</v>
      </c>
      <c r="F87" s="27">
        <v>0</v>
      </c>
      <c r="G87" s="27"/>
      <c r="H87" s="27"/>
      <c r="J87" s="12"/>
      <c r="K87" s="13"/>
      <c r="L87" s="26" t="s">
        <v>848</v>
      </c>
      <c r="M87" s="27">
        <f>SUM(M84:M86)</f>
        <v>100000</v>
      </c>
      <c r="N87" s="27">
        <v>0</v>
      </c>
      <c r="O87" s="27">
        <v>0</v>
      </c>
      <c r="P87" s="27"/>
      <c r="Q87" s="27"/>
    </row>
    <row r="88" spans="1:17">
      <c r="A88" s="20"/>
      <c r="B88" s="19"/>
      <c r="C88" s="298" t="s">
        <v>21</v>
      </c>
      <c r="D88" s="10"/>
      <c r="E88" s="530">
        <f>D87</f>
        <v>100000</v>
      </c>
      <c r="F88" s="530"/>
      <c r="G88" s="530"/>
      <c r="H88" s="530"/>
      <c r="J88" s="20"/>
      <c r="K88" s="19"/>
      <c r="L88" s="303" t="s">
        <v>21</v>
      </c>
      <c r="M88" s="10"/>
      <c r="N88" s="530">
        <f>M87</f>
        <v>100000</v>
      </c>
      <c r="O88" s="530"/>
      <c r="P88" s="530"/>
      <c r="Q88" s="530"/>
    </row>
    <row r="89" spans="1:17">
      <c r="A89" s="527" t="s">
        <v>26</v>
      </c>
      <c r="B89" s="528"/>
      <c r="C89" s="528"/>
      <c r="D89" s="528"/>
      <c r="E89" s="528"/>
      <c r="F89" s="528"/>
      <c r="G89" s="528"/>
      <c r="H89" s="529"/>
      <c r="J89" s="527" t="s">
        <v>26</v>
      </c>
      <c r="K89" s="528"/>
      <c r="L89" s="528"/>
      <c r="M89" s="528"/>
      <c r="N89" s="528"/>
      <c r="O89" s="528"/>
      <c r="P89" s="528"/>
      <c r="Q89" s="529"/>
    </row>
    <row r="90" spans="1:17">
      <c r="A90" s="12"/>
      <c r="B90" s="23" t="s">
        <v>860</v>
      </c>
      <c r="C90" s="24" t="s">
        <v>870</v>
      </c>
      <c r="D90" s="23">
        <v>2408500</v>
      </c>
      <c r="E90" s="22"/>
      <c r="F90" s="22"/>
      <c r="G90" s="16"/>
      <c r="H90" s="16"/>
      <c r="J90" s="12"/>
      <c r="K90" s="23" t="s">
        <v>860</v>
      </c>
      <c r="L90" s="24" t="s">
        <v>861</v>
      </c>
      <c r="M90" s="23">
        <v>2408500</v>
      </c>
      <c r="N90" s="22"/>
      <c r="O90" s="22"/>
      <c r="P90" s="16"/>
      <c r="Q90" s="16"/>
    </row>
    <row r="91" spans="1:17">
      <c r="A91" s="12"/>
      <c r="B91" s="23" t="s">
        <v>860</v>
      </c>
      <c r="C91" s="24" t="s">
        <v>871</v>
      </c>
      <c r="D91" s="23">
        <v>5000</v>
      </c>
      <c r="E91" s="22"/>
      <c r="F91" s="22"/>
      <c r="G91" s="16"/>
      <c r="H91" s="16"/>
      <c r="J91" s="12"/>
      <c r="K91" s="23" t="s">
        <v>860</v>
      </c>
      <c r="L91" s="24" t="s">
        <v>339</v>
      </c>
      <c r="M91" s="23">
        <v>5000</v>
      </c>
      <c r="N91" s="22"/>
      <c r="O91" s="22"/>
      <c r="P91" s="16"/>
      <c r="Q91" s="16"/>
    </row>
    <row r="92" spans="1:17">
      <c r="A92" s="12"/>
      <c r="B92" s="23" t="s">
        <v>862</v>
      </c>
      <c r="C92" s="24" t="s">
        <v>872</v>
      </c>
      <c r="D92" s="23">
        <v>335000</v>
      </c>
      <c r="E92" s="22"/>
      <c r="F92" s="22"/>
      <c r="G92" s="16"/>
      <c r="H92" s="16"/>
      <c r="J92" s="12"/>
      <c r="K92" s="23" t="s">
        <v>862</v>
      </c>
      <c r="L92" s="24" t="s">
        <v>863</v>
      </c>
      <c r="M92" s="23">
        <v>335000</v>
      </c>
      <c r="N92" s="22"/>
      <c r="O92" s="22"/>
      <c r="P92" s="16"/>
      <c r="Q92" s="16"/>
    </row>
    <row r="93" spans="1:17">
      <c r="A93" s="12"/>
      <c r="B93" s="23" t="s">
        <v>862</v>
      </c>
      <c r="C93" s="24" t="s">
        <v>873</v>
      </c>
      <c r="D93" s="23">
        <v>212500</v>
      </c>
      <c r="E93" s="22"/>
      <c r="F93" s="22"/>
      <c r="G93" s="16"/>
      <c r="H93" s="16"/>
      <c r="J93" s="12"/>
      <c r="K93" s="23" t="s">
        <v>862</v>
      </c>
      <c r="L93" s="24" t="s">
        <v>864</v>
      </c>
      <c r="M93" s="23">
        <v>212500</v>
      </c>
      <c r="N93" s="22"/>
      <c r="O93" s="22"/>
      <c r="P93" s="16"/>
      <c r="Q93" s="16"/>
    </row>
    <row r="94" spans="1:17">
      <c r="A94" s="12"/>
      <c r="B94" s="19"/>
      <c r="C94" s="24"/>
      <c r="D94" s="23"/>
      <c r="E94" s="22"/>
      <c r="F94" s="22"/>
      <c r="G94" s="16"/>
      <c r="H94" s="16"/>
      <c r="J94" s="12"/>
      <c r="K94" s="19"/>
      <c r="L94" s="24"/>
      <c r="M94" s="23"/>
      <c r="N94" s="22"/>
      <c r="O94" s="22"/>
      <c r="P94" s="16"/>
      <c r="Q94" s="16"/>
    </row>
    <row r="95" spans="1:17" hidden="1">
      <c r="A95" s="12"/>
      <c r="B95" s="19"/>
      <c r="C95" s="24"/>
      <c r="D95" s="23"/>
      <c r="E95" s="22"/>
      <c r="F95" s="22"/>
      <c r="G95" s="16"/>
      <c r="H95" s="16"/>
      <c r="J95" s="12"/>
      <c r="K95" s="19"/>
      <c r="L95" s="24"/>
      <c r="M95" s="23"/>
      <c r="N95" s="22"/>
      <c r="O95" s="22"/>
      <c r="P95" s="16"/>
      <c r="Q95" s="16"/>
    </row>
    <row r="96" spans="1:17" hidden="1">
      <c r="A96" s="12"/>
      <c r="B96" s="19"/>
      <c r="C96" s="23"/>
      <c r="D96" s="23"/>
      <c r="E96" s="22"/>
      <c r="F96" s="22"/>
      <c r="G96" s="16"/>
      <c r="H96" s="16"/>
      <c r="J96" s="12"/>
      <c r="K96" s="19"/>
      <c r="L96" s="23"/>
      <c r="M96" s="23"/>
      <c r="N96" s="22"/>
      <c r="O96" s="22"/>
      <c r="P96" s="16"/>
      <c r="Q96" s="16"/>
    </row>
    <row r="97" spans="1:17" hidden="1">
      <c r="A97" s="12"/>
      <c r="B97" s="19"/>
      <c r="C97" s="23"/>
      <c r="D97" s="23"/>
      <c r="E97" s="22"/>
      <c r="F97" s="22"/>
      <c r="G97" s="16"/>
      <c r="H97" s="16"/>
      <c r="J97" s="12"/>
      <c r="K97" s="19"/>
      <c r="L97" s="23"/>
      <c r="M97" s="23"/>
      <c r="N97" s="22"/>
      <c r="O97" s="22"/>
      <c r="P97" s="16"/>
      <c r="Q97" s="16"/>
    </row>
    <row r="98" spans="1:17" hidden="1">
      <c r="A98" s="12"/>
      <c r="B98" s="19"/>
      <c r="C98" s="23"/>
      <c r="D98" s="23"/>
      <c r="E98" s="22"/>
      <c r="F98" s="22"/>
      <c r="G98" s="16"/>
      <c r="H98" s="16"/>
      <c r="J98" s="12"/>
      <c r="K98" s="19"/>
      <c r="L98" s="23"/>
      <c r="M98" s="23"/>
      <c r="N98" s="22"/>
      <c r="O98" s="22"/>
      <c r="P98" s="16"/>
      <c r="Q98" s="16"/>
    </row>
    <row r="99" spans="1:17" hidden="1">
      <c r="A99" s="12"/>
      <c r="B99" s="19"/>
      <c r="C99" s="24"/>
      <c r="D99" s="23"/>
      <c r="E99" s="22"/>
      <c r="F99" s="22"/>
      <c r="G99" s="16"/>
      <c r="H99" s="16"/>
      <c r="J99" s="12"/>
      <c r="K99" s="19"/>
      <c r="L99" s="24"/>
      <c r="M99" s="23"/>
      <c r="N99" s="22"/>
      <c r="O99" s="22"/>
      <c r="P99" s="16"/>
      <c r="Q99" s="16"/>
    </row>
    <row r="100" spans="1:17" hidden="1">
      <c r="A100" s="12"/>
      <c r="B100" s="19"/>
      <c r="C100" s="24"/>
      <c r="D100" s="23"/>
      <c r="E100" s="22"/>
      <c r="F100" s="22"/>
      <c r="G100" s="16"/>
      <c r="H100" s="16"/>
      <c r="J100" s="12"/>
      <c r="K100" s="19"/>
      <c r="L100" s="24"/>
      <c r="M100" s="23"/>
      <c r="N100" s="22"/>
      <c r="O100" s="22"/>
      <c r="P100" s="16"/>
      <c r="Q100" s="16"/>
    </row>
    <row r="101" spans="1:17">
      <c r="A101" s="25"/>
      <c r="B101" s="19"/>
      <c r="C101" s="26" t="s">
        <v>31</v>
      </c>
      <c r="D101" s="27">
        <f>SUM(D90:D100)</f>
        <v>2961000</v>
      </c>
      <c r="E101" s="27"/>
      <c r="F101" s="27"/>
      <c r="G101" s="27"/>
      <c r="H101" s="27"/>
      <c r="J101" s="25"/>
      <c r="K101" s="19"/>
      <c r="L101" s="26" t="s">
        <v>31</v>
      </c>
      <c r="M101" s="27">
        <f>SUM(M90:M100)</f>
        <v>2961000</v>
      </c>
      <c r="N101" s="27"/>
      <c r="O101" s="27"/>
      <c r="P101" s="27"/>
      <c r="Q101" s="27"/>
    </row>
    <row r="102" spans="1:17">
      <c r="A102" s="20"/>
      <c r="B102" s="19"/>
      <c r="C102" s="298" t="s">
        <v>21</v>
      </c>
      <c r="D102" s="10"/>
      <c r="E102" s="530">
        <f>D101</f>
        <v>2961000</v>
      </c>
      <c r="F102" s="530"/>
      <c r="G102" s="530"/>
      <c r="H102" s="530"/>
      <c r="J102" s="20"/>
      <c r="K102" s="19"/>
      <c r="L102" s="303" t="s">
        <v>21</v>
      </c>
      <c r="M102" s="10"/>
      <c r="N102" s="530">
        <f>M101</f>
        <v>2961000</v>
      </c>
      <c r="O102" s="530"/>
      <c r="P102" s="530"/>
      <c r="Q102" s="530"/>
    </row>
    <row r="103" spans="1:17">
      <c r="A103" s="527" t="s">
        <v>32</v>
      </c>
      <c r="B103" s="528"/>
      <c r="C103" s="528"/>
      <c r="D103" s="528"/>
      <c r="E103" s="528"/>
      <c r="F103" s="528"/>
      <c r="G103" s="528"/>
      <c r="H103" s="529"/>
      <c r="J103" s="527" t="s">
        <v>32</v>
      </c>
      <c r="K103" s="528"/>
      <c r="L103" s="528"/>
      <c r="M103" s="528"/>
      <c r="N103" s="528"/>
      <c r="O103" s="528"/>
      <c r="P103" s="528"/>
      <c r="Q103" s="529"/>
    </row>
    <row r="104" spans="1:17">
      <c r="A104" s="12"/>
      <c r="B104" s="13"/>
      <c r="C104" s="22"/>
      <c r="D104" s="22"/>
      <c r="E104" s="298"/>
      <c r="F104" s="298"/>
      <c r="G104" s="298"/>
      <c r="H104" s="298"/>
      <c r="J104" s="12"/>
      <c r="K104" s="13"/>
      <c r="L104" s="22"/>
      <c r="M104" s="22"/>
      <c r="N104" s="303"/>
      <c r="O104" s="303"/>
      <c r="P104" s="303"/>
      <c r="Q104" s="303"/>
    </row>
    <row r="105" spans="1:17">
      <c r="A105" s="12"/>
      <c r="B105" s="13"/>
      <c r="C105" s="22"/>
      <c r="D105" s="22"/>
      <c r="E105" s="298"/>
      <c r="F105" s="298"/>
      <c r="G105" s="298"/>
      <c r="H105" s="298"/>
      <c r="J105" s="12"/>
      <c r="K105" s="13"/>
      <c r="L105" s="22"/>
      <c r="M105" s="22"/>
      <c r="N105" s="303"/>
      <c r="O105" s="303"/>
      <c r="P105" s="303"/>
      <c r="Q105" s="303"/>
    </row>
    <row r="106" spans="1:17">
      <c r="A106" s="12"/>
      <c r="B106" s="13"/>
      <c r="C106" s="22"/>
      <c r="D106" s="22"/>
      <c r="E106" s="298"/>
      <c r="F106" s="298"/>
      <c r="G106" s="298"/>
      <c r="H106" s="298"/>
      <c r="J106" s="12"/>
      <c r="K106" s="13"/>
      <c r="L106" s="22"/>
      <c r="M106" s="22"/>
      <c r="N106" s="303"/>
      <c r="O106" s="303"/>
      <c r="P106" s="303"/>
      <c r="Q106" s="303"/>
    </row>
    <row r="107" spans="1:17" hidden="1">
      <c r="A107" s="12"/>
      <c r="B107" s="13"/>
      <c r="C107" s="22"/>
      <c r="D107" s="29"/>
      <c r="E107" s="298"/>
      <c r="F107" s="298"/>
      <c r="G107" s="298"/>
      <c r="H107" s="298"/>
      <c r="J107" s="12"/>
      <c r="K107" s="13"/>
      <c r="L107" s="22"/>
      <c r="M107" s="29"/>
      <c r="N107" s="303"/>
      <c r="O107" s="303"/>
      <c r="P107" s="303"/>
      <c r="Q107" s="303"/>
    </row>
    <row r="108" spans="1:17" hidden="1">
      <c r="A108" s="12"/>
      <c r="B108" s="13"/>
      <c r="C108" s="22"/>
      <c r="D108" s="29"/>
      <c r="E108" s="298"/>
      <c r="F108" s="298"/>
      <c r="G108" s="298"/>
      <c r="H108" s="298"/>
      <c r="J108" s="12"/>
      <c r="K108" s="13"/>
      <c r="L108" s="22"/>
      <c r="M108" s="29"/>
      <c r="N108" s="303"/>
      <c r="O108" s="303"/>
      <c r="P108" s="303"/>
      <c r="Q108" s="303"/>
    </row>
    <row r="109" spans="1:17" hidden="1">
      <c r="A109" s="12"/>
      <c r="B109" s="13"/>
      <c r="C109" s="22"/>
      <c r="D109" s="29"/>
      <c r="E109" s="298"/>
      <c r="F109" s="298"/>
      <c r="G109" s="298"/>
      <c r="H109" s="298"/>
      <c r="J109" s="12"/>
      <c r="K109" s="13"/>
      <c r="L109" s="22"/>
      <c r="M109" s="29"/>
      <c r="N109" s="303"/>
      <c r="O109" s="303"/>
      <c r="P109" s="303"/>
      <c r="Q109" s="303"/>
    </row>
    <row r="110" spans="1:17" hidden="1">
      <c r="A110" s="12"/>
      <c r="B110" s="13"/>
      <c r="C110" s="22"/>
      <c r="D110" s="29"/>
      <c r="E110" s="298"/>
      <c r="F110" s="298"/>
      <c r="G110" s="298"/>
      <c r="H110" s="298"/>
      <c r="J110" s="12"/>
      <c r="K110" s="13"/>
      <c r="L110" s="22"/>
      <c r="M110" s="29"/>
      <c r="N110" s="303"/>
      <c r="O110" s="303"/>
      <c r="P110" s="303"/>
      <c r="Q110" s="303"/>
    </row>
    <row r="111" spans="1:17" hidden="1">
      <c r="A111" s="12"/>
      <c r="B111" s="13"/>
      <c r="C111" s="22"/>
      <c r="D111" s="29"/>
      <c r="E111" s="298"/>
      <c r="F111" s="298"/>
      <c r="G111" s="298"/>
      <c r="H111" s="298"/>
      <c r="J111" s="12"/>
      <c r="K111" s="13"/>
      <c r="L111" s="22"/>
      <c r="M111" s="29"/>
      <c r="N111" s="303"/>
      <c r="O111" s="303"/>
      <c r="P111" s="303"/>
      <c r="Q111" s="303"/>
    </row>
    <row r="112" spans="1:17" hidden="1">
      <c r="A112" s="12"/>
      <c r="B112" s="13"/>
      <c r="C112" s="22"/>
      <c r="D112" s="29"/>
      <c r="E112" s="298"/>
      <c r="F112" s="298"/>
      <c r="G112" s="298"/>
      <c r="H112" s="298"/>
      <c r="J112" s="12"/>
      <c r="K112" s="13"/>
      <c r="L112" s="22"/>
      <c r="M112" s="29"/>
      <c r="N112" s="303"/>
      <c r="O112" s="303"/>
      <c r="P112" s="303"/>
      <c r="Q112" s="303"/>
    </row>
    <row r="113" spans="1:17">
      <c r="A113" s="12"/>
      <c r="B113" s="13"/>
      <c r="C113" s="26" t="s">
        <v>34</v>
      </c>
      <c r="D113" s="27">
        <f>SUM(D104:D107)</f>
        <v>0</v>
      </c>
      <c r="E113" s="27">
        <v>0</v>
      </c>
      <c r="F113" s="27">
        <v>0</v>
      </c>
      <c r="G113" s="27"/>
      <c r="H113" s="27"/>
      <c r="J113" s="12"/>
      <c r="K113" s="13"/>
      <c r="L113" s="26" t="s">
        <v>34</v>
      </c>
      <c r="M113" s="27">
        <f>SUM(M104:M107)</f>
        <v>0</v>
      </c>
      <c r="N113" s="27">
        <v>0</v>
      </c>
      <c r="O113" s="27">
        <v>0</v>
      </c>
      <c r="P113" s="27"/>
      <c r="Q113" s="27"/>
    </row>
    <row r="114" spans="1:17">
      <c r="A114" s="20"/>
      <c r="B114" s="19"/>
      <c r="C114" s="298" t="s">
        <v>21</v>
      </c>
      <c r="D114" s="10"/>
      <c r="E114" s="531">
        <f>D113</f>
        <v>0</v>
      </c>
      <c r="F114" s="532"/>
      <c r="G114" s="532"/>
      <c r="H114" s="533"/>
      <c r="J114" s="20"/>
      <c r="K114" s="19"/>
      <c r="L114" s="303" t="s">
        <v>21</v>
      </c>
      <c r="M114" s="10"/>
      <c r="N114" s="531">
        <f>M113</f>
        <v>0</v>
      </c>
      <c r="O114" s="532"/>
      <c r="P114" s="532"/>
      <c r="Q114" s="533"/>
    </row>
    <row r="115" spans="1:17">
      <c r="A115" s="525" t="s">
        <v>35</v>
      </c>
      <c r="B115" s="525"/>
      <c r="C115" s="525"/>
      <c r="D115" s="294"/>
      <c r="E115" s="526">
        <f>E50+E55+E102+E114+E82+E88+E62</f>
        <v>113521850</v>
      </c>
      <c r="F115" s="526"/>
      <c r="G115" s="526"/>
      <c r="H115" s="526"/>
      <c r="J115" s="525" t="s">
        <v>35</v>
      </c>
      <c r="K115" s="525"/>
      <c r="L115" s="525"/>
      <c r="M115" s="299"/>
      <c r="N115" s="526">
        <f>N50+N55+N102+N114+N82+N88+N62</f>
        <v>113521850</v>
      </c>
      <c r="O115" s="526"/>
      <c r="P115" s="526"/>
      <c r="Q115" s="526"/>
    </row>
    <row r="116" spans="1:17">
      <c r="A116" s="522" t="s">
        <v>36</v>
      </c>
      <c r="B116" s="522"/>
      <c r="C116" s="522"/>
      <c r="D116" s="297"/>
      <c r="E116" s="523">
        <f>+E31+E115</f>
        <v>114287850</v>
      </c>
      <c r="F116" s="523"/>
      <c r="G116" s="523"/>
      <c r="H116" s="523"/>
      <c r="J116" s="522" t="s">
        <v>36</v>
      </c>
      <c r="K116" s="522"/>
      <c r="L116" s="522"/>
      <c r="M116" s="302"/>
      <c r="N116" s="523">
        <f>+N31+N115</f>
        <v>114287850</v>
      </c>
      <c r="O116" s="523"/>
      <c r="P116" s="523"/>
      <c r="Q116" s="523"/>
    </row>
    <row r="117" spans="1:17">
      <c r="A117" s="524" t="s">
        <v>32</v>
      </c>
      <c r="B117" s="524"/>
      <c r="C117" s="524"/>
      <c r="D117" s="524"/>
      <c r="E117" s="524"/>
      <c r="F117" s="524"/>
      <c r="G117" s="524"/>
      <c r="H117" s="524"/>
      <c r="J117" s="524" t="s">
        <v>32</v>
      </c>
      <c r="K117" s="524"/>
      <c r="L117" s="524"/>
      <c r="M117" s="524"/>
      <c r="N117" s="524"/>
      <c r="O117" s="524"/>
      <c r="P117" s="524"/>
      <c r="Q117" s="524"/>
    </row>
    <row r="118" spans="1:17">
      <c r="A118" s="33"/>
      <c r="B118" s="13"/>
      <c r="C118" s="22"/>
      <c r="D118" s="22"/>
      <c r="E118" s="22"/>
      <c r="F118" s="22"/>
      <c r="G118" s="16"/>
      <c r="H118" s="16"/>
      <c r="J118" s="33"/>
      <c r="K118" s="13"/>
      <c r="L118" s="22"/>
      <c r="M118" s="22"/>
      <c r="N118" s="22"/>
      <c r="O118" s="22"/>
      <c r="P118" s="16"/>
      <c r="Q118" s="16"/>
    </row>
    <row r="119" spans="1:17">
      <c r="A119" s="33"/>
      <c r="B119" s="13"/>
      <c r="C119" s="22"/>
      <c r="D119" s="22"/>
      <c r="E119" s="22"/>
      <c r="F119" s="22"/>
      <c r="G119" s="16"/>
      <c r="H119" s="16"/>
      <c r="J119" s="33"/>
      <c r="K119" s="13"/>
      <c r="L119" s="22"/>
      <c r="M119" s="22"/>
      <c r="N119" s="22"/>
      <c r="O119" s="22"/>
      <c r="P119" s="16"/>
      <c r="Q119" s="16"/>
    </row>
    <row r="120" spans="1:17">
      <c r="A120" s="33"/>
      <c r="B120" s="13"/>
      <c r="C120" s="22"/>
      <c r="D120" s="22"/>
      <c r="E120" s="22"/>
      <c r="F120" s="22"/>
      <c r="G120" s="16"/>
      <c r="H120" s="16"/>
      <c r="J120" s="33"/>
      <c r="K120" s="13"/>
      <c r="L120" s="22"/>
      <c r="M120" s="22"/>
      <c r="N120" s="22"/>
      <c r="O120" s="22"/>
      <c r="P120" s="16"/>
      <c r="Q120" s="16"/>
    </row>
    <row r="121" spans="1:17">
      <c r="A121" s="20"/>
      <c r="B121" s="13"/>
      <c r="C121" s="22"/>
      <c r="D121" s="22"/>
      <c r="E121" s="22"/>
      <c r="F121" s="16"/>
      <c r="G121" s="16"/>
      <c r="H121" s="16"/>
      <c r="J121" s="20"/>
      <c r="K121" s="13"/>
      <c r="L121" s="22"/>
      <c r="M121" s="22"/>
      <c r="N121" s="22"/>
      <c r="O121" s="16"/>
      <c r="P121" s="16"/>
      <c r="Q121" s="16"/>
    </row>
    <row r="122" spans="1:17">
      <c r="A122" s="20"/>
      <c r="B122" s="13"/>
      <c r="C122" s="22"/>
      <c r="D122" s="22"/>
      <c r="E122" s="22"/>
      <c r="F122" s="16"/>
      <c r="G122" s="16"/>
      <c r="H122" s="16"/>
      <c r="J122" s="20"/>
      <c r="K122" s="13"/>
      <c r="L122" s="22"/>
      <c r="M122" s="22"/>
      <c r="N122" s="22"/>
      <c r="O122" s="16"/>
      <c r="P122" s="16"/>
      <c r="Q122" s="16"/>
    </row>
    <row r="123" spans="1:17">
      <c r="A123" s="525" t="s">
        <v>37</v>
      </c>
      <c r="B123" s="525"/>
      <c r="C123" s="525"/>
      <c r="D123" s="294">
        <f>SUM(D118:D122)</f>
        <v>0</v>
      </c>
      <c r="E123" s="526"/>
      <c r="F123" s="526"/>
      <c r="G123" s="526"/>
      <c r="H123" s="526"/>
      <c r="J123" s="525" t="s">
        <v>37</v>
      </c>
      <c r="K123" s="525"/>
      <c r="L123" s="525"/>
      <c r="M123" s="299">
        <f>SUM(M118:M122)</f>
        <v>0</v>
      </c>
      <c r="N123" s="526"/>
      <c r="O123" s="526"/>
      <c r="P123" s="526"/>
      <c r="Q123" s="526"/>
    </row>
    <row r="124" spans="1:17">
      <c r="A124" s="34" t="s">
        <v>38</v>
      </c>
      <c r="B124" s="35"/>
      <c r="C124" s="294"/>
      <c r="D124" s="294"/>
      <c r="E124" s="295"/>
      <c r="F124" s="295"/>
      <c r="G124" s="526"/>
      <c r="H124" s="526"/>
      <c r="J124" s="34" t="s">
        <v>38</v>
      </c>
      <c r="K124" s="35"/>
      <c r="L124" s="299"/>
      <c r="M124" s="299"/>
      <c r="N124" s="300"/>
      <c r="O124" s="300"/>
      <c r="P124" s="526"/>
      <c r="Q124" s="526"/>
    </row>
    <row r="125" spans="1:17">
      <c r="A125" s="37"/>
      <c r="B125" s="38"/>
      <c r="C125" s="39"/>
      <c r="D125" s="39"/>
      <c r="E125" s="39"/>
      <c r="F125" s="39"/>
      <c r="G125" s="39"/>
      <c r="H125" s="39"/>
      <c r="J125" s="37"/>
      <c r="K125" s="38"/>
      <c r="L125" s="39"/>
      <c r="M125" s="39"/>
      <c r="N125" s="39"/>
      <c r="O125" s="39"/>
      <c r="P125" s="39"/>
      <c r="Q125" s="39"/>
    </row>
    <row r="126" spans="1:17">
      <c r="A126" s="519" t="s">
        <v>13</v>
      </c>
      <c r="B126" s="520"/>
      <c r="C126" s="520"/>
      <c r="D126" s="520"/>
      <c r="E126" s="521"/>
      <c r="F126" s="39"/>
      <c r="G126" s="39"/>
      <c r="H126" s="40"/>
      <c r="J126" s="519" t="s">
        <v>13</v>
      </c>
      <c r="K126" s="520"/>
      <c r="L126" s="520"/>
      <c r="M126" s="520"/>
      <c r="N126" s="521"/>
      <c r="O126" s="39"/>
      <c r="P126" s="39"/>
      <c r="Q126" s="40"/>
    </row>
    <row r="127" spans="1:17">
      <c r="A127" s="41" t="s">
        <v>39</v>
      </c>
      <c r="B127" s="42" t="s">
        <v>40</v>
      </c>
      <c r="C127" s="43" t="s">
        <v>41</v>
      </c>
      <c r="D127" s="43" t="s">
        <v>42</v>
      </c>
      <c r="E127" s="43" t="s">
        <v>43</v>
      </c>
      <c r="F127" s="39"/>
      <c r="G127" s="39"/>
      <c r="H127" s="39"/>
      <c r="J127" s="41" t="s">
        <v>39</v>
      </c>
      <c r="K127" s="42" t="s">
        <v>40</v>
      </c>
      <c r="L127" s="43" t="s">
        <v>41</v>
      </c>
      <c r="M127" s="43" t="s">
        <v>42</v>
      </c>
      <c r="N127" s="43" t="s">
        <v>43</v>
      </c>
      <c r="O127" s="39"/>
      <c r="P127" s="39"/>
      <c r="Q127" s="39"/>
    </row>
    <row r="128" spans="1:17">
      <c r="A128" s="41"/>
      <c r="B128" s="44"/>
      <c r="C128" s="45"/>
      <c r="D128" s="46"/>
      <c r="E128" s="46"/>
      <c r="F128" s="39"/>
      <c r="G128" s="39"/>
      <c r="H128" s="39"/>
      <c r="J128" s="41"/>
      <c r="K128" s="44"/>
      <c r="L128" s="45"/>
      <c r="M128" s="46"/>
      <c r="N128" s="46"/>
      <c r="O128" s="39"/>
      <c r="P128" s="39"/>
      <c r="Q128" s="39"/>
    </row>
    <row r="129" spans="1:17">
      <c r="A129" s="41"/>
      <c r="B129" s="44"/>
      <c r="C129" s="45"/>
      <c r="D129" s="46"/>
      <c r="E129" s="46"/>
      <c r="F129" s="39"/>
      <c r="G129" s="39"/>
      <c r="H129" s="39"/>
      <c r="J129" s="41"/>
      <c r="K129" s="44"/>
      <c r="L129" s="45"/>
      <c r="M129" s="46"/>
      <c r="N129" s="46"/>
      <c r="O129" s="39"/>
      <c r="P129" s="39"/>
      <c r="Q129" s="39"/>
    </row>
    <row r="130" spans="1:17">
      <c r="A130" s="41"/>
      <c r="B130" s="44"/>
      <c r="C130" s="45"/>
      <c r="D130" s="46"/>
      <c r="E130" s="46"/>
      <c r="F130" s="39"/>
      <c r="G130" s="39"/>
      <c r="H130" s="39"/>
      <c r="J130" s="41"/>
      <c r="K130" s="44"/>
      <c r="L130" s="45"/>
      <c r="M130" s="46"/>
      <c r="N130" s="46"/>
      <c r="O130" s="39"/>
      <c r="P130" s="39"/>
      <c r="Q130" s="39"/>
    </row>
    <row r="131" spans="1:17">
      <c r="A131" s="41"/>
      <c r="B131" s="44"/>
      <c r="C131" s="281"/>
      <c r="D131" s="46"/>
      <c r="E131" s="46"/>
      <c r="F131" s="39"/>
      <c r="G131" s="39"/>
      <c r="H131" s="39"/>
      <c r="J131" s="41"/>
      <c r="K131" s="44"/>
      <c r="L131" s="281"/>
      <c r="M131" s="46"/>
      <c r="N131" s="46"/>
      <c r="O131" s="39"/>
      <c r="P131" s="39"/>
      <c r="Q131" s="39"/>
    </row>
    <row r="132" spans="1:17">
      <c r="A132" s="41"/>
      <c r="B132" s="44"/>
      <c r="C132" s="281"/>
      <c r="D132" s="46"/>
      <c r="E132" s="46"/>
      <c r="F132" s="39"/>
      <c r="G132" s="39"/>
      <c r="H132" s="39"/>
      <c r="J132" s="41"/>
      <c r="K132" s="44"/>
      <c r="L132" s="281"/>
      <c r="M132" s="46"/>
      <c r="N132" s="46"/>
      <c r="O132" s="39"/>
      <c r="P132" s="39"/>
      <c r="Q132" s="39"/>
    </row>
    <row r="133" spans="1:17">
      <c r="A133" s="41"/>
      <c r="B133" s="44"/>
      <c r="C133" s="281"/>
      <c r="D133" s="46"/>
      <c r="E133" s="46"/>
      <c r="F133" s="39"/>
      <c r="G133" s="39"/>
      <c r="H133" s="39"/>
      <c r="J133" s="41"/>
      <c r="K133" s="44"/>
      <c r="L133" s="281"/>
      <c r="M133" s="46"/>
      <c r="N133" s="46"/>
      <c r="O133" s="39"/>
      <c r="P133" s="39"/>
      <c r="Q133" s="39"/>
    </row>
    <row r="134" spans="1:17">
      <c r="A134" s="41"/>
      <c r="B134" s="44"/>
      <c r="C134" s="281"/>
      <c r="D134" s="46"/>
      <c r="E134" s="46"/>
      <c r="F134" s="39"/>
      <c r="G134" s="39"/>
      <c r="H134" s="39"/>
      <c r="J134" s="41"/>
      <c r="K134" s="44"/>
      <c r="L134" s="281"/>
      <c r="M134" s="46"/>
      <c r="N134" s="46"/>
      <c r="O134" s="39"/>
      <c r="P134" s="39"/>
      <c r="Q134" s="39"/>
    </row>
    <row r="135" spans="1:17">
      <c r="A135" s="41"/>
      <c r="B135" s="44"/>
      <c r="C135" s="281"/>
      <c r="D135" s="46"/>
      <c r="E135" s="46"/>
      <c r="F135" s="39"/>
      <c r="G135" s="39"/>
      <c r="H135" s="39"/>
      <c r="J135" s="41"/>
      <c r="K135" s="44"/>
      <c r="L135" s="281"/>
      <c r="M135" s="46"/>
      <c r="N135" s="46"/>
      <c r="O135" s="39"/>
      <c r="P135" s="39"/>
      <c r="Q135" s="39"/>
    </row>
    <row r="136" spans="1:17">
      <c r="A136" s="41"/>
      <c r="B136" s="44"/>
      <c r="C136" s="47"/>
      <c r="D136" s="46"/>
      <c r="E136" s="46"/>
      <c r="F136" s="39"/>
      <c r="G136" s="39"/>
      <c r="H136" s="39"/>
      <c r="J136" s="41"/>
      <c r="K136" s="44"/>
      <c r="L136" s="47"/>
      <c r="M136" s="46"/>
      <c r="N136" s="46"/>
      <c r="O136" s="39"/>
      <c r="P136" s="39"/>
      <c r="Q136" s="39"/>
    </row>
    <row r="137" spans="1:17">
      <c r="A137" s="41"/>
      <c r="B137" s="44"/>
      <c r="C137" s="46"/>
      <c r="D137" s="48"/>
      <c r="E137" s="46"/>
      <c r="F137" s="39"/>
      <c r="G137" s="39"/>
      <c r="H137" s="39"/>
      <c r="J137" s="41"/>
      <c r="K137" s="44"/>
      <c r="L137" s="46"/>
      <c r="M137" s="48"/>
      <c r="N137" s="46"/>
      <c r="O137" s="39"/>
      <c r="P137" s="39"/>
      <c r="Q137" s="39"/>
    </row>
    <row r="138" spans="1:17">
      <c r="A138" s="49"/>
      <c r="B138" s="50"/>
      <c r="C138" s="51" t="s">
        <v>44</v>
      </c>
      <c r="D138" s="51">
        <f>SUM(D128:D137)</f>
        <v>0</v>
      </c>
      <c r="E138" s="52"/>
      <c r="F138" s="39"/>
      <c r="G138" s="39"/>
      <c r="H138" s="39"/>
      <c r="J138" s="49"/>
      <c r="K138" s="50"/>
      <c r="L138" s="51" t="s">
        <v>44</v>
      </c>
      <c r="M138" s="51">
        <f>SUM(M128:M137)</f>
        <v>0</v>
      </c>
      <c r="N138" s="52"/>
      <c r="O138" s="39"/>
      <c r="P138" s="39"/>
      <c r="Q138" s="39"/>
    </row>
    <row r="139" spans="1:17">
      <c r="A139" s="53"/>
      <c r="B139" s="54"/>
      <c r="C139" s="55" t="s">
        <v>779</v>
      </c>
      <c r="D139" s="116"/>
      <c r="E139" s="3"/>
      <c r="F139" s="39"/>
      <c r="G139" s="39"/>
      <c r="H139" s="39"/>
      <c r="J139" s="53"/>
      <c r="K139" s="54"/>
      <c r="L139" s="55" t="s">
        <v>779</v>
      </c>
      <c r="M139" s="116"/>
      <c r="N139" s="3"/>
      <c r="O139" s="39"/>
      <c r="P139" s="39"/>
      <c r="Q139" s="39"/>
    </row>
  </sheetData>
  <mergeCells count="66">
    <mergeCell ref="J117:Q117"/>
    <mergeCell ref="J123:L123"/>
    <mergeCell ref="N123:Q123"/>
    <mergeCell ref="P124:Q124"/>
    <mergeCell ref="J126:N126"/>
    <mergeCell ref="N114:Q114"/>
    <mergeCell ref="J115:L115"/>
    <mergeCell ref="N115:Q115"/>
    <mergeCell ref="J116:L116"/>
    <mergeCell ref="N116:Q116"/>
    <mergeCell ref="J83:Q83"/>
    <mergeCell ref="N88:Q88"/>
    <mergeCell ref="J89:Q89"/>
    <mergeCell ref="N102:Q102"/>
    <mergeCell ref="J103:Q103"/>
    <mergeCell ref="N55:Q55"/>
    <mergeCell ref="J56:Q56"/>
    <mergeCell ref="N62:Q62"/>
    <mergeCell ref="J63:Q63"/>
    <mergeCell ref="N82:Q82"/>
    <mergeCell ref="J31:M31"/>
    <mergeCell ref="N31:Q31"/>
    <mergeCell ref="J32:Q32"/>
    <mergeCell ref="N50:Q50"/>
    <mergeCell ref="J51:Q51"/>
    <mergeCell ref="J3:Q3"/>
    <mergeCell ref="J12:P12"/>
    <mergeCell ref="J13:Q13"/>
    <mergeCell ref="J14:J15"/>
    <mergeCell ref="K14:K15"/>
    <mergeCell ref="L14:L15"/>
    <mergeCell ref="M14:M15"/>
    <mergeCell ref="N14:Q14"/>
    <mergeCell ref="A126:E126"/>
    <mergeCell ref="A116:C116"/>
    <mergeCell ref="E116:H116"/>
    <mergeCell ref="A117:H117"/>
    <mergeCell ref="A123:C123"/>
    <mergeCell ref="E123:H123"/>
    <mergeCell ref="G124:H124"/>
    <mergeCell ref="A89:H89"/>
    <mergeCell ref="E102:H102"/>
    <mergeCell ref="A103:H103"/>
    <mergeCell ref="E114:H114"/>
    <mergeCell ref="A115:C115"/>
    <mergeCell ref="E115:H115"/>
    <mergeCell ref="E88:H88"/>
    <mergeCell ref="A31:D31"/>
    <mergeCell ref="E31:H31"/>
    <mergeCell ref="A32:H32"/>
    <mergeCell ref="E50:H50"/>
    <mergeCell ref="A51:H51"/>
    <mergeCell ref="E55:H55"/>
    <mergeCell ref="A56:H56"/>
    <mergeCell ref="E62:H62"/>
    <mergeCell ref="A63:H63"/>
    <mergeCell ref="E82:H82"/>
    <mergeCell ref="A83:H83"/>
    <mergeCell ref="A3:H3"/>
    <mergeCell ref="A12:G12"/>
    <mergeCell ref="A13:H13"/>
    <mergeCell ref="A14:A15"/>
    <mergeCell ref="B14:B15"/>
    <mergeCell ref="C14:C15"/>
    <mergeCell ref="D14:D15"/>
    <mergeCell ref="E14:H14"/>
  </mergeCells>
  <pageMargins left="0.23622047244094491" right="0.15748031496062992" top="0.55118110236220474" bottom="0.74803149606299213" header="0.23622047244094491" footer="0.31496062992125984"/>
  <pageSetup paperSize="9" scale="80" orientation="portrait" horizontalDpi="300" verticalDpi="300" r:id="rId1"/>
  <rowBreaks count="1" manualBreakCount="1">
    <brk id="116" max="7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1"/>
  <sheetViews>
    <sheetView workbookViewId="0"/>
  </sheetViews>
  <sheetFormatPr defaultRowHeight="15"/>
  <cols>
    <col min="1" max="1" width="43.28515625" bestFit="1" customWidth="1"/>
    <col min="2" max="2" width="11.5703125" bestFit="1" customWidth="1"/>
    <col min="3" max="3" width="48.85546875" bestFit="1" customWidth="1"/>
    <col min="4" max="4" width="10.5703125" bestFit="1" customWidth="1"/>
    <col min="5" max="5" width="34.140625" bestFit="1" customWidth="1"/>
    <col min="7" max="7" width="40" bestFit="1" customWidth="1"/>
    <col min="8" max="8" width="12.5703125" bestFit="1" customWidth="1"/>
    <col min="9" max="9" width="26.85546875" bestFit="1" customWidth="1"/>
    <col min="12" max="12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>
      <c r="A2" s="23" t="s">
        <v>731</v>
      </c>
      <c r="B2" s="23">
        <v>4775000</v>
      </c>
      <c r="C2" s="23" t="s">
        <v>845</v>
      </c>
      <c r="D2" s="23">
        <v>100000</v>
      </c>
      <c r="E2" s="15" t="s">
        <v>869</v>
      </c>
      <c r="F2" s="22">
        <v>220000</v>
      </c>
      <c r="G2" s="15" t="s">
        <v>855</v>
      </c>
      <c r="H2" s="22">
        <v>60000000</v>
      </c>
      <c r="I2" s="14" t="s">
        <v>840</v>
      </c>
      <c r="J2" s="15">
        <v>54000</v>
      </c>
    </row>
    <row r="3" spans="1:10">
      <c r="A3" s="23" t="s">
        <v>263</v>
      </c>
      <c r="B3" s="23">
        <v>1540000</v>
      </c>
      <c r="C3" s="23" t="s">
        <v>846</v>
      </c>
      <c r="D3" s="23">
        <v>150000</v>
      </c>
      <c r="E3" s="15"/>
      <c r="F3" s="22"/>
      <c r="G3" s="15" t="s">
        <v>853</v>
      </c>
      <c r="H3" s="23">
        <v>2715850</v>
      </c>
      <c r="I3" s="14" t="s">
        <v>841</v>
      </c>
      <c r="J3" s="15">
        <v>400000</v>
      </c>
    </row>
    <row r="4" spans="1:10">
      <c r="A4" s="24" t="s">
        <v>844</v>
      </c>
      <c r="B4" s="23">
        <v>300000</v>
      </c>
      <c r="C4" s="183" t="s">
        <v>339</v>
      </c>
      <c r="D4" s="30">
        <v>5000</v>
      </c>
      <c r="E4" s="23"/>
      <c r="F4" s="23"/>
      <c r="G4" s="24" t="s">
        <v>843</v>
      </c>
      <c r="H4" s="23">
        <v>35000000</v>
      </c>
      <c r="I4" s="183" t="s">
        <v>851</v>
      </c>
      <c r="J4" s="30">
        <v>47000</v>
      </c>
    </row>
    <row r="5" spans="1:10">
      <c r="A5" s="24" t="s">
        <v>857</v>
      </c>
      <c r="B5" s="23">
        <v>2160000</v>
      </c>
      <c r="C5" s="24" t="s">
        <v>410</v>
      </c>
      <c r="D5" s="23">
        <v>750000</v>
      </c>
      <c r="E5" s="15"/>
      <c r="F5" s="23"/>
      <c r="G5" s="23" t="s">
        <v>861</v>
      </c>
      <c r="H5" s="23">
        <v>2408500</v>
      </c>
      <c r="I5" s="183" t="s">
        <v>850</v>
      </c>
      <c r="J5" s="183">
        <v>15000</v>
      </c>
    </row>
    <row r="6" spans="1:10">
      <c r="A6" s="22" t="s">
        <v>865</v>
      </c>
      <c r="B6" s="22">
        <v>3000000</v>
      </c>
      <c r="C6" s="186"/>
      <c r="D6" s="185"/>
      <c r="E6" s="23"/>
      <c r="F6" s="23"/>
      <c r="G6" s="24" t="s">
        <v>863</v>
      </c>
      <c r="H6" s="23">
        <v>335000</v>
      </c>
      <c r="I6" s="23" t="s">
        <v>859</v>
      </c>
      <c r="J6" s="23"/>
    </row>
    <row r="7" spans="1:10">
      <c r="A7" s="22"/>
      <c r="B7" s="22"/>
      <c r="C7" s="30"/>
      <c r="D7" s="188"/>
      <c r="E7" s="183"/>
      <c r="F7" s="30"/>
      <c r="G7" s="23" t="s">
        <v>864</v>
      </c>
      <c r="H7" s="23">
        <v>212500</v>
      </c>
      <c r="I7" s="14"/>
      <c r="J7" s="15"/>
    </row>
    <row r="8" spans="1:10">
      <c r="A8" s="22"/>
      <c r="B8" s="29"/>
      <c r="C8" s="30"/>
      <c r="D8" s="188"/>
      <c r="E8" s="30"/>
      <c r="F8" s="188"/>
      <c r="G8" s="24"/>
      <c r="H8" s="23"/>
      <c r="I8" s="30"/>
      <c r="J8" s="188"/>
    </row>
    <row r="9" spans="1:10" hidden="1">
      <c r="A9" s="193"/>
      <c r="B9" s="194"/>
      <c r="C9" s="194"/>
      <c r="D9" s="194"/>
      <c r="E9" s="194"/>
      <c r="F9" s="194"/>
      <c r="G9" s="119"/>
      <c r="H9" s="120"/>
      <c r="I9" s="193"/>
      <c r="J9" s="194"/>
    </row>
    <row r="10" spans="1:10" hidden="1">
      <c r="A10" s="68"/>
      <c r="B10" s="69"/>
      <c r="C10" s="69"/>
      <c r="D10" s="69"/>
      <c r="E10" s="69"/>
      <c r="F10" s="69"/>
      <c r="G10" s="119"/>
      <c r="H10" s="120"/>
      <c r="I10" s="68"/>
      <c r="J10" s="69"/>
    </row>
    <row r="11" spans="1:10" hidden="1">
      <c r="A11" s="68"/>
      <c r="B11" s="69"/>
      <c r="C11" s="69"/>
      <c r="D11" s="69"/>
      <c r="E11" s="69"/>
      <c r="F11" s="69"/>
      <c r="G11" s="119"/>
      <c r="H11" s="120"/>
      <c r="I11" s="68"/>
      <c r="J11" s="69"/>
    </row>
    <row r="12" spans="1:10" hidden="1">
      <c r="A12" s="68"/>
      <c r="B12" s="69"/>
      <c r="C12" s="69"/>
      <c r="D12" s="69"/>
      <c r="E12" s="69"/>
      <c r="F12" s="69"/>
      <c r="G12" s="119"/>
      <c r="H12" s="120"/>
      <c r="I12" s="68"/>
      <c r="J12" s="69"/>
    </row>
    <row r="13" spans="1:10" hidden="1">
      <c r="A13" s="68"/>
      <c r="B13" s="69"/>
      <c r="C13" s="69"/>
      <c r="D13" s="69"/>
      <c r="E13" s="69"/>
      <c r="F13" s="69"/>
      <c r="G13" s="119"/>
      <c r="H13" s="120"/>
      <c r="I13" s="68"/>
      <c r="J13" s="69"/>
    </row>
    <row r="14" spans="1:10" hidden="1">
      <c r="A14" s="68"/>
      <c r="B14" s="69"/>
      <c r="C14" s="69"/>
      <c r="D14" s="69"/>
      <c r="E14" s="69"/>
      <c r="F14" s="69"/>
      <c r="G14" s="119"/>
      <c r="H14" s="120"/>
      <c r="I14" s="68"/>
      <c r="J14" s="69"/>
    </row>
    <row r="15" spans="1:10" hidden="1">
      <c r="A15" s="68"/>
      <c r="B15" s="69"/>
      <c r="C15" s="69"/>
      <c r="D15" s="69"/>
      <c r="E15" s="69"/>
      <c r="F15" s="69"/>
      <c r="G15" s="119"/>
      <c r="H15" s="120"/>
      <c r="I15" s="68"/>
      <c r="J15" s="69"/>
    </row>
    <row r="16" spans="1:10" hidden="1">
      <c r="A16" s="68"/>
      <c r="B16" s="69"/>
      <c r="C16" s="69"/>
      <c r="D16" s="69"/>
      <c r="E16" s="69"/>
      <c r="F16" s="69"/>
      <c r="G16" s="23"/>
      <c r="H16" s="23"/>
      <c r="I16" s="68"/>
      <c r="J16" s="69"/>
    </row>
    <row r="17" spans="1:12" hidden="1">
      <c r="A17" s="68"/>
      <c r="B17" s="69"/>
      <c r="C17" s="69"/>
      <c r="D17" s="69"/>
      <c r="E17" s="69"/>
      <c r="F17" s="69"/>
      <c r="G17" s="119"/>
      <c r="H17" s="120"/>
      <c r="I17" s="68"/>
      <c r="J17" s="69"/>
    </row>
    <row r="18" spans="1:12">
      <c r="A18" s="70"/>
      <c r="B18" s="71">
        <f>SUM(B2:B16)</f>
        <v>11775000</v>
      </c>
      <c r="C18" s="71">
        <f t="shared" ref="C18:J18" si="0">SUM(C2:C16)</f>
        <v>0</v>
      </c>
      <c r="D18" s="71">
        <f t="shared" si="0"/>
        <v>1005000</v>
      </c>
      <c r="E18" s="71">
        <f t="shared" si="0"/>
        <v>0</v>
      </c>
      <c r="F18" s="71">
        <f t="shared" si="0"/>
        <v>220000</v>
      </c>
      <c r="G18" s="71">
        <f t="shared" si="0"/>
        <v>0</v>
      </c>
      <c r="H18" s="71">
        <f>SUM(H2:H16)</f>
        <v>100671850</v>
      </c>
      <c r="I18" s="71">
        <f t="shared" si="0"/>
        <v>0</v>
      </c>
      <c r="J18" s="71">
        <f t="shared" si="0"/>
        <v>516000</v>
      </c>
      <c r="L18" s="72">
        <f>SUM(B18:K18)</f>
        <v>114187850</v>
      </c>
    </row>
    <row r="21" spans="1:12">
      <c r="H21">
        <f>220+54+400+47+15</f>
        <v>736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142"/>
  <sheetViews>
    <sheetView workbookViewId="0"/>
  </sheetViews>
  <sheetFormatPr defaultRowHeight="15"/>
  <cols>
    <col min="3" max="3" width="49" customWidth="1"/>
    <col min="4" max="4" width="12" bestFit="1" customWidth="1"/>
    <col min="6" max="6" width="8.42578125" customWidth="1"/>
    <col min="8" max="8" width="12" bestFit="1" customWidth="1"/>
    <col min="10" max="10" width="10.5703125" bestFit="1" customWidth="1"/>
    <col min="12" max="12" width="55.7109375" bestFit="1" customWidth="1"/>
    <col min="13" max="13" width="12" bestFit="1" customWidth="1"/>
    <col min="17" max="17" width="12" bestFit="1" customWidth="1"/>
    <col min="18" max="18" width="11.5703125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916</v>
      </c>
      <c r="B2" s="2"/>
      <c r="C2" s="3"/>
      <c r="D2" s="3"/>
      <c r="E2" s="3"/>
      <c r="F2" s="3"/>
      <c r="G2" s="3"/>
      <c r="H2" s="3"/>
      <c r="J2" s="1" t="s">
        <v>916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275336898</v>
      </c>
      <c r="E4" s="6"/>
      <c r="F4" s="6"/>
      <c r="G4" s="6"/>
      <c r="H4" s="6"/>
      <c r="J4" s="4"/>
      <c r="K4" s="5"/>
      <c r="L4" s="6" t="s">
        <v>2</v>
      </c>
      <c r="M4" s="7">
        <v>275336898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 t="s">
        <v>849</v>
      </c>
      <c r="E5" s="6"/>
      <c r="F5" s="6"/>
      <c r="G5" s="6"/>
      <c r="H5" s="6"/>
      <c r="J5" s="4"/>
      <c r="K5" s="5"/>
      <c r="L5" s="6" t="s">
        <v>590</v>
      </c>
      <c r="M5" s="7" t="s">
        <v>849</v>
      </c>
      <c r="N5" s="6"/>
      <c r="O5" s="6"/>
      <c r="P5" s="6"/>
      <c r="Q5" s="6"/>
    </row>
    <row r="6" spans="1:17">
      <c r="A6" s="4"/>
      <c r="B6" s="5"/>
      <c r="C6" s="6" t="s">
        <v>3</v>
      </c>
      <c r="D6" s="8">
        <v>30917815</v>
      </c>
      <c r="E6" s="6"/>
      <c r="F6" s="6"/>
      <c r="G6" s="6"/>
      <c r="H6" s="6"/>
      <c r="J6" s="4"/>
      <c r="K6" s="5"/>
      <c r="L6" s="6" t="s">
        <v>3</v>
      </c>
      <c r="M6" s="8">
        <v>30917815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1139810</v>
      </c>
      <c r="E7" s="6"/>
      <c r="F7" s="6"/>
      <c r="G7" s="6"/>
      <c r="H7" s="6"/>
      <c r="J7" s="4"/>
      <c r="K7" s="5"/>
      <c r="L7" s="6" t="s">
        <v>4</v>
      </c>
      <c r="M7" s="115">
        <v>1139810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J10" s="4"/>
      <c r="K10" s="5"/>
      <c r="L10" s="6" t="s">
        <v>7</v>
      </c>
      <c r="M10" s="6">
        <v>2363662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917</v>
      </c>
      <c r="B12" s="532"/>
      <c r="C12" s="532"/>
      <c r="D12" s="532"/>
      <c r="E12" s="532"/>
      <c r="F12" s="532"/>
      <c r="G12" s="533"/>
      <c r="H12" s="10">
        <f>SUM(D4:D10)</f>
        <v>314202073.51333332</v>
      </c>
      <c r="J12" s="531" t="s">
        <v>917</v>
      </c>
      <c r="K12" s="532"/>
      <c r="L12" s="532"/>
      <c r="M12" s="532"/>
      <c r="N12" s="532"/>
      <c r="O12" s="532"/>
      <c r="P12" s="533"/>
      <c r="Q12" s="10">
        <f>SUM(M4:M10)</f>
        <v>314202073.51333332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308" t="s">
        <v>14</v>
      </c>
      <c r="F15" s="308" t="s">
        <v>15</v>
      </c>
      <c r="G15" s="308" t="s">
        <v>16</v>
      </c>
      <c r="H15" s="308" t="s">
        <v>17</v>
      </c>
      <c r="J15" s="536"/>
      <c r="K15" s="537"/>
      <c r="L15" s="538"/>
      <c r="M15" s="538"/>
      <c r="N15" s="314" t="s">
        <v>14</v>
      </c>
      <c r="O15" s="314" t="s">
        <v>15</v>
      </c>
      <c r="P15" s="314" t="s">
        <v>16</v>
      </c>
      <c r="Q15" s="314" t="s">
        <v>17</v>
      </c>
    </row>
    <row r="16" spans="1:17">
      <c r="A16" s="12"/>
      <c r="B16" s="19" t="s">
        <v>883</v>
      </c>
      <c r="C16" s="14" t="s">
        <v>494</v>
      </c>
      <c r="D16" s="15">
        <v>48000</v>
      </c>
      <c r="E16" s="168"/>
      <c r="F16" s="168"/>
      <c r="G16" s="168"/>
      <c r="H16" s="168"/>
      <c r="J16" s="12"/>
      <c r="K16" s="19" t="s">
        <v>883</v>
      </c>
      <c r="L16" s="14" t="s">
        <v>494</v>
      </c>
      <c r="M16" s="15">
        <v>48000</v>
      </c>
      <c r="N16" s="168"/>
      <c r="O16" s="168"/>
      <c r="P16" s="168"/>
      <c r="Q16" s="168"/>
    </row>
    <row r="17" spans="1:17">
      <c r="A17" s="12"/>
      <c r="B17" s="19" t="s">
        <v>883</v>
      </c>
      <c r="C17" s="14" t="s">
        <v>918</v>
      </c>
      <c r="D17" s="15">
        <v>3500000</v>
      </c>
      <c r="E17" s="16"/>
      <c r="F17" s="16"/>
      <c r="G17" s="16"/>
      <c r="H17" s="16"/>
      <c r="J17" s="12"/>
      <c r="K17" s="19" t="s">
        <v>883</v>
      </c>
      <c r="L17" s="14" t="s">
        <v>918</v>
      </c>
      <c r="M17" s="15">
        <v>3500000</v>
      </c>
      <c r="N17" s="16"/>
      <c r="O17" s="16"/>
      <c r="P17" s="16"/>
      <c r="Q17" s="16"/>
    </row>
    <row r="18" spans="1:17">
      <c r="A18" s="12"/>
      <c r="B18" s="19" t="s">
        <v>883</v>
      </c>
      <c r="C18" s="14" t="s">
        <v>874</v>
      </c>
      <c r="D18" s="15">
        <v>1700000</v>
      </c>
      <c r="E18" s="16"/>
      <c r="F18" s="16"/>
      <c r="G18" s="16"/>
      <c r="H18" s="16"/>
      <c r="J18" s="12"/>
      <c r="K18" s="19" t="s">
        <v>883</v>
      </c>
      <c r="L18" s="14" t="s">
        <v>874</v>
      </c>
      <c r="M18" s="15">
        <v>1700000</v>
      </c>
      <c r="N18" s="16"/>
      <c r="O18" s="16"/>
      <c r="P18" s="16"/>
      <c r="Q18" s="16"/>
    </row>
    <row r="19" spans="1:17">
      <c r="A19" s="12"/>
      <c r="B19" s="19" t="s">
        <v>883</v>
      </c>
      <c r="C19" s="14" t="s">
        <v>875</v>
      </c>
      <c r="D19" s="15">
        <v>600000</v>
      </c>
      <c r="E19" s="16"/>
      <c r="F19" s="16"/>
      <c r="G19" s="16"/>
      <c r="H19" s="16"/>
      <c r="J19" s="12"/>
      <c r="K19" s="19" t="s">
        <v>883</v>
      </c>
      <c r="L19" s="14" t="s">
        <v>875</v>
      </c>
      <c r="M19" s="15">
        <v>600000</v>
      </c>
      <c r="N19" s="16"/>
      <c r="O19" s="16"/>
      <c r="P19" s="16"/>
      <c r="Q19" s="16"/>
    </row>
    <row r="20" spans="1:17">
      <c r="A20" s="12"/>
      <c r="B20" s="19" t="s">
        <v>883</v>
      </c>
      <c r="C20" s="14" t="s">
        <v>876</v>
      </c>
      <c r="D20" s="15">
        <v>16000</v>
      </c>
      <c r="E20" s="16"/>
      <c r="F20" s="16"/>
      <c r="G20" s="16"/>
      <c r="H20" s="16"/>
      <c r="J20" s="12"/>
      <c r="K20" s="19" t="s">
        <v>883</v>
      </c>
      <c r="L20" s="14" t="s">
        <v>876</v>
      </c>
      <c r="M20" s="15">
        <v>16000</v>
      </c>
      <c r="N20" s="16"/>
      <c r="O20" s="16"/>
      <c r="P20" s="16"/>
      <c r="Q20" s="16"/>
    </row>
    <row r="21" spans="1:17">
      <c r="A21" s="12"/>
      <c r="B21" s="19" t="s">
        <v>883</v>
      </c>
      <c r="C21" s="14" t="s">
        <v>846</v>
      </c>
      <c r="D21" s="15">
        <v>150000</v>
      </c>
      <c r="E21" s="16"/>
      <c r="F21" s="16"/>
      <c r="G21" s="16"/>
      <c r="H21" s="16"/>
      <c r="J21" s="12"/>
      <c r="K21" s="19" t="s">
        <v>883</v>
      </c>
      <c r="L21" s="14" t="s">
        <v>846</v>
      </c>
      <c r="M21" s="15">
        <v>150000</v>
      </c>
      <c r="N21" s="16"/>
      <c r="O21" s="16"/>
      <c r="P21" s="16"/>
      <c r="Q21" s="16"/>
    </row>
    <row r="22" spans="1:17">
      <c r="A22" s="12"/>
      <c r="B22" s="19" t="s">
        <v>883</v>
      </c>
      <c r="C22" s="14" t="s">
        <v>884</v>
      </c>
      <c r="D22" s="15">
        <v>150000</v>
      </c>
      <c r="E22" s="16"/>
      <c r="F22" s="16"/>
      <c r="G22" s="16"/>
      <c r="H22" s="16"/>
      <c r="J22" s="12"/>
      <c r="K22" s="19" t="s">
        <v>883</v>
      </c>
      <c r="L22" s="14" t="s">
        <v>884</v>
      </c>
      <c r="M22" s="15">
        <v>150000</v>
      </c>
      <c r="N22" s="16"/>
      <c r="O22" s="16"/>
      <c r="P22" s="16"/>
      <c r="Q22" s="16"/>
    </row>
    <row r="23" spans="1:17">
      <c r="A23" s="12"/>
      <c r="B23" s="19" t="s">
        <v>886</v>
      </c>
      <c r="C23" s="14" t="s">
        <v>885</v>
      </c>
      <c r="D23" s="15">
        <v>2000000</v>
      </c>
      <c r="E23" s="16"/>
      <c r="F23" s="16"/>
      <c r="G23" s="16"/>
      <c r="H23" s="16"/>
      <c r="J23" s="12"/>
      <c r="K23" s="19" t="s">
        <v>886</v>
      </c>
      <c r="L23" s="14" t="s">
        <v>885</v>
      </c>
      <c r="M23" s="15">
        <v>2000000</v>
      </c>
      <c r="N23" s="16"/>
      <c r="O23" s="16"/>
      <c r="P23" s="16"/>
      <c r="Q23" s="16"/>
    </row>
    <row r="24" spans="1:17">
      <c r="A24" s="12"/>
      <c r="B24" s="19"/>
      <c r="C24" s="14"/>
      <c r="D24" s="15"/>
      <c r="E24" s="16"/>
      <c r="F24" s="16"/>
      <c r="G24" s="16"/>
      <c r="H24" s="16"/>
      <c r="J24" s="12"/>
      <c r="K24" s="19"/>
      <c r="L24" s="14"/>
      <c r="M24" s="15"/>
      <c r="N24" s="16"/>
      <c r="O24" s="16"/>
      <c r="P24" s="16"/>
      <c r="Q24" s="16"/>
    </row>
    <row r="25" spans="1:17" hidden="1">
      <c r="A25" s="12"/>
      <c r="B25" s="19"/>
      <c r="C25" s="14"/>
      <c r="D25" s="15"/>
      <c r="E25" s="16"/>
      <c r="F25" s="16"/>
      <c r="G25" s="16"/>
      <c r="H25" s="16"/>
      <c r="J25" s="12"/>
      <c r="K25" s="19"/>
      <c r="L25" s="14"/>
      <c r="M25" s="15"/>
      <c r="N25" s="16"/>
      <c r="O25" s="16"/>
      <c r="P25" s="16"/>
      <c r="Q25" s="16"/>
    </row>
    <row r="26" spans="1:17" hidden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7" hidden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7" hidden="1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308" t="s">
        <v>20</v>
      </c>
      <c r="D29" s="10">
        <f>SUM(D16:D27)</f>
        <v>8164000</v>
      </c>
      <c r="E29" s="10"/>
      <c r="F29" s="10"/>
      <c r="G29" s="10"/>
      <c r="H29" s="10"/>
      <c r="J29" s="18"/>
      <c r="K29" s="19"/>
      <c r="L29" s="314" t="s">
        <v>20</v>
      </c>
      <c r="M29" s="10">
        <f>SUM(M16:M27)</f>
        <v>8164000</v>
      </c>
      <c r="N29" s="10"/>
      <c r="O29" s="10"/>
      <c r="P29" s="10"/>
      <c r="Q29" s="10"/>
    </row>
    <row r="30" spans="1:17">
      <c r="A30" s="20"/>
      <c r="B30" s="306"/>
      <c r="C30" s="152" t="s">
        <v>21</v>
      </c>
      <c r="D30" s="150"/>
      <c r="E30" s="150"/>
      <c r="F30" s="150"/>
      <c r="G30" s="151"/>
      <c r="H30" s="21">
        <f>+D29</f>
        <v>8164000</v>
      </c>
      <c r="J30" s="20"/>
      <c r="K30" s="312"/>
      <c r="L30" s="152" t="s">
        <v>21</v>
      </c>
      <c r="M30" s="150"/>
      <c r="N30" s="150"/>
      <c r="O30" s="150"/>
      <c r="P30" s="151"/>
      <c r="Q30" s="21">
        <f>+M29</f>
        <v>8164000</v>
      </c>
    </row>
    <row r="31" spans="1:17">
      <c r="A31" s="526" t="s">
        <v>22</v>
      </c>
      <c r="B31" s="526"/>
      <c r="C31" s="526"/>
      <c r="D31" s="526"/>
      <c r="E31" s="526">
        <f>+H30</f>
        <v>8164000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8164000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8">
      <c r="A33" s="12"/>
      <c r="B33" s="19" t="s">
        <v>879</v>
      </c>
      <c r="C33" s="15" t="s">
        <v>877</v>
      </c>
      <c r="D33" s="23">
        <v>20000</v>
      </c>
      <c r="E33" s="22"/>
      <c r="F33" s="22"/>
      <c r="G33" s="16"/>
      <c r="H33" s="16"/>
      <c r="J33" s="12"/>
      <c r="K33" s="19" t="s">
        <v>879</v>
      </c>
      <c r="L33" s="15" t="s">
        <v>877</v>
      </c>
      <c r="M33" s="23">
        <v>20000</v>
      </c>
      <c r="N33" s="22"/>
      <c r="O33" s="22"/>
      <c r="P33" s="16"/>
      <c r="Q33" s="16"/>
    </row>
    <row r="34" spans="1:18">
      <c r="A34" s="12"/>
      <c r="B34" s="19" t="s">
        <v>879</v>
      </c>
      <c r="C34" s="15" t="s">
        <v>878</v>
      </c>
      <c r="D34" s="22">
        <v>63000</v>
      </c>
      <c r="E34" s="22"/>
      <c r="F34" s="22"/>
      <c r="G34" s="16"/>
      <c r="H34" s="16"/>
      <c r="J34" s="12"/>
      <c r="K34" s="19" t="s">
        <v>879</v>
      </c>
      <c r="L34" s="15" t="s">
        <v>878</v>
      </c>
      <c r="M34" s="22">
        <v>63000</v>
      </c>
      <c r="N34" s="22"/>
      <c r="O34" s="22"/>
      <c r="P34" s="16"/>
      <c r="Q34" s="16"/>
    </row>
    <row r="35" spans="1:18">
      <c r="A35" s="12"/>
      <c r="B35" s="19" t="s">
        <v>887</v>
      </c>
      <c r="C35" s="15" t="s">
        <v>888</v>
      </c>
      <c r="D35" s="22">
        <v>120000</v>
      </c>
      <c r="E35" s="22"/>
      <c r="F35" s="22"/>
      <c r="G35" s="16"/>
      <c r="H35" s="16"/>
      <c r="J35" s="12"/>
      <c r="K35" s="19" t="s">
        <v>887</v>
      </c>
      <c r="L35" s="15" t="s">
        <v>888</v>
      </c>
      <c r="M35" s="22">
        <v>120000</v>
      </c>
      <c r="N35" s="22"/>
      <c r="O35" s="22"/>
      <c r="P35" s="16"/>
      <c r="Q35" s="16"/>
    </row>
    <row r="36" spans="1:18">
      <c r="A36" s="12"/>
      <c r="B36" s="19" t="s">
        <v>887</v>
      </c>
      <c r="C36" s="15" t="s">
        <v>889</v>
      </c>
      <c r="D36" s="23">
        <v>650000</v>
      </c>
      <c r="E36" s="22"/>
      <c r="F36" s="22"/>
      <c r="G36" s="16"/>
      <c r="H36" s="16"/>
      <c r="J36" s="12"/>
      <c r="K36" s="19" t="s">
        <v>887</v>
      </c>
      <c r="L36" s="15" t="s">
        <v>889</v>
      </c>
      <c r="M36" s="23">
        <v>650000</v>
      </c>
      <c r="N36" s="22"/>
      <c r="O36" s="22"/>
      <c r="P36" s="16"/>
      <c r="Q36" s="16"/>
    </row>
    <row r="37" spans="1:18">
      <c r="A37" s="12"/>
      <c r="B37" s="19" t="s">
        <v>890</v>
      </c>
      <c r="C37" s="15" t="s">
        <v>891</v>
      </c>
      <c r="D37" s="23">
        <v>320000</v>
      </c>
      <c r="E37" s="22"/>
      <c r="F37" s="22"/>
      <c r="G37" s="16"/>
      <c r="H37" s="16"/>
      <c r="J37" s="12"/>
      <c r="K37" s="19" t="s">
        <v>890</v>
      </c>
      <c r="L37" s="15" t="s">
        <v>891</v>
      </c>
      <c r="M37" s="23">
        <v>320000</v>
      </c>
      <c r="N37" s="22"/>
      <c r="O37" s="22"/>
      <c r="P37" s="16"/>
      <c r="Q37" s="16"/>
    </row>
    <row r="38" spans="1:18">
      <c r="A38" s="12"/>
      <c r="B38" s="19"/>
      <c r="C38" s="15"/>
      <c r="D38" s="23"/>
      <c r="E38" s="22"/>
      <c r="F38" s="22"/>
      <c r="G38" s="16"/>
      <c r="H38" s="16"/>
      <c r="J38" s="12"/>
      <c r="K38" s="19"/>
      <c r="L38" s="15"/>
      <c r="M38" s="23"/>
      <c r="N38" s="22"/>
      <c r="O38" s="22"/>
      <c r="P38" s="16"/>
      <c r="Q38" s="16"/>
    </row>
    <row r="39" spans="1:18" hidden="1">
      <c r="A39" s="12"/>
      <c r="B39" s="19"/>
      <c r="C39" s="15"/>
      <c r="D39" s="23"/>
      <c r="E39" s="22"/>
      <c r="F39" s="22"/>
      <c r="G39" s="16"/>
      <c r="H39" s="16"/>
      <c r="J39" s="12"/>
      <c r="K39" s="19"/>
      <c r="L39" s="15"/>
      <c r="M39" s="23"/>
      <c r="N39" s="22"/>
      <c r="O39" s="22"/>
      <c r="P39" s="16"/>
      <c r="Q39" s="16"/>
      <c r="R39" s="77"/>
    </row>
    <row r="40" spans="1:18" hidden="1">
      <c r="A40" s="12"/>
      <c r="B40" s="19"/>
      <c r="C40" s="15"/>
      <c r="D40" s="23"/>
      <c r="E40" s="22"/>
      <c r="F40" s="22"/>
      <c r="G40" s="16"/>
      <c r="H40" s="16"/>
      <c r="J40" s="12"/>
      <c r="K40" s="19"/>
      <c r="L40" s="15"/>
      <c r="M40" s="23"/>
      <c r="N40" s="22"/>
      <c r="O40" s="22"/>
      <c r="P40" s="16"/>
      <c r="Q40" s="16"/>
    </row>
    <row r="41" spans="1:18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8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  <c r="R42" s="77"/>
    </row>
    <row r="43" spans="1:18" hidden="1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8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8" hidden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  <c r="R45" s="77"/>
    </row>
    <row r="46" spans="1:18" hidden="1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8" hidden="1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8" hidden="1">
      <c r="A48" s="12"/>
      <c r="B48" s="13"/>
      <c r="C48" s="15"/>
      <c r="D48" s="23"/>
      <c r="E48" s="22"/>
      <c r="F48" s="22"/>
      <c r="G48" s="16"/>
      <c r="H48" s="16"/>
      <c r="J48" s="12"/>
      <c r="K48" s="13"/>
      <c r="L48" s="15"/>
      <c r="M48" s="23"/>
      <c r="N48" s="22"/>
      <c r="O48" s="22"/>
      <c r="P48" s="16"/>
      <c r="Q48" s="16"/>
    </row>
    <row r="49" spans="1:17">
      <c r="A49" s="25"/>
      <c r="B49" s="19"/>
      <c r="C49" s="26" t="s">
        <v>24</v>
      </c>
      <c r="D49" s="27">
        <f>SUM(D33:D48)</f>
        <v>1173000</v>
      </c>
      <c r="E49" s="27"/>
      <c r="F49" s="27"/>
      <c r="G49" s="27"/>
      <c r="H49" s="27"/>
      <c r="J49" s="25"/>
      <c r="K49" s="19"/>
      <c r="L49" s="26" t="s">
        <v>24</v>
      </c>
      <c r="M49" s="27">
        <f>SUM(M33:M48)</f>
        <v>1173000</v>
      </c>
      <c r="N49" s="27"/>
      <c r="O49" s="27"/>
      <c r="P49" s="27"/>
      <c r="Q49" s="27"/>
    </row>
    <row r="50" spans="1:17">
      <c r="A50" s="20"/>
      <c r="B50" s="19"/>
      <c r="C50" s="308" t="s">
        <v>21</v>
      </c>
      <c r="D50" s="10"/>
      <c r="E50" s="530">
        <f>D49</f>
        <v>1173000</v>
      </c>
      <c r="F50" s="530"/>
      <c r="G50" s="530"/>
      <c r="H50" s="530"/>
      <c r="J50" s="20"/>
      <c r="K50" s="19"/>
      <c r="L50" s="314" t="s">
        <v>21</v>
      </c>
      <c r="M50" s="10"/>
      <c r="N50" s="530">
        <f>M49</f>
        <v>1173000</v>
      </c>
      <c r="O50" s="530"/>
      <c r="P50" s="530"/>
      <c r="Q50" s="530"/>
    </row>
    <row r="51" spans="1:17" hidden="1">
      <c r="A51" s="524" t="s">
        <v>349</v>
      </c>
      <c r="B51" s="524"/>
      <c r="C51" s="524"/>
      <c r="D51" s="524"/>
      <c r="E51" s="524"/>
      <c r="F51" s="524"/>
      <c r="G51" s="524"/>
      <c r="H51" s="524"/>
      <c r="J51" s="524" t="s">
        <v>349</v>
      </c>
      <c r="K51" s="524"/>
      <c r="L51" s="524"/>
      <c r="M51" s="524"/>
      <c r="N51" s="524"/>
      <c r="O51" s="524"/>
      <c r="P51" s="524"/>
      <c r="Q51" s="524"/>
    </row>
    <row r="52" spans="1:17" hidden="1">
      <c r="A52" s="28"/>
      <c r="B52" s="23" t="s">
        <v>717</v>
      </c>
      <c r="C52" s="23" t="s">
        <v>749</v>
      </c>
      <c r="D52" s="23"/>
      <c r="E52" s="28"/>
      <c r="F52" s="28"/>
      <c r="G52" s="28"/>
      <c r="H52" s="28"/>
      <c r="J52" s="28"/>
      <c r="K52" s="23" t="s">
        <v>717</v>
      </c>
      <c r="L52" s="23" t="s">
        <v>749</v>
      </c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idden="1">
      <c r="A54" s="12"/>
      <c r="B54" s="13"/>
      <c r="C54" s="26" t="s">
        <v>448</v>
      </c>
      <c r="D54" s="27">
        <f>SUM(D52:D53)</f>
        <v>0</v>
      </c>
      <c r="E54" s="27">
        <v>0</v>
      </c>
      <c r="F54" s="27">
        <v>0</v>
      </c>
      <c r="G54" s="27"/>
      <c r="H54" s="27"/>
      <c r="J54" s="12"/>
      <c r="K54" s="13"/>
      <c r="L54" s="26" t="s">
        <v>448</v>
      </c>
      <c r="M54" s="27">
        <f>SUM(M52:M53)</f>
        <v>0</v>
      </c>
      <c r="N54" s="27">
        <v>0</v>
      </c>
      <c r="O54" s="27">
        <v>0</v>
      </c>
      <c r="P54" s="27"/>
      <c r="Q54" s="27"/>
    </row>
    <row r="55" spans="1:17" hidden="1">
      <c r="A55" s="20"/>
      <c r="B55" s="19"/>
      <c r="C55" s="308" t="s">
        <v>21</v>
      </c>
      <c r="D55" s="10"/>
      <c r="E55" s="530">
        <f>D54</f>
        <v>0</v>
      </c>
      <c r="F55" s="530"/>
      <c r="G55" s="530"/>
      <c r="H55" s="530"/>
      <c r="J55" s="20"/>
      <c r="K55" s="19"/>
      <c r="L55" s="314" t="s">
        <v>21</v>
      </c>
      <c r="M55" s="10"/>
      <c r="N55" s="530">
        <f>M54</f>
        <v>0</v>
      </c>
      <c r="O55" s="530"/>
      <c r="P55" s="530"/>
      <c r="Q55" s="530"/>
    </row>
    <row r="56" spans="1:17">
      <c r="A56" s="524" t="s">
        <v>895</v>
      </c>
      <c r="B56" s="524"/>
      <c r="C56" s="524"/>
      <c r="D56" s="524"/>
      <c r="E56" s="524"/>
      <c r="F56" s="524"/>
      <c r="G56" s="524"/>
      <c r="H56" s="524"/>
      <c r="J56" s="524" t="s">
        <v>895</v>
      </c>
      <c r="K56" s="524"/>
      <c r="L56" s="524"/>
      <c r="M56" s="524"/>
      <c r="N56" s="524"/>
      <c r="O56" s="524"/>
      <c r="P56" s="524"/>
      <c r="Q56" s="524"/>
    </row>
    <row r="57" spans="1:17">
      <c r="A57" s="28"/>
      <c r="B57" s="19" t="s">
        <v>892</v>
      </c>
      <c r="C57" s="23" t="s">
        <v>894</v>
      </c>
      <c r="D57" s="23">
        <v>135000</v>
      </c>
      <c r="E57" s="28"/>
      <c r="F57" s="28"/>
      <c r="G57" s="28"/>
      <c r="H57" s="28"/>
      <c r="J57" s="28"/>
      <c r="K57" s="19" t="s">
        <v>892</v>
      </c>
      <c r="L57" s="23" t="s">
        <v>894</v>
      </c>
      <c r="M57" s="23">
        <v>135000</v>
      </c>
      <c r="N57" s="28"/>
      <c r="O57" s="28"/>
      <c r="P57" s="28"/>
      <c r="Q57" s="28"/>
    </row>
    <row r="58" spans="1:17">
      <c r="A58" s="28"/>
      <c r="B58" s="19" t="s">
        <v>893</v>
      </c>
      <c r="C58" s="23" t="s">
        <v>897</v>
      </c>
      <c r="D58" s="23">
        <v>150000</v>
      </c>
      <c r="E58" s="28"/>
      <c r="F58" s="28"/>
      <c r="G58" s="28"/>
      <c r="H58" s="28"/>
      <c r="J58" s="28"/>
      <c r="K58" s="19" t="s">
        <v>893</v>
      </c>
      <c r="L58" s="23" t="s">
        <v>897</v>
      </c>
      <c r="M58" s="23">
        <v>150000</v>
      </c>
      <c r="N58" s="28"/>
      <c r="O58" s="28"/>
      <c r="P58" s="28"/>
      <c r="Q58" s="28"/>
    </row>
    <row r="59" spans="1:17">
      <c r="A59" s="28"/>
      <c r="B59" s="19" t="s">
        <v>899</v>
      </c>
      <c r="C59" s="23" t="s">
        <v>898</v>
      </c>
      <c r="D59" s="23">
        <v>750000</v>
      </c>
      <c r="E59" s="28"/>
      <c r="F59" s="28"/>
      <c r="G59" s="28"/>
      <c r="H59" s="28"/>
      <c r="J59" s="28"/>
      <c r="K59" s="19" t="s">
        <v>899</v>
      </c>
      <c r="L59" s="23" t="s">
        <v>898</v>
      </c>
      <c r="M59" s="23">
        <v>750000</v>
      </c>
      <c r="N59" s="28"/>
      <c r="O59" s="28"/>
      <c r="P59" s="28"/>
      <c r="Q59" s="28"/>
    </row>
    <row r="60" spans="1:17">
      <c r="A60" s="28"/>
      <c r="B60" s="23" t="s">
        <v>899</v>
      </c>
      <c r="C60" s="23" t="s">
        <v>927</v>
      </c>
      <c r="D60" s="23">
        <f>180000+130000</f>
        <v>310000</v>
      </c>
      <c r="E60" s="28"/>
      <c r="F60" s="28"/>
      <c r="G60" s="28"/>
      <c r="H60" s="28"/>
      <c r="J60" s="28"/>
      <c r="K60" s="23" t="s">
        <v>899</v>
      </c>
      <c r="L60" s="23" t="s">
        <v>927</v>
      </c>
      <c r="M60" s="23">
        <f>180000+130000</f>
        <v>310000</v>
      </c>
      <c r="N60" s="28"/>
      <c r="O60" s="28"/>
      <c r="P60" s="28"/>
      <c r="Q60" s="28"/>
    </row>
    <row r="61" spans="1:17">
      <c r="A61" s="28"/>
      <c r="B61" s="23"/>
      <c r="C61" s="23"/>
      <c r="D61" s="23"/>
      <c r="E61" s="28"/>
      <c r="F61" s="28"/>
      <c r="G61" s="28"/>
      <c r="H61" s="28"/>
      <c r="J61" s="28"/>
      <c r="K61" s="23"/>
      <c r="L61" s="23"/>
      <c r="M61" s="23"/>
      <c r="N61" s="28"/>
      <c r="O61" s="28"/>
      <c r="P61" s="28"/>
      <c r="Q61" s="28"/>
    </row>
    <row r="62" spans="1:17">
      <c r="A62" s="12"/>
      <c r="B62" s="13"/>
      <c r="C62" s="26" t="s">
        <v>896</v>
      </c>
      <c r="D62" s="27">
        <f>SUM(D57:D60)</f>
        <v>1345000</v>
      </c>
      <c r="E62" s="27">
        <v>0</v>
      </c>
      <c r="F62" s="27">
        <v>0</v>
      </c>
      <c r="G62" s="27"/>
      <c r="H62" s="27"/>
      <c r="J62" s="12"/>
      <c r="K62" s="13"/>
      <c r="L62" s="26" t="s">
        <v>896</v>
      </c>
      <c r="M62" s="27">
        <f>SUM(M57:M60)</f>
        <v>1345000</v>
      </c>
      <c r="N62" s="27">
        <v>0</v>
      </c>
      <c r="O62" s="27">
        <v>0</v>
      </c>
      <c r="P62" s="27"/>
      <c r="Q62" s="27"/>
    </row>
    <row r="63" spans="1:17">
      <c r="A63" s="20"/>
      <c r="B63" s="19"/>
      <c r="C63" s="308" t="s">
        <v>21</v>
      </c>
      <c r="D63" s="10"/>
      <c r="E63" s="530">
        <f>D62</f>
        <v>1345000</v>
      </c>
      <c r="F63" s="530"/>
      <c r="G63" s="530"/>
      <c r="H63" s="530"/>
      <c r="J63" s="20"/>
      <c r="K63" s="19"/>
      <c r="L63" s="314" t="s">
        <v>21</v>
      </c>
      <c r="M63" s="10"/>
      <c r="N63" s="530">
        <f>M62</f>
        <v>1345000</v>
      </c>
      <c r="O63" s="530"/>
      <c r="P63" s="530"/>
      <c r="Q63" s="530"/>
    </row>
    <row r="64" spans="1:17">
      <c r="A64" s="524" t="s">
        <v>54</v>
      </c>
      <c r="B64" s="524"/>
      <c r="C64" s="524"/>
      <c r="D64" s="524"/>
      <c r="E64" s="524"/>
      <c r="F64" s="524"/>
      <c r="G64" s="524"/>
      <c r="H64" s="524"/>
      <c r="J64" s="524" t="s">
        <v>54</v>
      </c>
      <c r="K64" s="524"/>
      <c r="L64" s="524"/>
      <c r="M64" s="524"/>
      <c r="N64" s="524"/>
      <c r="O64" s="524"/>
      <c r="P64" s="524"/>
      <c r="Q64" s="524"/>
    </row>
    <row r="65" spans="1:17">
      <c r="A65" s="28"/>
      <c r="B65" s="23" t="s">
        <v>880</v>
      </c>
      <c r="C65" s="23" t="s">
        <v>881</v>
      </c>
      <c r="D65" s="23">
        <f>450000+32375000+18084600+1220000+800000+5800000+2300000</f>
        <v>61029600</v>
      </c>
      <c r="E65" s="28"/>
      <c r="F65" s="28"/>
      <c r="G65" s="28"/>
      <c r="H65" s="28"/>
      <c r="J65" s="28"/>
      <c r="K65" s="23" t="s">
        <v>880</v>
      </c>
      <c r="L65" s="23" t="s">
        <v>881</v>
      </c>
      <c r="M65" s="23">
        <f>450000+32375000+18084600+1220000+800000+5800000+2300000</f>
        <v>61029600</v>
      </c>
      <c r="N65" s="28"/>
      <c r="O65" s="28"/>
      <c r="P65" s="28"/>
      <c r="Q65" s="28"/>
    </row>
    <row r="66" spans="1:17">
      <c r="A66" s="28"/>
      <c r="B66" s="23" t="s">
        <v>866</v>
      </c>
      <c r="C66" s="23" t="s">
        <v>882</v>
      </c>
      <c r="D66" s="23">
        <f>4350000-3000000</f>
        <v>1350000</v>
      </c>
      <c r="E66" s="28"/>
      <c r="F66" s="28"/>
      <c r="G66" s="28"/>
      <c r="H66" s="28"/>
      <c r="J66" s="28"/>
      <c r="K66" s="23" t="s">
        <v>866</v>
      </c>
      <c r="L66" s="23" t="s">
        <v>882</v>
      </c>
      <c r="M66" s="23">
        <f>4350000-3000000</f>
        <v>1350000</v>
      </c>
      <c r="N66" s="28"/>
      <c r="O66" s="28"/>
      <c r="P66" s="28"/>
      <c r="Q66" s="28"/>
    </row>
    <row r="67" spans="1:17">
      <c r="A67" s="28"/>
      <c r="B67" s="23" t="s">
        <v>856</v>
      </c>
      <c r="C67" s="23" t="s">
        <v>926</v>
      </c>
      <c r="D67" s="23">
        <v>780000</v>
      </c>
      <c r="E67" s="28"/>
      <c r="F67" s="28"/>
      <c r="G67" s="28"/>
      <c r="H67" s="28"/>
      <c r="J67" s="28"/>
      <c r="K67" s="23" t="s">
        <v>856</v>
      </c>
      <c r="L67" s="23" t="s">
        <v>926</v>
      </c>
      <c r="M67" s="23">
        <v>780000</v>
      </c>
      <c r="N67" s="28"/>
      <c r="O67" s="28"/>
      <c r="P67" s="28"/>
      <c r="Q67" s="28"/>
    </row>
    <row r="68" spans="1:17">
      <c r="A68" s="28"/>
      <c r="B68" s="23" t="s">
        <v>900</v>
      </c>
      <c r="C68" s="23" t="s">
        <v>731</v>
      </c>
      <c r="D68" s="23">
        <v>5615000</v>
      </c>
      <c r="E68" s="28"/>
      <c r="F68" s="28"/>
      <c r="G68" s="28"/>
      <c r="H68" s="28"/>
      <c r="J68" s="28"/>
      <c r="K68" s="23" t="s">
        <v>900</v>
      </c>
      <c r="L68" s="23" t="s">
        <v>731</v>
      </c>
      <c r="M68" s="23">
        <v>5615000</v>
      </c>
      <c r="N68" s="28"/>
      <c r="O68" s="28"/>
      <c r="P68" s="28"/>
      <c r="Q68" s="28"/>
    </row>
    <row r="69" spans="1:17">
      <c r="A69" s="28"/>
      <c r="B69" s="23" t="s">
        <v>900</v>
      </c>
      <c r="C69" s="23" t="s">
        <v>901</v>
      </c>
      <c r="D69" s="23">
        <v>35000000</v>
      </c>
      <c r="E69" s="28"/>
      <c r="F69" s="28"/>
      <c r="G69" s="28"/>
      <c r="H69" s="28"/>
      <c r="J69" s="28"/>
      <c r="K69" s="23" t="s">
        <v>900</v>
      </c>
      <c r="L69" s="23" t="s">
        <v>901</v>
      </c>
      <c r="M69" s="23">
        <v>35000000</v>
      </c>
      <c r="N69" s="28"/>
      <c r="O69" s="28"/>
      <c r="P69" s="28"/>
      <c r="Q69" s="28"/>
    </row>
    <row r="70" spans="1:17">
      <c r="A70" s="28"/>
      <c r="B70" s="23" t="s">
        <v>900</v>
      </c>
      <c r="C70" s="23" t="s">
        <v>263</v>
      </c>
      <c r="D70" s="23">
        <f>220000*7</f>
        <v>1540000</v>
      </c>
      <c r="E70" s="28"/>
      <c r="F70" s="28"/>
      <c r="G70" s="28"/>
      <c r="H70" s="28"/>
      <c r="J70" s="28"/>
      <c r="K70" s="23" t="s">
        <v>900</v>
      </c>
      <c r="L70" s="23" t="s">
        <v>263</v>
      </c>
      <c r="M70" s="23">
        <f>220000*7</f>
        <v>1540000</v>
      </c>
      <c r="N70" s="28"/>
      <c r="O70" s="28"/>
      <c r="P70" s="28"/>
      <c r="Q70" s="28"/>
    </row>
    <row r="71" spans="1:17">
      <c r="A71" s="12"/>
      <c r="B71" s="23" t="s">
        <v>900</v>
      </c>
      <c r="C71" s="23" t="s">
        <v>410</v>
      </c>
      <c r="D71" s="23">
        <v>850000</v>
      </c>
      <c r="E71" s="308"/>
      <c r="F71" s="308"/>
      <c r="G71" s="308"/>
      <c r="H71" s="308"/>
      <c r="J71" s="12"/>
      <c r="K71" s="23" t="s">
        <v>900</v>
      </c>
      <c r="L71" s="23" t="s">
        <v>410</v>
      </c>
      <c r="M71" s="23">
        <v>850000</v>
      </c>
      <c r="N71" s="314"/>
      <c r="O71" s="314"/>
      <c r="P71" s="314"/>
      <c r="Q71" s="314"/>
    </row>
    <row r="72" spans="1:17">
      <c r="A72" s="12"/>
      <c r="B72" s="23" t="s">
        <v>900</v>
      </c>
      <c r="C72" s="23" t="s">
        <v>902</v>
      </c>
      <c r="D72" s="23">
        <v>300000</v>
      </c>
      <c r="E72" s="308"/>
      <c r="F72" s="308"/>
      <c r="G72" s="308"/>
      <c r="H72" s="308"/>
      <c r="J72" s="12"/>
      <c r="K72" s="23" t="s">
        <v>900</v>
      </c>
      <c r="L72" s="23" t="s">
        <v>902</v>
      </c>
      <c r="M72" s="23">
        <v>300000</v>
      </c>
      <c r="N72" s="314"/>
      <c r="O72" s="314"/>
      <c r="P72" s="314"/>
      <c r="Q72" s="314"/>
    </row>
    <row r="73" spans="1:17">
      <c r="A73" s="12"/>
      <c r="B73" s="23" t="s">
        <v>900</v>
      </c>
      <c r="C73" s="23" t="s">
        <v>903</v>
      </c>
      <c r="D73" s="23">
        <v>2450000</v>
      </c>
      <c r="E73" s="308"/>
      <c r="F73" s="308"/>
      <c r="G73" s="308"/>
      <c r="H73" s="308"/>
      <c r="J73" s="12"/>
      <c r="K73" s="23" t="s">
        <v>900</v>
      </c>
      <c r="L73" s="23" t="s">
        <v>903</v>
      </c>
      <c r="M73" s="23">
        <v>2450000</v>
      </c>
      <c r="N73" s="314"/>
      <c r="O73" s="314"/>
      <c r="P73" s="314"/>
      <c r="Q73" s="314"/>
    </row>
    <row r="74" spans="1:17">
      <c r="A74" s="12"/>
      <c r="B74" s="23" t="s">
        <v>900</v>
      </c>
      <c r="C74" s="24" t="s">
        <v>920</v>
      </c>
      <c r="D74" s="23">
        <v>1000000</v>
      </c>
      <c r="E74" s="308"/>
      <c r="F74" s="308"/>
      <c r="G74" s="308"/>
      <c r="H74" s="308"/>
      <c r="J74" s="12"/>
      <c r="K74" s="23" t="s">
        <v>900</v>
      </c>
      <c r="L74" s="24" t="s">
        <v>920</v>
      </c>
      <c r="M74" s="23">
        <v>1000000</v>
      </c>
      <c r="N74" s="314"/>
      <c r="O74" s="314"/>
      <c r="P74" s="314"/>
      <c r="Q74" s="314"/>
    </row>
    <row r="75" spans="1:17">
      <c r="A75" s="12"/>
      <c r="B75" s="23" t="s">
        <v>900</v>
      </c>
      <c r="C75" s="23" t="s">
        <v>921</v>
      </c>
      <c r="D75" s="23">
        <v>600000</v>
      </c>
      <c r="E75" s="308"/>
      <c r="F75" s="308"/>
      <c r="G75" s="308"/>
      <c r="H75" s="308"/>
      <c r="J75" s="12"/>
      <c r="K75" s="23" t="s">
        <v>900</v>
      </c>
      <c r="L75" s="23" t="s">
        <v>921</v>
      </c>
      <c r="M75" s="23">
        <v>600000</v>
      </c>
      <c r="N75" s="314"/>
      <c r="O75" s="314"/>
      <c r="P75" s="314"/>
      <c r="Q75" s="314"/>
    </row>
    <row r="76" spans="1:17">
      <c r="A76" s="12"/>
      <c r="B76" s="23" t="s">
        <v>900</v>
      </c>
      <c r="C76" s="23" t="s">
        <v>922</v>
      </c>
      <c r="D76" s="23">
        <v>500000</v>
      </c>
      <c r="E76" s="308"/>
      <c r="F76" s="308"/>
      <c r="G76" s="308"/>
      <c r="H76" s="308"/>
      <c r="J76" s="12"/>
      <c r="K76" s="23" t="s">
        <v>900</v>
      </c>
      <c r="L76" s="23" t="s">
        <v>928</v>
      </c>
      <c r="M76" s="23">
        <v>500000</v>
      </c>
      <c r="N76" s="314"/>
      <c r="O76" s="314"/>
      <c r="P76" s="314"/>
      <c r="Q76" s="314"/>
    </row>
    <row r="77" spans="1:17">
      <c r="A77" s="12"/>
      <c r="B77" s="23" t="s">
        <v>900</v>
      </c>
      <c r="C77" s="23" t="s">
        <v>923</v>
      </c>
      <c r="D77" s="23">
        <v>500000</v>
      </c>
      <c r="E77" s="308"/>
      <c r="F77" s="308"/>
      <c r="G77" s="308"/>
      <c r="H77" s="308"/>
      <c r="J77" s="12"/>
      <c r="K77" s="23" t="s">
        <v>900</v>
      </c>
      <c r="L77" s="23" t="s">
        <v>929</v>
      </c>
      <c r="M77" s="23">
        <v>500000</v>
      </c>
      <c r="N77" s="314"/>
      <c r="O77" s="314"/>
      <c r="P77" s="314"/>
      <c r="Q77" s="314"/>
    </row>
    <row r="78" spans="1:17">
      <c r="A78" s="12"/>
      <c r="B78" s="23" t="s">
        <v>900</v>
      </c>
      <c r="C78" s="23" t="s">
        <v>924</v>
      </c>
      <c r="D78" s="23">
        <v>210000</v>
      </c>
      <c r="E78" s="308"/>
      <c r="F78" s="308"/>
      <c r="G78" s="308"/>
      <c r="H78" s="308"/>
      <c r="J78" s="12"/>
      <c r="K78" s="23" t="s">
        <v>900</v>
      </c>
      <c r="L78" s="23" t="s">
        <v>924</v>
      </c>
      <c r="M78" s="23">
        <v>210000</v>
      </c>
      <c r="N78" s="314"/>
      <c r="O78" s="314"/>
      <c r="P78" s="314"/>
      <c r="Q78" s="314"/>
    </row>
    <row r="79" spans="1:17">
      <c r="A79" s="12"/>
      <c r="B79" s="23" t="s">
        <v>900</v>
      </c>
      <c r="C79" s="23" t="s">
        <v>925</v>
      </c>
      <c r="D79" s="23">
        <f>150000*5</f>
        <v>750000</v>
      </c>
      <c r="E79" s="308"/>
      <c r="F79" s="308"/>
      <c r="G79" s="308"/>
      <c r="H79" s="308"/>
      <c r="J79" s="12"/>
      <c r="K79" s="23" t="s">
        <v>900</v>
      </c>
      <c r="L79" s="23" t="s">
        <v>925</v>
      </c>
      <c r="M79" s="23">
        <f>150000*5</f>
        <v>750000</v>
      </c>
      <c r="N79" s="314"/>
      <c r="O79" s="314"/>
      <c r="P79" s="314"/>
      <c r="Q79" s="314"/>
    </row>
    <row r="80" spans="1:17">
      <c r="A80" s="12"/>
      <c r="B80" s="23" t="s">
        <v>900</v>
      </c>
      <c r="C80" s="23" t="s">
        <v>919</v>
      </c>
      <c r="D80" s="23">
        <v>500000</v>
      </c>
      <c r="E80" s="309"/>
      <c r="F80" s="309"/>
      <c r="G80" s="309"/>
      <c r="H80" s="309"/>
      <c r="J80" s="12"/>
      <c r="K80" s="23" t="s">
        <v>900</v>
      </c>
      <c r="L80" s="23" t="s">
        <v>919</v>
      </c>
      <c r="M80" s="23">
        <v>500000</v>
      </c>
      <c r="N80" s="314"/>
      <c r="O80" s="314"/>
      <c r="P80" s="314"/>
      <c r="Q80" s="314"/>
    </row>
    <row r="81" spans="1:17">
      <c r="A81" s="12"/>
      <c r="B81" s="23" t="s">
        <v>904</v>
      </c>
      <c r="C81" s="23" t="s">
        <v>905</v>
      </c>
      <c r="D81" s="23">
        <v>300000</v>
      </c>
      <c r="E81" s="308"/>
      <c r="F81" s="308"/>
      <c r="G81" s="308"/>
      <c r="H81" s="308"/>
      <c r="J81" s="12"/>
      <c r="K81" s="23" t="s">
        <v>904</v>
      </c>
      <c r="L81" s="23" t="s">
        <v>905</v>
      </c>
      <c r="M81" s="23">
        <v>300000</v>
      </c>
      <c r="N81" s="314"/>
      <c r="O81" s="314"/>
      <c r="P81" s="314"/>
      <c r="Q81" s="314"/>
    </row>
    <row r="82" spans="1:17">
      <c r="A82" s="12"/>
      <c r="B82" s="23"/>
      <c r="C82" s="23"/>
      <c r="D82" s="23"/>
      <c r="E82" s="308"/>
      <c r="F82" s="308"/>
      <c r="G82" s="308"/>
      <c r="H82" s="308"/>
      <c r="J82" s="12"/>
      <c r="K82" s="23"/>
      <c r="L82" s="23"/>
      <c r="M82" s="23"/>
      <c r="N82" s="314"/>
      <c r="O82" s="314"/>
      <c r="P82" s="314"/>
      <c r="Q82" s="314"/>
    </row>
    <row r="83" spans="1:17" hidden="1">
      <c r="A83" s="12"/>
      <c r="B83" s="23"/>
      <c r="C83" s="24"/>
      <c r="D83" s="23"/>
      <c r="E83" s="308"/>
      <c r="F83" s="308"/>
      <c r="G83" s="308"/>
      <c r="H83" s="308"/>
      <c r="J83" s="12"/>
      <c r="K83" s="23"/>
      <c r="L83" s="24"/>
      <c r="M83" s="23"/>
      <c r="N83" s="314"/>
      <c r="O83" s="314"/>
      <c r="P83" s="314"/>
      <c r="Q83" s="314"/>
    </row>
    <row r="84" spans="1:17">
      <c r="A84" s="12"/>
      <c r="B84" s="13"/>
      <c r="C84" s="26" t="s">
        <v>55</v>
      </c>
      <c r="D84" s="27">
        <f>SUM(D65:D82)</f>
        <v>113274600</v>
      </c>
      <c r="E84" s="27">
        <v>0</v>
      </c>
      <c r="F84" s="27">
        <v>0</v>
      </c>
      <c r="G84" s="27"/>
      <c r="H84" s="27"/>
      <c r="J84" s="12"/>
      <c r="K84" s="13"/>
      <c r="L84" s="26" t="s">
        <v>55</v>
      </c>
      <c r="M84" s="27">
        <f>SUM(M65:M82)</f>
        <v>113274600</v>
      </c>
      <c r="N84" s="27">
        <v>0</v>
      </c>
      <c r="O84" s="27">
        <v>0</v>
      </c>
      <c r="P84" s="27"/>
      <c r="Q84" s="27"/>
    </row>
    <row r="85" spans="1:17">
      <c r="A85" s="20"/>
      <c r="B85" s="19"/>
      <c r="C85" s="308" t="s">
        <v>21</v>
      </c>
      <c r="D85" s="10"/>
      <c r="E85" s="530">
        <f>D84</f>
        <v>113274600</v>
      </c>
      <c r="F85" s="530"/>
      <c r="G85" s="530"/>
      <c r="H85" s="530"/>
      <c r="J85" s="20"/>
      <c r="K85" s="19"/>
      <c r="L85" s="314" t="s">
        <v>21</v>
      </c>
      <c r="M85" s="10"/>
      <c r="N85" s="530">
        <f>M84</f>
        <v>113274600</v>
      </c>
      <c r="O85" s="530"/>
      <c r="P85" s="530"/>
      <c r="Q85" s="530"/>
    </row>
    <row r="86" spans="1:17" hidden="1">
      <c r="A86" s="524" t="s">
        <v>847</v>
      </c>
      <c r="B86" s="524"/>
      <c r="C86" s="524"/>
      <c r="D86" s="524"/>
      <c r="E86" s="524"/>
      <c r="F86" s="524"/>
      <c r="G86" s="524"/>
      <c r="H86" s="524"/>
      <c r="J86" s="524" t="s">
        <v>847</v>
      </c>
      <c r="K86" s="524"/>
      <c r="L86" s="524"/>
      <c r="M86" s="524"/>
      <c r="N86" s="524"/>
      <c r="O86" s="524"/>
      <c r="P86" s="524"/>
      <c r="Q86" s="524"/>
    </row>
    <row r="87" spans="1:17" hidden="1">
      <c r="A87" s="28"/>
      <c r="B87" s="19"/>
      <c r="C87" s="23"/>
      <c r="D87" s="23"/>
      <c r="E87" s="28"/>
      <c r="F87" s="28"/>
      <c r="G87" s="28"/>
      <c r="H87" s="28"/>
      <c r="J87" s="28"/>
      <c r="K87" s="19"/>
      <c r="L87" s="23"/>
      <c r="M87" s="23"/>
      <c r="N87" s="28"/>
      <c r="O87" s="28"/>
      <c r="P87" s="28"/>
      <c r="Q87" s="28"/>
    </row>
    <row r="88" spans="1:17" hidden="1">
      <c r="A88" s="28"/>
      <c r="B88" s="23"/>
      <c r="C88" s="23"/>
      <c r="D88" s="23"/>
      <c r="E88" s="28"/>
      <c r="F88" s="28"/>
      <c r="G88" s="28"/>
      <c r="H88" s="28"/>
      <c r="J88" s="28"/>
      <c r="K88" s="23"/>
      <c r="L88" s="23"/>
      <c r="M88" s="23"/>
      <c r="N88" s="28"/>
      <c r="O88" s="28"/>
      <c r="P88" s="28"/>
      <c r="Q88" s="28"/>
    </row>
    <row r="89" spans="1:17" hidden="1">
      <c r="A89" s="12"/>
      <c r="B89" s="19"/>
      <c r="C89" s="24"/>
      <c r="D89" s="23"/>
      <c r="E89" s="308"/>
      <c r="F89" s="308"/>
      <c r="G89" s="308"/>
      <c r="H89" s="308"/>
      <c r="J89" s="12"/>
      <c r="K89" s="19"/>
      <c r="L89" s="24"/>
      <c r="M89" s="23"/>
      <c r="N89" s="314"/>
      <c r="O89" s="314"/>
      <c r="P89" s="314"/>
      <c r="Q89" s="314"/>
    </row>
    <row r="90" spans="1:17" hidden="1">
      <c r="A90" s="12"/>
      <c r="B90" s="13"/>
      <c r="C90" s="26" t="s">
        <v>848</v>
      </c>
      <c r="D90" s="27">
        <f>SUM(D87:D89)</f>
        <v>0</v>
      </c>
      <c r="E90" s="27">
        <v>0</v>
      </c>
      <c r="F90" s="27">
        <v>0</v>
      </c>
      <c r="G90" s="27"/>
      <c r="H90" s="27"/>
      <c r="J90" s="12"/>
      <c r="K90" s="13"/>
      <c r="L90" s="26" t="s">
        <v>848</v>
      </c>
      <c r="M90" s="27">
        <f>SUM(M87:M89)</f>
        <v>0</v>
      </c>
      <c r="N90" s="27">
        <v>0</v>
      </c>
      <c r="O90" s="27">
        <v>0</v>
      </c>
      <c r="P90" s="27"/>
      <c r="Q90" s="27"/>
    </row>
    <row r="91" spans="1:17" hidden="1">
      <c r="A91" s="20"/>
      <c r="B91" s="19"/>
      <c r="C91" s="308" t="s">
        <v>21</v>
      </c>
      <c r="D91" s="10"/>
      <c r="E91" s="530">
        <f>D90</f>
        <v>0</v>
      </c>
      <c r="F91" s="530"/>
      <c r="G91" s="530"/>
      <c r="H91" s="530"/>
      <c r="J91" s="20"/>
      <c r="K91" s="19"/>
      <c r="L91" s="314" t="s">
        <v>21</v>
      </c>
      <c r="M91" s="10"/>
      <c r="N91" s="530">
        <f>M90</f>
        <v>0</v>
      </c>
      <c r="O91" s="530"/>
      <c r="P91" s="530"/>
      <c r="Q91" s="530"/>
    </row>
    <row r="92" spans="1:17">
      <c r="A92" s="527" t="s">
        <v>26</v>
      </c>
      <c r="B92" s="528"/>
      <c r="C92" s="528"/>
      <c r="D92" s="528"/>
      <c r="E92" s="528"/>
      <c r="F92" s="528"/>
      <c r="G92" s="528"/>
      <c r="H92" s="529"/>
      <c r="J92" s="527" t="s">
        <v>26</v>
      </c>
      <c r="K92" s="528"/>
      <c r="L92" s="528"/>
      <c r="M92" s="528"/>
      <c r="N92" s="528"/>
      <c r="O92" s="528"/>
      <c r="P92" s="528"/>
      <c r="Q92" s="529"/>
    </row>
    <row r="93" spans="1:17">
      <c r="A93" s="12"/>
      <c r="B93" s="23" t="s">
        <v>906</v>
      </c>
      <c r="C93" s="24" t="s">
        <v>907</v>
      </c>
      <c r="D93" s="23">
        <v>195000</v>
      </c>
      <c r="E93" s="22"/>
      <c r="F93" s="22"/>
      <c r="G93" s="16"/>
      <c r="H93" s="16"/>
      <c r="J93" s="12"/>
      <c r="K93" s="23" t="s">
        <v>906</v>
      </c>
      <c r="L93" s="24" t="s">
        <v>907</v>
      </c>
      <c r="M93" s="23">
        <v>195000</v>
      </c>
      <c r="N93" s="22"/>
      <c r="O93" s="22"/>
      <c r="P93" s="16"/>
      <c r="Q93" s="16"/>
    </row>
    <row r="94" spans="1:17">
      <c r="A94" s="12"/>
      <c r="B94" s="23" t="s">
        <v>908</v>
      </c>
      <c r="C94" s="24" t="s">
        <v>909</v>
      </c>
      <c r="D94" s="23">
        <v>265000</v>
      </c>
      <c r="E94" s="22"/>
      <c r="F94" s="22"/>
      <c r="G94" s="16"/>
      <c r="H94" s="16"/>
      <c r="J94" s="12"/>
      <c r="K94" s="23" t="s">
        <v>908</v>
      </c>
      <c r="L94" s="24" t="s">
        <v>909</v>
      </c>
      <c r="M94" s="23">
        <v>265000</v>
      </c>
      <c r="N94" s="22"/>
      <c r="O94" s="22"/>
      <c r="P94" s="16"/>
      <c r="Q94" s="16"/>
    </row>
    <row r="95" spans="1:17">
      <c r="A95" s="12"/>
      <c r="B95" s="23" t="s">
        <v>910</v>
      </c>
      <c r="C95" s="24" t="s">
        <v>911</v>
      </c>
      <c r="D95" s="23">
        <v>60000</v>
      </c>
      <c r="E95" s="22"/>
      <c r="F95" s="22"/>
      <c r="G95" s="16"/>
      <c r="H95" s="16"/>
      <c r="J95" s="12"/>
      <c r="K95" s="23" t="s">
        <v>910</v>
      </c>
      <c r="L95" s="24" t="s">
        <v>911</v>
      </c>
      <c r="M95" s="23">
        <v>60000</v>
      </c>
      <c r="N95" s="22"/>
      <c r="O95" s="22"/>
      <c r="P95" s="16"/>
      <c r="Q95" s="16"/>
    </row>
    <row r="96" spans="1:17">
      <c r="A96" s="12"/>
      <c r="B96" s="23" t="s">
        <v>913</v>
      </c>
      <c r="C96" s="24" t="s">
        <v>912</v>
      </c>
      <c r="D96" s="23">
        <v>125000</v>
      </c>
      <c r="E96" s="22"/>
      <c r="F96" s="22"/>
      <c r="G96" s="16"/>
      <c r="H96" s="16"/>
      <c r="J96" s="12"/>
      <c r="K96" s="23" t="s">
        <v>913</v>
      </c>
      <c r="L96" s="24" t="s">
        <v>912</v>
      </c>
      <c r="M96" s="23">
        <v>125000</v>
      </c>
      <c r="N96" s="22"/>
      <c r="O96" s="22"/>
      <c r="P96" s="16"/>
      <c r="Q96" s="16"/>
    </row>
    <row r="97" spans="1:17">
      <c r="A97" s="12"/>
      <c r="B97" s="19" t="s">
        <v>914</v>
      </c>
      <c r="C97" s="24" t="s">
        <v>915</v>
      </c>
      <c r="D97" s="23">
        <v>50000</v>
      </c>
      <c r="E97" s="22"/>
      <c r="F97" s="22"/>
      <c r="G97" s="16"/>
      <c r="H97" s="16"/>
      <c r="J97" s="12"/>
      <c r="K97" s="19" t="s">
        <v>914</v>
      </c>
      <c r="L97" s="24" t="s">
        <v>915</v>
      </c>
      <c r="M97" s="23">
        <v>50000</v>
      </c>
      <c r="N97" s="22"/>
      <c r="O97" s="22"/>
      <c r="P97" s="16"/>
      <c r="Q97" s="16"/>
    </row>
    <row r="98" spans="1:17">
      <c r="A98" s="12"/>
      <c r="B98" s="19"/>
      <c r="C98" s="24"/>
      <c r="D98" s="23"/>
      <c r="E98" s="22"/>
      <c r="F98" s="22"/>
      <c r="G98" s="16"/>
      <c r="H98" s="16"/>
      <c r="J98" s="12"/>
      <c r="K98" s="19"/>
      <c r="L98" s="24"/>
      <c r="M98" s="23"/>
      <c r="N98" s="22"/>
      <c r="O98" s="22"/>
      <c r="P98" s="16"/>
      <c r="Q98" s="16"/>
    </row>
    <row r="99" spans="1:17" hidden="1">
      <c r="A99" s="12"/>
      <c r="B99" s="19"/>
      <c r="C99" s="23"/>
      <c r="D99" s="23"/>
      <c r="E99" s="22"/>
      <c r="F99" s="22"/>
      <c r="G99" s="16"/>
      <c r="H99" s="16"/>
      <c r="J99" s="12"/>
      <c r="K99" s="19"/>
      <c r="L99" s="23"/>
      <c r="M99" s="23"/>
      <c r="N99" s="22"/>
      <c r="O99" s="22"/>
      <c r="P99" s="16"/>
      <c r="Q99" s="16"/>
    </row>
    <row r="100" spans="1:17" hidden="1">
      <c r="A100" s="12"/>
      <c r="B100" s="19"/>
      <c r="C100" s="23"/>
      <c r="D100" s="23"/>
      <c r="E100" s="22"/>
      <c r="F100" s="22"/>
      <c r="G100" s="16"/>
      <c r="H100" s="16"/>
      <c r="J100" s="12"/>
      <c r="K100" s="19"/>
      <c r="L100" s="23"/>
      <c r="M100" s="23"/>
      <c r="N100" s="22"/>
      <c r="O100" s="22"/>
      <c r="P100" s="16"/>
      <c r="Q100" s="16"/>
    </row>
    <row r="101" spans="1:17" hidden="1">
      <c r="A101" s="12"/>
      <c r="B101" s="19"/>
      <c r="C101" s="23"/>
      <c r="D101" s="23"/>
      <c r="E101" s="22"/>
      <c r="F101" s="22"/>
      <c r="G101" s="16"/>
      <c r="H101" s="16"/>
      <c r="J101" s="12"/>
      <c r="K101" s="19"/>
      <c r="L101" s="23"/>
      <c r="M101" s="23"/>
      <c r="N101" s="22"/>
      <c r="O101" s="22"/>
      <c r="P101" s="16"/>
      <c r="Q101" s="16"/>
    </row>
    <row r="102" spans="1:17" hidden="1">
      <c r="A102" s="12"/>
      <c r="B102" s="19"/>
      <c r="C102" s="24"/>
      <c r="D102" s="23"/>
      <c r="E102" s="22"/>
      <c r="F102" s="22"/>
      <c r="G102" s="16"/>
      <c r="H102" s="16"/>
      <c r="J102" s="12"/>
      <c r="K102" s="19"/>
      <c r="L102" s="24"/>
      <c r="M102" s="23"/>
      <c r="N102" s="22"/>
      <c r="O102" s="22"/>
      <c r="P102" s="16"/>
      <c r="Q102" s="16"/>
    </row>
    <row r="103" spans="1:17" hidden="1">
      <c r="A103" s="12"/>
      <c r="B103" s="19"/>
      <c r="C103" s="24"/>
      <c r="D103" s="23"/>
      <c r="E103" s="22"/>
      <c r="F103" s="22"/>
      <c r="G103" s="16"/>
      <c r="H103" s="16"/>
      <c r="J103" s="12"/>
      <c r="K103" s="19"/>
      <c r="L103" s="24"/>
      <c r="M103" s="23"/>
      <c r="N103" s="22"/>
      <c r="O103" s="22"/>
      <c r="P103" s="16"/>
      <c r="Q103" s="16"/>
    </row>
    <row r="104" spans="1:17">
      <c r="A104" s="25"/>
      <c r="B104" s="19"/>
      <c r="C104" s="26" t="s">
        <v>31</v>
      </c>
      <c r="D104" s="27">
        <f>SUM(D93:D103)</f>
        <v>695000</v>
      </c>
      <c r="E104" s="27"/>
      <c r="F104" s="27"/>
      <c r="G104" s="27"/>
      <c r="H104" s="27"/>
      <c r="J104" s="25"/>
      <c r="K104" s="19"/>
      <c r="L104" s="26" t="s">
        <v>31</v>
      </c>
      <c r="M104" s="27">
        <f>SUM(M93:M103)</f>
        <v>695000</v>
      </c>
      <c r="N104" s="27"/>
      <c r="O104" s="27"/>
      <c r="P104" s="27"/>
      <c r="Q104" s="27"/>
    </row>
    <row r="105" spans="1:17">
      <c r="A105" s="20"/>
      <c r="B105" s="19"/>
      <c r="C105" s="308" t="s">
        <v>21</v>
      </c>
      <c r="D105" s="10"/>
      <c r="E105" s="530">
        <f>D104</f>
        <v>695000</v>
      </c>
      <c r="F105" s="530"/>
      <c r="G105" s="530"/>
      <c r="H105" s="530"/>
      <c r="J105" s="20"/>
      <c r="K105" s="19"/>
      <c r="L105" s="314" t="s">
        <v>21</v>
      </c>
      <c r="M105" s="10"/>
      <c r="N105" s="530">
        <f>M104</f>
        <v>695000</v>
      </c>
      <c r="O105" s="530"/>
      <c r="P105" s="530"/>
      <c r="Q105" s="530"/>
    </row>
    <row r="106" spans="1:17">
      <c r="A106" s="527" t="s">
        <v>32</v>
      </c>
      <c r="B106" s="528"/>
      <c r="C106" s="528"/>
      <c r="D106" s="528"/>
      <c r="E106" s="528"/>
      <c r="F106" s="528"/>
      <c r="G106" s="528"/>
      <c r="H106" s="529"/>
      <c r="J106" s="527" t="s">
        <v>32</v>
      </c>
      <c r="K106" s="528"/>
      <c r="L106" s="528"/>
      <c r="M106" s="528"/>
      <c r="N106" s="528"/>
      <c r="O106" s="528"/>
      <c r="P106" s="528"/>
      <c r="Q106" s="529"/>
    </row>
    <row r="107" spans="1:17">
      <c r="A107" s="12"/>
      <c r="B107" s="13"/>
      <c r="C107" s="22"/>
      <c r="D107" s="22"/>
      <c r="E107" s="308"/>
      <c r="F107" s="308"/>
      <c r="G107" s="308"/>
      <c r="H107" s="308"/>
      <c r="J107" s="12"/>
      <c r="K107" s="13"/>
      <c r="L107" s="22"/>
      <c r="M107" s="22"/>
      <c r="N107" s="314"/>
      <c r="O107" s="314"/>
      <c r="P107" s="314"/>
      <c r="Q107" s="314"/>
    </row>
    <row r="108" spans="1:17">
      <c r="A108" s="12"/>
      <c r="B108" s="13"/>
      <c r="C108" s="22"/>
      <c r="D108" s="22"/>
      <c r="E108" s="308"/>
      <c r="F108" s="308"/>
      <c r="G108" s="308"/>
      <c r="H108" s="308"/>
      <c r="J108" s="12"/>
      <c r="K108" s="13"/>
      <c r="L108" s="22"/>
      <c r="M108" s="22"/>
      <c r="N108" s="314"/>
      <c r="O108" s="314"/>
      <c r="P108" s="314"/>
      <c r="Q108" s="314"/>
    </row>
    <row r="109" spans="1:17">
      <c r="A109" s="12"/>
      <c r="B109" s="13"/>
      <c r="C109" s="22"/>
      <c r="D109" s="22"/>
      <c r="E109" s="308"/>
      <c r="F109" s="308"/>
      <c r="G109" s="308"/>
      <c r="H109" s="308"/>
      <c r="J109" s="12"/>
      <c r="K109" s="13"/>
      <c r="L109" s="22"/>
      <c r="M109" s="22"/>
      <c r="N109" s="314"/>
      <c r="O109" s="314"/>
      <c r="P109" s="314"/>
      <c r="Q109" s="314"/>
    </row>
    <row r="110" spans="1:17">
      <c r="A110" s="12"/>
      <c r="B110" s="13"/>
      <c r="C110" s="22"/>
      <c r="D110" s="29"/>
      <c r="E110" s="308"/>
      <c r="F110" s="308"/>
      <c r="G110" s="308"/>
      <c r="H110" s="308"/>
      <c r="J110" s="12"/>
      <c r="K110" s="13"/>
      <c r="L110" s="22"/>
      <c r="M110" s="29"/>
      <c r="N110" s="314"/>
      <c r="O110" s="314"/>
      <c r="P110" s="314"/>
      <c r="Q110" s="314"/>
    </row>
    <row r="111" spans="1:17">
      <c r="A111" s="12"/>
      <c r="B111" s="13"/>
      <c r="C111" s="22"/>
      <c r="D111" s="29"/>
      <c r="E111" s="308"/>
      <c r="F111" s="308"/>
      <c r="G111" s="308"/>
      <c r="H111" s="308"/>
      <c r="J111" s="12"/>
      <c r="K111" s="13"/>
      <c r="L111" s="22"/>
      <c r="M111" s="29"/>
      <c r="N111" s="314"/>
      <c r="O111" s="314"/>
      <c r="P111" s="314"/>
      <c r="Q111" s="314"/>
    </row>
    <row r="112" spans="1:17">
      <c r="A112" s="12"/>
      <c r="B112" s="13"/>
      <c r="C112" s="22"/>
      <c r="D112" s="29"/>
      <c r="E112" s="308"/>
      <c r="F112" s="308"/>
      <c r="G112" s="308"/>
      <c r="H112" s="308"/>
      <c r="J112" s="12"/>
      <c r="K112" s="13"/>
      <c r="L112" s="22"/>
      <c r="M112" s="29"/>
      <c r="N112" s="314"/>
      <c r="O112" s="314"/>
      <c r="P112" s="314"/>
      <c r="Q112" s="314"/>
    </row>
    <row r="113" spans="1:17" hidden="1">
      <c r="A113" s="12"/>
      <c r="B113" s="13"/>
      <c r="C113" s="22"/>
      <c r="D113" s="29"/>
      <c r="E113" s="308"/>
      <c r="F113" s="308"/>
      <c r="G113" s="308"/>
      <c r="H113" s="308"/>
      <c r="J113" s="12"/>
      <c r="K113" s="13"/>
      <c r="L113" s="22"/>
      <c r="M113" s="29"/>
      <c r="N113" s="314"/>
      <c r="O113" s="314"/>
      <c r="P113" s="314"/>
      <c r="Q113" s="314"/>
    </row>
    <row r="114" spans="1:17" hidden="1">
      <c r="A114" s="12"/>
      <c r="B114" s="13"/>
      <c r="C114" s="22"/>
      <c r="D114" s="29"/>
      <c r="E114" s="308"/>
      <c r="F114" s="308"/>
      <c r="G114" s="308"/>
      <c r="H114" s="308"/>
      <c r="J114" s="12"/>
      <c r="K114" s="13"/>
      <c r="L114" s="22"/>
      <c r="M114" s="29"/>
      <c r="N114" s="314"/>
      <c r="O114" s="314"/>
      <c r="P114" s="314"/>
      <c r="Q114" s="314"/>
    </row>
    <row r="115" spans="1:17" hidden="1">
      <c r="A115" s="12"/>
      <c r="B115" s="13"/>
      <c r="C115" s="22"/>
      <c r="D115" s="29"/>
      <c r="E115" s="308"/>
      <c r="F115" s="308"/>
      <c r="G115" s="308"/>
      <c r="H115" s="308"/>
      <c r="J115" s="12"/>
      <c r="K115" s="13"/>
      <c r="L115" s="22"/>
      <c r="M115" s="29"/>
      <c r="N115" s="314"/>
      <c r="O115" s="314"/>
      <c r="P115" s="314"/>
      <c r="Q115" s="314"/>
    </row>
    <row r="116" spans="1:17">
      <c r="A116" s="12"/>
      <c r="B116" s="13"/>
      <c r="C116" s="26" t="s">
        <v>34</v>
      </c>
      <c r="D116" s="27">
        <f>SUM(D107:D110)</f>
        <v>0</v>
      </c>
      <c r="E116" s="27">
        <v>0</v>
      </c>
      <c r="F116" s="27">
        <v>0</v>
      </c>
      <c r="G116" s="27"/>
      <c r="H116" s="27"/>
      <c r="J116" s="12"/>
      <c r="K116" s="13"/>
      <c r="L116" s="26" t="s">
        <v>34</v>
      </c>
      <c r="M116" s="27">
        <f>SUM(M107:M110)</f>
        <v>0</v>
      </c>
      <c r="N116" s="27">
        <v>0</v>
      </c>
      <c r="O116" s="27">
        <v>0</v>
      </c>
      <c r="P116" s="27"/>
      <c r="Q116" s="27"/>
    </row>
    <row r="117" spans="1:17">
      <c r="A117" s="20"/>
      <c r="B117" s="19"/>
      <c r="C117" s="308" t="s">
        <v>21</v>
      </c>
      <c r="D117" s="10"/>
      <c r="E117" s="531">
        <f>D116</f>
        <v>0</v>
      </c>
      <c r="F117" s="532"/>
      <c r="G117" s="532"/>
      <c r="H117" s="533"/>
      <c r="J117" s="20"/>
      <c r="K117" s="19"/>
      <c r="L117" s="314" t="s">
        <v>21</v>
      </c>
      <c r="M117" s="10"/>
      <c r="N117" s="531">
        <f>M116</f>
        <v>0</v>
      </c>
      <c r="O117" s="532"/>
      <c r="P117" s="532"/>
      <c r="Q117" s="533"/>
    </row>
    <row r="118" spans="1:17">
      <c r="A118" s="525" t="s">
        <v>35</v>
      </c>
      <c r="B118" s="525"/>
      <c r="C118" s="525"/>
      <c r="D118" s="304"/>
      <c r="E118" s="526">
        <f>E50+E55+E105+E117+E85+E91+E63</f>
        <v>116487600</v>
      </c>
      <c r="F118" s="526"/>
      <c r="G118" s="526"/>
      <c r="H118" s="526"/>
      <c r="J118" s="525" t="s">
        <v>35</v>
      </c>
      <c r="K118" s="525"/>
      <c r="L118" s="525"/>
      <c r="M118" s="310"/>
      <c r="N118" s="526">
        <f>N50+N55+N105+N117+N85+N91+N63</f>
        <v>116487600</v>
      </c>
      <c r="O118" s="526"/>
      <c r="P118" s="526"/>
      <c r="Q118" s="526"/>
    </row>
    <row r="119" spans="1:17">
      <c r="A119" s="522" t="s">
        <v>36</v>
      </c>
      <c r="B119" s="522"/>
      <c r="C119" s="522"/>
      <c r="D119" s="307"/>
      <c r="E119" s="523">
        <f>+E31+E118</f>
        <v>124651600</v>
      </c>
      <c r="F119" s="523"/>
      <c r="G119" s="523"/>
      <c r="H119" s="523"/>
      <c r="J119" s="522" t="s">
        <v>36</v>
      </c>
      <c r="K119" s="522"/>
      <c r="L119" s="522"/>
      <c r="M119" s="313"/>
      <c r="N119" s="523">
        <f>+N31+N118</f>
        <v>124651600</v>
      </c>
      <c r="O119" s="523"/>
      <c r="P119" s="523"/>
      <c r="Q119" s="523"/>
    </row>
    <row r="120" spans="1:17">
      <c r="A120" s="524" t="s">
        <v>32</v>
      </c>
      <c r="B120" s="524"/>
      <c r="C120" s="524"/>
      <c r="D120" s="524"/>
      <c r="E120" s="524"/>
      <c r="F120" s="524"/>
      <c r="G120" s="524"/>
      <c r="H120" s="524"/>
      <c r="J120" s="524" t="s">
        <v>32</v>
      </c>
      <c r="K120" s="524"/>
      <c r="L120" s="524"/>
      <c r="M120" s="524"/>
      <c r="N120" s="524"/>
      <c r="O120" s="524"/>
      <c r="P120" s="524"/>
      <c r="Q120" s="524"/>
    </row>
    <row r="121" spans="1:17">
      <c r="A121" s="33"/>
      <c r="B121" s="13"/>
      <c r="C121" s="22"/>
      <c r="D121" s="22"/>
      <c r="E121" s="22"/>
      <c r="F121" s="22"/>
      <c r="G121" s="16"/>
      <c r="H121" s="16"/>
      <c r="J121" s="33"/>
      <c r="K121" s="13"/>
      <c r="L121" s="22"/>
      <c r="M121" s="22"/>
      <c r="N121" s="22"/>
      <c r="O121" s="22"/>
      <c r="P121" s="16"/>
      <c r="Q121" s="16"/>
    </row>
    <row r="122" spans="1:17">
      <c r="A122" s="33"/>
      <c r="B122" s="13"/>
      <c r="C122" s="22"/>
      <c r="D122" s="22"/>
      <c r="E122" s="22"/>
      <c r="F122" s="22"/>
      <c r="G122" s="16"/>
      <c r="H122" s="16"/>
      <c r="J122" s="33"/>
      <c r="K122" s="13"/>
      <c r="L122" s="22"/>
      <c r="M122" s="22"/>
      <c r="N122" s="22"/>
      <c r="O122" s="22"/>
      <c r="P122" s="16"/>
      <c r="Q122" s="16"/>
    </row>
    <row r="123" spans="1:17">
      <c r="A123" s="33"/>
      <c r="B123" s="13"/>
      <c r="C123" s="22"/>
      <c r="D123" s="22"/>
      <c r="E123" s="22"/>
      <c r="F123" s="22"/>
      <c r="G123" s="16"/>
      <c r="H123" s="16"/>
      <c r="J123" s="33"/>
      <c r="K123" s="13"/>
      <c r="L123" s="22"/>
      <c r="M123" s="22"/>
      <c r="N123" s="22"/>
      <c r="O123" s="22"/>
      <c r="P123" s="16"/>
      <c r="Q123" s="16"/>
    </row>
    <row r="124" spans="1:17">
      <c r="A124" s="20"/>
      <c r="B124" s="13"/>
      <c r="C124" s="22"/>
      <c r="D124" s="22"/>
      <c r="E124" s="22"/>
      <c r="F124" s="16"/>
      <c r="G124" s="16"/>
      <c r="H124" s="16"/>
      <c r="J124" s="20"/>
      <c r="K124" s="13"/>
      <c r="L124" s="22"/>
      <c r="M124" s="22"/>
      <c r="N124" s="22"/>
      <c r="O124" s="16"/>
      <c r="P124" s="16"/>
      <c r="Q124" s="16"/>
    </row>
    <row r="125" spans="1:17">
      <c r="A125" s="20"/>
      <c r="B125" s="13"/>
      <c r="C125" s="22"/>
      <c r="D125" s="22"/>
      <c r="E125" s="22"/>
      <c r="F125" s="16"/>
      <c r="G125" s="16"/>
      <c r="H125" s="16"/>
      <c r="J125" s="20"/>
      <c r="K125" s="13"/>
      <c r="L125" s="22"/>
      <c r="M125" s="22"/>
      <c r="N125" s="22"/>
      <c r="O125" s="16"/>
      <c r="P125" s="16"/>
      <c r="Q125" s="16"/>
    </row>
    <row r="126" spans="1:17">
      <c r="A126" s="525" t="s">
        <v>37</v>
      </c>
      <c r="B126" s="525"/>
      <c r="C126" s="525"/>
      <c r="D126" s="304">
        <f>SUM(D121:D125)</f>
        <v>0</v>
      </c>
      <c r="E126" s="526"/>
      <c r="F126" s="526"/>
      <c r="G126" s="526"/>
      <c r="H126" s="526"/>
      <c r="J126" s="525" t="s">
        <v>37</v>
      </c>
      <c r="K126" s="525"/>
      <c r="L126" s="525"/>
      <c r="M126" s="310">
        <f>SUM(M121:M125)</f>
        <v>0</v>
      </c>
      <c r="N126" s="526"/>
      <c r="O126" s="526"/>
      <c r="P126" s="526"/>
      <c r="Q126" s="526"/>
    </row>
    <row r="127" spans="1:17">
      <c r="A127" s="34" t="s">
        <v>38</v>
      </c>
      <c r="B127" s="35"/>
      <c r="C127" s="304"/>
      <c r="D127" s="304"/>
      <c r="E127" s="305"/>
      <c r="F127" s="305"/>
      <c r="G127" s="526"/>
      <c r="H127" s="526"/>
      <c r="J127" s="34" t="s">
        <v>38</v>
      </c>
      <c r="K127" s="35"/>
      <c r="L127" s="310"/>
      <c r="M127" s="310"/>
      <c r="N127" s="311"/>
      <c r="O127" s="311"/>
      <c r="P127" s="526"/>
      <c r="Q127" s="526"/>
    </row>
    <row r="128" spans="1:17">
      <c r="A128" s="37"/>
      <c r="B128" s="38"/>
      <c r="C128" s="39"/>
      <c r="D128" s="39"/>
      <c r="E128" s="39"/>
      <c r="F128" s="39"/>
      <c r="G128" s="39"/>
      <c r="H128" s="39"/>
      <c r="J128" s="37"/>
      <c r="K128" s="38"/>
      <c r="L128" s="39"/>
      <c r="M128" s="39"/>
      <c r="N128" s="39"/>
      <c r="O128" s="39"/>
      <c r="P128" s="39"/>
      <c r="Q128" s="39"/>
    </row>
    <row r="129" spans="1:17">
      <c r="A129" s="519" t="s">
        <v>13</v>
      </c>
      <c r="B129" s="520"/>
      <c r="C129" s="520"/>
      <c r="D129" s="520"/>
      <c r="E129" s="521"/>
      <c r="F129" s="39"/>
      <c r="G129" s="39"/>
      <c r="H129" s="40"/>
      <c r="J129" s="519" t="s">
        <v>13</v>
      </c>
      <c r="K129" s="520"/>
      <c r="L129" s="520"/>
      <c r="M129" s="520"/>
      <c r="N129" s="521"/>
      <c r="O129" s="39"/>
      <c r="P129" s="39"/>
      <c r="Q129" s="40"/>
    </row>
    <row r="130" spans="1:17">
      <c r="A130" s="41" t="s">
        <v>39</v>
      </c>
      <c r="B130" s="42" t="s">
        <v>40</v>
      </c>
      <c r="C130" s="43" t="s">
        <v>41</v>
      </c>
      <c r="D130" s="43" t="s">
        <v>42</v>
      </c>
      <c r="E130" s="43" t="s">
        <v>43</v>
      </c>
      <c r="F130" s="39"/>
      <c r="G130" s="39"/>
      <c r="H130" s="39"/>
      <c r="J130" s="41" t="s">
        <v>39</v>
      </c>
      <c r="K130" s="42" t="s">
        <v>40</v>
      </c>
      <c r="L130" s="43" t="s">
        <v>41</v>
      </c>
      <c r="M130" s="43" t="s">
        <v>42</v>
      </c>
      <c r="N130" s="43" t="s">
        <v>43</v>
      </c>
      <c r="O130" s="39"/>
      <c r="P130" s="39"/>
      <c r="Q130" s="39"/>
    </row>
    <row r="131" spans="1:17">
      <c r="A131" s="41"/>
      <c r="B131" s="44"/>
      <c r="C131" s="45"/>
      <c r="D131" s="46"/>
      <c r="E131" s="46"/>
      <c r="F131" s="39"/>
      <c r="G131" s="39"/>
      <c r="H131" s="39"/>
      <c r="J131" s="41"/>
      <c r="K131" s="44"/>
      <c r="L131" s="45"/>
      <c r="M131" s="46"/>
      <c r="N131" s="46"/>
      <c r="O131" s="39"/>
      <c r="P131" s="39"/>
      <c r="Q131" s="39"/>
    </row>
    <row r="132" spans="1:17">
      <c r="A132" s="41"/>
      <c r="B132" s="44"/>
      <c r="C132" s="45"/>
      <c r="D132" s="46"/>
      <c r="E132" s="46"/>
      <c r="F132" s="39"/>
      <c r="G132" s="39"/>
      <c r="H132" s="39"/>
      <c r="J132" s="41"/>
      <c r="K132" s="44"/>
      <c r="L132" s="45"/>
      <c r="M132" s="46"/>
      <c r="N132" s="46"/>
      <c r="O132" s="39"/>
      <c r="P132" s="39"/>
      <c r="Q132" s="39"/>
    </row>
    <row r="133" spans="1:17">
      <c r="A133" s="41"/>
      <c r="B133" s="44"/>
      <c r="C133" s="45"/>
      <c r="D133" s="46"/>
      <c r="E133" s="46"/>
      <c r="F133" s="39"/>
      <c r="G133" s="39"/>
      <c r="H133" s="39"/>
      <c r="J133" s="41"/>
      <c r="K133" s="44"/>
      <c r="L133" s="45"/>
      <c r="M133" s="46"/>
      <c r="N133" s="46"/>
      <c r="O133" s="39"/>
      <c r="P133" s="39"/>
      <c r="Q133" s="39"/>
    </row>
    <row r="134" spans="1:17">
      <c r="A134" s="41"/>
      <c r="B134" s="44"/>
      <c r="C134" s="281"/>
      <c r="D134" s="46"/>
      <c r="E134" s="46"/>
      <c r="F134" s="39"/>
      <c r="G134" s="39"/>
      <c r="H134" s="39"/>
      <c r="J134" s="41"/>
      <c r="K134" s="44"/>
      <c r="L134" s="281"/>
      <c r="M134" s="46"/>
      <c r="N134" s="46"/>
      <c r="O134" s="39"/>
      <c r="P134" s="39"/>
      <c r="Q134" s="39"/>
    </row>
    <row r="135" spans="1:17">
      <c r="A135" s="41"/>
      <c r="B135" s="44"/>
      <c r="C135" s="281"/>
      <c r="D135" s="46"/>
      <c r="E135" s="46"/>
      <c r="F135" s="39"/>
      <c r="G135" s="39"/>
      <c r="H135" s="39"/>
      <c r="J135" s="41"/>
      <c r="K135" s="44"/>
      <c r="L135" s="281"/>
      <c r="M135" s="46"/>
      <c r="N135" s="46"/>
      <c r="O135" s="39"/>
      <c r="P135" s="39"/>
      <c r="Q135" s="39"/>
    </row>
    <row r="136" spans="1:17">
      <c r="A136" s="41"/>
      <c r="B136" s="44"/>
      <c r="C136" s="281"/>
      <c r="D136" s="46"/>
      <c r="E136" s="46"/>
      <c r="F136" s="39"/>
      <c r="G136" s="39"/>
      <c r="H136" s="39"/>
      <c r="J136" s="41"/>
      <c r="K136" s="44"/>
      <c r="L136" s="281"/>
      <c r="M136" s="46"/>
      <c r="N136" s="46"/>
      <c r="O136" s="39"/>
      <c r="P136" s="39"/>
      <c r="Q136" s="39"/>
    </row>
    <row r="137" spans="1:17">
      <c r="A137" s="41"/>
      <c r="B137" s="44"/>
      <c r="C137" s="281"/>
      <c r="D137" s="46"/>
      <c r="E137" s="46"/>
      <c r="F137" s="39"/>
      <c r="G137" s="39"/>
      <c r="H137" s="39"/>
      <c r="J137" s="41"/>
      <c r="K137" s="44"/>
      <c r="L137" s="281"/>
      <c r="M137" s="46"/>
      <c r="N137" s="46"/>
      <c r="O137" s="39"/>
      <c r="P137" s="39"/>
      <c r="Q137" s="39"/>
    </row>
    <row r="138" spans="1:17">
      <c r="A138" s="41"/>
      <c r="B138" s="44"/>
      <c r="C138" s="281"/>
      <c r="D138" s="46"/>
      <c r="E138" s="46"/>
      <c r="F138" s="39"/>
      <c r="G138" s="39"/>
      <c r="H138" s="39"/>
      <c r="J138" s="41"/>
      <c r="K138" s="44"/>
      <c r="L138" s="281"/>
      <c r="M138" s="46"/>
      <c r="N138" s="46"/>
      <c r="O138" s="39"/>
      <c r="P138" s="39"/>
      <c r="Q138" s="39"/>
    </row>
    <row r="139" spans="1:17">
      <c r="A139" s="41"/>
      <c r="B139" s="44"/>
      <c r="C139" s="47"/>
      <c r="D139" s="46"/>
      <c r="E139" s="46"/>
      <c r="F139" s="39"/>
      <c r="G139" s="39"/>
      <c r="H139" s="39"/>
      <c r="J139" s="41"/>
      <c r="K139" s="44"/>
      <c r="L139" s="47"/>
      <c r="M139" s="46"/>
      <c r="N139" s="46"/>
      <c r="O139" s="39"/>
      <c r="P139" s="39"/>
      <c r="Q139" s="39"/>
    </row>
    <row r="140" spans="1:17">
      <c r="A140" s="41"/>
      <c r="B140" s="44"/>
      <c r="C140" s="46"/>
      <c r="D140" s="48"/>
      <c r="E140" s="46"/>
      <c r="F140" s="39"/>
      <c r="G140" s="39"/>
      <c r="H140" s="39"/>
      <c r="J140" s="41"/>
      <c r="K140" s="44"/>
      <c r="L140" s="46"/>
      <c r="M140" s="48"/>
      <c r="N140" s="46"/>
      <c r="O140" s="39"/>
      <c r="P140" s="39"/>
      <c r="Q140" s="39"/>
    </row>
    <row r="141" spans="1:17">
      <c r="A141" s="49"/>
      <c r="B141" s="50"/>
      <c r="C141" s="51" t="s">
        <v>44</v>
      </c>
      <c r="D141" s="51">
        <f>SUM(D131:D140)</f>
        <v>0</v>
      </c>
      <c r="E141" s="52"/>
      <c r="F141" s="39"/>
      <c r="G141" s="39"/>
      <c r="H141" s="39"/>
      <c r="J141" s="49"/>
      <c r="K141" s="50"/>
      <c r="L141" s="51" t="s">
        <v>44</v>
      </c>
      <c r="M141" s="51">
        <f>SUM(M131:M140)</f>
        <v>0</v>
      </c>
      <c r="N141" s="52"/>
      <c r="O141" s="39"/>
      <c r="P141" s="39"/>
      <c r="Q141" s="39"/>
    </row>
    <row r="142" spans="1:17">
      <c r="A142" s="53"/>
      <c r="B142" s="54"/>
      <c r="C142" s="55" t="s">
        <v>779</v>
      </c>
      <c r="D142" s="116"/>
      <c r="E142" s="3"/>
      <c r="F142" s="39"/>
      <c r="G142" s="39"/>
      <c r="H142" s="39"/>
      <c r="J142" s="53"/>
      <c r="K142" s="54"/>
      <c r="L142" s="55" t="s">
        <v>779</v>
      </c>
      <c r="M142" s="116"/>
      <c r="N142" s="3"/>
      <c r="O142" s="39"/>
      <c r="P142" s="39"/>
      <c r="Q142" s="39"/>
    </row>
  </sheetData>
  <mergeCells count="66">
    <mergeCell ref="J120:Q120"/>
    <mergeCell ref="J126:L126"/>
    <mergeCell ref="N126:Q126"/>
    <mergeCell ref="P127:Q127"/>
    <mergeCell ref="J129:N129"/>
    <mergeCell ref="N117:Q117"/>
    <mergeCell ref="J118:L118"/>
    <mergeCell ref="N118:Q118"/>
    <mergeCell ref="J119:L119"/>
    <mergeCell ref="N119:Q119"/>
    <mergeCell ref="J86:Q86"/>
    <mergeCell ref="N91:Q91"/>
    <mergeCell ref="J92:Q92"/>
    <mergeCell ref="N105:Q105"/>
    <mergeCell ref="J106:Q106"/>
    <mergeCell ref="N55:Q55"/>
    <mergeCell ref="J56:Q56"/>
    <mergeCell ref="N63:Q63"/>
    <mergeCell ref="J64:Q64"/>
    <mergeCell ref="N85:Q85"/>
    <mergeCell ref="J31:M31"/>
    <mergeCell ref="N31:Q31"/>
    <mergeCell ref="J32:Q32"/>
    <mergeCell ref="N50:Q50"/>
    <mergeCell ref="J51:Q51"/>
    <mergeCell ref="J3:Q3"/>
    <mergeCell ref="J12:P12"/>
    <mergeCell ref="J13:Q13"/>
    <mergeCell ref="J14:J15"/>
    <mergeCell ref="K14:K15"/>
    <mergeCell ref="L14:L15"/>
    <mergeCell ref="M14:M15"/>
    <mergeCell ref="N14:Q14"/>
    <mergeCell ref="A129:E129"/>
    <mergeCell ref="A119:C119"/>
    <mergeCell ref="E119:H119"/>
    <mergeCell ref="A120:H120"/>
    <mergeCell ref="A126:C126"/>
    <mergeCell ref="E126:H126"/>
    <mergeCell ref="G127:H127"/>
    <mergeCell ref="A92:H92"/>
    <mergeCell ref="E105:H105"/>
    <mergeCell ref="A106:H106"/>
    <mergeCell ref="E117:H117"/>
    <mergeCell ref="A118:C118"/>
    <mergeCell ref="E118:H118"/>
    <mergeCell ref="E91:H91"/>
    <mergeCell ref="A31:D31"/>
    <mergeCell ref="E31:H31"/>
    <mergeCell ref="A32:H32"/>
    <mergeCell ref="E50:H50"/>
    <mergeCell ref="A51:H51"/>
    <mergeCell ref="E55:H55"/>
    <mergeCell ref="A56:H56"/>
    <mergeCell ref="E63:H63"/>
    <mergeCell ref="A64:H64"/>
    <mergeCell ref="E85:H85"/>
    <mergeCell ref="A86:H86"/>
    <mergeCell ref="A3:H3"/>
    <mergeCell ref="A12:G12"/>
    <mergeCell ref="A13:H13"/>
    <mergeCell ref="A14:A15"/>
    <mergeCell ref="B14:B15"/>
    <mergeCell ref="C14:C15"/>
    <mergeCell ref="D14:D15"/>
    <mergeCell ref="E14:H14"/>
  </mergeCells>
  <pageMargins left="0.49" right="0.11811023622047245" top="0.23622047244094491" bottom="0.74803149606299213" header="0.11811023622047245" footer="0.31496062992125984"/>
  <pageSetup paperSize="9" scale="80" orientation="portrait" r:id="rId1"/>
  <rowBreaks count="1" manualBreakCount="1">
    <brk id="91" max="7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4:M29"/>
  <sheetViews>
    <sheetView workbookViewId="0"/>
  </sheetViews>
  <sheetFormatPr defaultRowHeight="15"/>
  <cols>
    <col min="1" max="1" width="55.5703125" bestFit="1" customWidth="1"/>
    <col min="2" max="2" width="11.5703125" bestFit="1" customWidth="1"/>
    <col min="3" max="3" width="38" bestFit="1" customWidth="1"/>
    <col min="4" max="4" width="10.5703125" bestFit="1" customWidth="1"/>
    <col min="5" max="5" width="55.7109375" bestFit="1" customWidth="1"/>
    <col min="6" max="6" width="9" bestFit="1" customWidth="1"/>
    <col min="7" max="7" width="44.140625" bestFit="1" customWidth="1"/>
    <col min="8" max="8" width="11.5703125" bestFit="1" customWidth="1"/>
    <col min="9" max="9" width="34.85546875" bestFit="1" customWidth="1"/>
    <col min="10" max="10" width="10.5703125" bestFit="1" customWidth="1"/>
    <col min="11" max="11" width="9.140625" style="77"/>
    <col min="12" max="12" width="12.5703125" bestFit="1" customWidth="1"/>
  </cols>
  <sheetData>
    <row r="4" spans="1:12">
      <c r="A4" s="57" t="s">
        <v>47</v>
      </c>
      <c r="B4" s="58"/>
      <c r="C4" s="58" t="s">
        <v>48</v>
      </c>
      <c r="D4" s="58"/>
      <c r="E4" s="58" t="s">
        <v>49</v>
      </c>
      <c r="F4" s="58"/>
      <c r="G4" s="58" t="s">
        <v>50</v>
      </c>
      <c r="H4" s="59"/>
      <c r="I4" s="58" t="s">
        <v>51</v>
      </c>
      <c r="J4" s="59"/>
    </row>
    <row r="5" spans="1:12">
      <c r="A5" s="23" t="s">
        <v>889</v>
      </c>
      <c r="B5" s="23">
        <v>650000</v>
      </c>
      <c r="C5" s="23" t="s">
        <v>846</v>
      </c>
      <c r="D5" s="23">
        <v>150000</v>
      </c>
      <c r="E5" s="15" t="s">
        <v>888</v>
      </c>
      <c r="F5" s="22">
        <v>120000</v>
      </c>
      <c r="G5" s="15" t="s">
        <v>881</v>
      </c>
      <c r="H5" s="22">
        <v>61029600</v>
      </c>
      <c r="I5" s="14" t="s">
        <v>494</v>
      </c>
      <c r="J5" s="15">
        <v>48000</v>
      </c>
    </row>
    <row r="6" spans="1:12">
      <c r="A6" s="23" t="s">
        <v>898</v>
      </c>
      <c r="B6" s="23">
        <v>750000</v>
      </c>
      <c r="C6" s="23" t="s">
        <v>884</v>
      </c>
      <c r="D6" s="23">
        <v>150000</v>
      </c>
      <c r="E6" s="15" t="s">
        <v>891</v>
      </c>
      <c r="F6" s="22">
        <v>320000</v>
      </c>
      <c r="G6" s="15" t="s">
        <v>901</v>
      </c>
      <c r="H6" s="23">
        <v>35000000</v>
      </c>
      <c r="I6" s="14" t="s">
        <v>918</v>
      </c>
      <c r="J6" s="15">
        <v>3500000</v>
      </c>
      <c r="L6" s="72">
        <f>+J6-850000</f>
        <v>2650000</v>
      </c>
    </row>
    <row r="7" spans="1:12">
      <c r="A7" s="24" t="s">
        <v>927</v>
      </c>
      <c r="B7" s="23">
        <v>310000</v>
      </c>
      <c r="C7" s="183" t="s">
        <v>885</v>
      </c>
      <c r="D7" s="30">
        <v>2000000</v>
      </c>
      <c r="E7" s="23" t="s">
        <v>894</v>
      </c>
      <c r="F7" s="23">
        <v>135000</v>
      </c>
      <c r="G7" s="24" t="s">
        <v>907</v>
      </c>
      <c r="H7" s="23">
        <v>195000</v>
      </c>
      <c r="I7" s="183" t="s">
        <v>874</v>
      </c>
      <c r="J7" s="30">
        <v>1700000</v>
      </c>
    </row>
    <row r="8" spans="1:12">
      <c r="A8" s="24" t="s">
        <v>882</v>
      </c>
      <c r="B8" s="23">
        <v>1350000</v>
      </c>
      <c r="C8" s="24" t="s">
        <v>897</v>
      </c>
      <c r="D8" s="23">
        <v>150000</v>
      </c>
      <c r="E8" s="15"/>
      <c r="F8" s="23"/>
      <c r="G8" s="23" t="s">
        <v>909</v>
      </c>
      <c r="H8" s="23">
        <v>265000</v>
      </c>
      <c r="I8" s="183" t="s">
        <v>875</v>
      </c>
      <c r="J8" s="183">
        <v>600000</v>
      </c>
      <c r="K8" s="77">
        <v>600000</v>
      </c>
    </row>
    <row r="9" spans="1:12">
      <c r="A9" s="22" t="s">
        <v>926</v>
      </c>
      <c r="B9" s="22">
        <v>780000</v>
      </c>
      <c r="C9" s="186" t="s">
        <v>410</v>
      </c>
      <c r="D9" s="185">
        <v>850000</v>
      </c>
      <c r="E9" s="23"/>
      <c r="F9" s="23"/>
      <c r="G9" s="24" t="s">
        <v>911</v>
      </c>
      <c r="H9" s="23">
        <v>60000</v>
      </c>
      <c r="I9" s="23" t="s">
        <v>876</v>
      </c>
      <c r="J9" s="23">
        <v>16000</v>
      </c>
    </row>
    <row r="10" spans="1:12">
      <c r="A10" s="22" t="s">
        <v>731</v>
      </c>
      <c r="B10" s="22">
        <v>5615000</v>
      </c>
      <c r="C10" s="30"/>
      <c r="D10" s="188"/>
      <c r="E10" s="183"/>
      <c r="F10" s="30"/>
      <c r="G10" s="23" t="s">
        <v>912</v>
      </c>
      <c r="H10" s="23">
        <v>125000</v>
      </c>
      <c r="I10" s="14" t="s">
        <v>877</v>
      </c>
      <c r="J10" s="15">
        <v>20000</v>
      </c>
    </row>
    <row r="11" spans="1:12">
      <c r="A11" s="22" t="s">
        <v>263</v>
      </c>
      <c r="B11" s="29">
        <v>1540000</v>
      </c>
      <c r="C11" s="30"/>
      <c r="D11" s="188"/>
      <c r="E11" s="30"/>
      <c r="F11" s="188"/>
      <c r="G11" s="24" t="s">
        <v>915</v>
      </c>
      <c r="H11" s="23">
        <v>50000</v>
      </c>
      <c r="I11" s="30" t="s">
        <v>878</v>
      </c>
      <c r="J11" s="188">
        <v>63000</v>
      </c>
      <c r="L11" s="72">
        <f>J5+J9+J11</f>
        <v>127000</v>
      </c>
    </row>
    <row r="12" spans="1:12">
      <c r="A12" s="193" t="s">
        <v>902</v>
      </c>
      <c r="B12" s="194">
        <v>300000</v>
      </c>
      <c r="C12" s="194"/>
      <c r="D12" s="194"/>
      <c r="E12" s="194"/>
      <c r="F12" s="194"/>
      <c r="G12" s="119"/>
      <c r="H12" s="120"/>
      <c r="I12" s="193"/>
      <c r="J12" s="194"/>
    </row>
    <row r="13" spans="1:12">
      <c r="A13" s="68" t="s">
        <v>903</v>
      </c>
      <c r="B13" s="69">
        <v>2450000</v>
      </c>
      <c r="C13" s="69"/>
      <c r="D13" s="69"/>
      <c r="E13" s="69"/>
      <c r="F13" s="69"/>
      <c r="G13" s="119"/>
      <c r="H13" s="120"/>
      <c r="I13" s="68"/>
      <c r="J13" s="69"/>
    </row>
    <row r="14" spans="1:12">
      <c r="A14" s="68" t="s">
        <v>920</v>
      </c>
      <c r="B14" s="69">
        <v>1000000</v>
      </c>
      <c r="C14" s="69"/>
      <c r="D14" s="69"/>
      <c r="E14" s="69"/>
      <c r="F14" s="69"/>
      <c r="G14" s="119"/>
      <c r="H14" s="120"/>
      <c r="I14" s="68"/>
      <c r="J14" s="69"/>
    </row>
    <row r="15" spans="1:12">
      <c r="A15" s="68" t="s">
        <v>921</v>
      </c>
      <c r="B15" s="69">
        <v>600000</v>
      </c>
      <c r="C15" s="69"/>
      <c r="D15" s="69"/>
      <c r="E15" s="69"/>
      <c r="F15" s="69"/>
      <c r="G15" s="119"/>
      <c r="H15" s="120"/>
      <c r="I15" s="68"/>
      <c r="J15" s="69"/>
    </row>
    <row r="16" spans="1:12">
      <c r="A16" s="68" t="s">
        <v>928</v>
      </c>
      <c r="B16" s="69">
        <v>500000</v>
      </c>
      <c r="C16" s="69"/>
      <c r="D16" s="69"/>
      <c r="E16" s="69"/>
      <c r="F16" s="69"/>
      <c r="G16" s="119"/>
      <c r="H16" s="120"/>
      <c r="I16" s="68"/>
      <c r="J16" s="69"/>
    </row>
    <row r="17" spans="1:13">
      <c r="A17" s="68" t="s">
        <v>929</v>
      </c>
      <c r="B17" s="69">
        <v>500000</v>
      </c>
      <c r="C17" s="69"/>
      <c r="D17" s="69"/>
      <c r="E17" s="69"/>
      <c r="F17" s="69"/>
      <c r="G17" s="119"/>
      <c r="H17" s="120"/>
      <c r="I17" s="68"/>
      <c r="J17" s="69"/>
    </row>
    <row r="18" spans="1:13">
      <c r="A18" s="68" t="s">
        <v>924</v>
      </c>
      <c r="B18" s="69">
        <v>210000</v>
      </c>
      <c r="C18" s="69"/>
      <c r="D18" s="69"/>
      <c r="E18" s="69"/>
      <c r="F18" s="69"/>
      <c r="G18" s="119"/>
      <c r="H18" s="120"/>
      <c r="I18" s="68"/>
      <c r="J18" s="69"/>
    </row>
    <row r="19" spans="1:13">
      <c r="A19" s="68" t="s">
        <v>925</v>
      </c>
      <c r="B19" s="69">
        <v>750000</v>
      </c>
      <c r="C19" s="69"/>
      <c r="D19" s="69"/>
      <c r="E19" s="69"/>
      <c r="F19" s="69"/>
      <c r="G19" s="315"/>
      <c r="H19" s="316"/>
      <c r="I19" s="68"/>
      <c r="J19" s="69"/>
    </row>
    <row r="20" spans="1:13">
      <c r="A20" s="68" t="s">
        <v>919</v>
      </c>
      <c r="B20" s="69">
        <v>500000</v>
      </c>
      <c r="C20" s="69"/>
      <c r="D20" s="69"/>
      <c r="E20" s="69"/>
      <c r="F20" s="69"/>
      <c r="G20" s="315"/>
      <c r="H20" s="316"/>
      <c r="I20" s="68"/>
      <c r="J20" s="69"/>
    </row>
    <row r="21" spans="1:13">
      <c r="A21" s="68" t="s">
        <v>905</v>
      </c>
      <c r="B21" s="69">
        <v>300000</v>
      </c>
      <c r="C21" s="69"/>
      <c r="D21" s="69"/>
      <c r="E21" s="69"/>
      <c r="F21" s="69"/>
      <c r="G21" s="23"/>
      <c r="H21" s="23"/>
      <c r="I21" s="68"/>
      <c r="J21" s="69"/>
    </row>
    <row r="22" spans="1:13">
      <c r="A22" s="68"/>
      <c r="B22" s="69"/>
      <c r="C22" s="69"/>
      <c r="D22" s="69"/>
      <c r="E22" s="69"/>
      <c r="F22" s="69"/>
      <c r="G22" s="119"/>
      <c r="H22" s="120"/>
      <c r="I22" s="68"/>
      <c r="J22" s="69"/>
    </row>
    <row r="23" spans="1:13">
      <c r="A23" s="70"/>
      <c r="B23" s="71">
        <f>SUM(B5:B21)</f>
        <v>18105000</v>
      </c>
      <c r="C23" s="71">
        <f t="shared" ref="C23:J23" si="0">SUM(C5:C21)</f>
        <v>0</v>
      </c>
      <c r="D23" s="71">
        <f t="shared" si="0"/>
        <v>3300000</v>
      </c>
      <c r="E23" s="71">
        <f t="shared" si="0"/>
        <v>0</v>
      </c>
      <c r="F23" s="71">
        <f t="shared" si="0"/>
        <v>575000</v>
      </c>
      <c r="G23" s="71">
        <f t="shared" si="0"/>
        <v>0</v>
      </c>
      <c r="H23" s="71">
        <f>SUM(H5:H21)</f>
        <v>96724600</v>
      </c>
      <c r="I23" s="71">
        <f t="shared" si="0"/>
        <v>0</v>
      </c>
      <c r="J23" s="71">
        <f t="shared" si="0"/>
        <v>5947000</v>
      </c>
      <c r="L23" s="72">
        <f>SUM(B23:K23)</f>
        <v>124651600</v>
      </c>
      <c r="M23" s="72">
        <f>L23-Sheet36!N119</f>
        <v>0</v>
      </c>
    </row>
    <row r="25" spans="1:13">
      <c r="B25" s="77">
        <f>155000+50000</f>
        <v>205000</v>
      </c>
    </row>
    <row r="26" spans="1:13">
      <c r="B26" s="72">
        <f>B23-B25</f>
        <v>17900000</v>
      </c>
    </row>
    <row r="27" spans="1:13">
      <c r="I27" s="72"/>
    </row>
    <row r="29" spans="1:13">
      <c r="J29" s="72">
        <f>+J23+F23</f>
        <v>6522000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143"/>
  <sheetViews>
    <sheetView workbookViewId="0"/>
  </sheetViews>
  <sheetFormatPr defaultRowHeight="15"/>
  <cols>
    <col min="1" max="1" width="5.28515625" customWidth="1"/>
    <col min="2" max="2" width="8.28515625" customWidth="1"/>
    <col min="3" max="3" width="60.5703125" customWidth="1"/>
    <col min="4" max="4" width="12" customWidth="1"/>
    <col min="5" max="5" width="6.28515625" customWidth="1"/>
    <col min="6" max="6" width="7.42578125" customWidth="1"/>
    <col min="7" max="7" width="7.7109375" customWidth="1"/>
    <col min="8" max="8" width="12" bestFit="1" customWidth="1"/>
    <col min="12" max="12" width="70.7109375" bestFit="1" customWidth="1"/>
    <col min="13" max="13" width="12" bestFit="1" customWidth="1"/>
    <col min="17" max="17" width="12" bestFit="1" customWidth="1"/>
  </cols>
  <sheetData>
    <row r="1" spans="1:17">
      <c r="A1" s="1" t="s">
        <v>0</v>
      </c>
      <c r="B1" s="2"/>
      <c r="C1" s="3"/>
      <c r="D1" s="3"/>
      <c r="E1" s="3"/>
      <c r="F1" s="3"/>
      <c r="G1" s="3"/>
      <c r="H1" s="3"/>
      <c r="J1" s="1" t="s">
        <v>0</v>
      </c>
      <c r="K1" s="2"/>
      <c r="L1" s="3"/>
      <c r="M1" s="3"/>
      <c r="N1" s="3"/>
      <c r="O1" s="3"/>
      <c r="P1" s="3"/>
      <c r="Q1" s="3"/>
    </row>
    <row r="2" spans="1:17">
      <c r="A2" s="1" t="s">
        <v>951</v>
      </c>
      <c r="B2" s="2"/>
      <c r="C2" s="3"/>
      <c r="D2" s="3"/>
      <c r="E2" s="3"/>
      <c r="F2" s="3"/>
      <c r="G2" s="3"/>
      <c r="H2" s="3"/>
      <c r="J2" s="1" t="s">
        <v>951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">
        <v>103914101</v>
      </c>
      <c r="E4" s="6"/>
      <c r="F4" s="6"/>
      <c r="G4" s="6"/>
      <c r="H4" s="6"/>
      <c r="J4" s="4"/>
      <c r="K4" s="5"/>
      <c r="L4" s="6" t="s">
        <v>2</v>
      </c>
      <c r="M4" s="7">
        <v>103914101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 t="s">
        <v>849</v>
      </c>
      <c r="E5" s="6"/>
      <c r="F5" s="6"/>
      <c r="G5" s="6"/>
      <c r="H5" s="6"/>
      <c r="J5" s="4"/>
      <c r="K5" s="5"/>
      <c r="L5" s="6" t="s">
        <v>590</v>
      </c>
      <c r="M5" s="7" t="s">
        <v>849</v>
      </c>
      <c r="N5" s="6"/>
      <c r="O5" s="6"/>
      <c r="P5" s="6"/>
      <c r="Q5" s="6"/>
    </row>
    <row r="6" spans="1:17">
      <c r="A6" s="4"/>
      <c r="B6" s="5"/>
      <c r="C6" s="6" t="s">
        <v>3</v>
      </c>
      <c r="D6" s="8">
        <v>30917815</v>
      </c>
      <c r="E6" s="6"/>
      <c r="F6" s="6"/>
      <c r="G6" s="6"/>
      <c r="H6" s="6"/>
      <c r="J6" s="4"/>
      <c r="K6" s="5"/>
      <c r="L6" s="6" t="s">
        <v>3</v>
      </c>
      <c r="M6" s="8">
        <v>30917815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1139810</v>
      </c>
      <c r="E7" s="6"/>
      <c r="F7" s="6"/>
      <c r="G7" s="6"/>
      <c r="H7" s="6"/>
      <c r="J7" s="4"/>
      <c r="K7" s="5"/>
      <c r="L7" s="6" t="s">
        <v>4</v>
      </c>
      <c r="M7" s="115">
        <v>1139810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J10" s="4"/>
      <c r="K10" s="5"/>
      <c r="L10" s="6" t="s">
        <v>7</v>
      </c>
      <c r="M10" s="6">
        <v>2363662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952</v>
      </c>
      <c r="B12" s="532"/>
      <c r="C12" s="532"/>
      <c r="D12" s="532"/>
      <c r="E12" s="532"/>
      <c r="F12" s="532"/>
      <c r="G12" s="533"/>
      <c r="H12" s="10">
        <f>SUM(D4:D10)</f>
        <v>142779276.51333332</v>
      </c>
      <c r="J12" s="531" t="s">
        <v>952</v>
      </c>
      <c r="K12" s="532"/>
      <c r="L12" s="532"/>
      <c r="M12" s="532"/>
      <c r="N12" s="532"/>
      <c r="O12" s="532"/>
      <c r="P12" s="533"/>
      <c r="Q12" s="10">
        <f>SUM(M4:M10)</f>
        <v>142779276.51333332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321" t="s">
        <v>14</v>
      </c>
      <c r="F15" s="321" t="s">
        <v>15</v>
      </c>
      <c r="G15" s="321" t="s">
        <v>16</v>
      </c>
      <c r="H15" s="321" t="s">
        <v>17</v>
      </c>
      <c r="J15" s="536"/>
      <c r="K15" s="537"/>
      <c r="L15" s="538"/>
      <c r="M15" s="538"/>
      <c r="N15" s="326" t="s">
        <v>14</v>
      </c>
      <c r="O15" s="326" t="s">
        <v>15</v>
      </c>
      <c r="P15" s="326" t="s">
        <v>16</v>
      </c>
      <c r="Q15" s="326" t="s">
        <v>17</v>
      </c>
    </row>
    <row r="16" spans="1:17">
      <c r="A16" s="12"/>
      <c r="B16" s="19" t="s">
        <v>942</v>
      </c>
      <c r="C16" s="14" t="s">
        <v>494</v>
      </c>
      <c r="D16" s="15">
        <v>32000</v>
      </c>
      <c r="E16" s="168"/>
      <c r="F16" s="168"/>
      <c r="G16" s="168"/>
      <c r="H16" s="168"/>
      <c r="J16" s="12"/>
      <c r="K16" s="19" t="s">
        <v>942</v>
      </c>
      <c r="L16" s="14" t="s">
        <v>494</v>
      </c>
      <c r="M16" s="15">
        <v>32000</v>
      </c>
      <c r="N16" s="168"/>
      <c r="O16" s="168"/>
      <c r="P16" s="168"/>
      <c r="Q16" s="168"/>
    </row>
    <row r="17" spans="1:17">
      <c r="A17" s="12"/>
      <c r="B17" s="19" t="s">
        <v>945</v>
      </c>
      <c r="C17" s="14" t="s">
        <v>930</v>
      </c>
      <c r="D17" s="15">
        <v>1000000</v>
      </c>
      <c r="E17" s="16"/>
      <c r="F17" s="16"/>
      <c r="G17" s="16"/>
      <c r="H17" s="16"/>
      <c r="J17" s="12"/>
      <c r="K17" s="19" t="s">
        <v>945</v>
      </c>
      <c r="L17" s="14" t="s">
        <v>930</v>
      </c>
      <c r="M17" s="15">
        <v>1000000</v>
      </c>
      <c r="N17" s="16"/>
      <c r="O17" s="16"/>
      <c r="P17" s="16"/>
      <c r="Q17" s="16"/>
    </row>
    <row r="18" spans="1:17">
      <c r="A18" s="12"/>
      <c r="B18" s="19" t="s">
        <v>945</v>
      </c>
      <c r="C18" s="14" t="s">
        <v>931</v>
      </c>
      <c r="D18" s="15">
        <v>900000</v>
      </c>
      <c r="E18" s="16"/>
      <c r="F18" s="16"/>
      <c r="G18" s="16"/>
      <c r="H18" s="16"/>
      <c r="J18" s="12"/>
      <c r="K18" s="19" t="s">
        <v>945</v>
      </c>
      <c r="L18" s="14" t="s">
        <v>931</v>
      </c>
      <c r="M18" s="15">
        <v>900000</v>
      </c>
      <c r="N18" s="16"/>
      <c r="O18" s="16"/>
      <c r="P18" s="16"/>
      <c r="Q18" s="16"/>
    </row>
    <row r="19" spans="1:17">
      <c r="A19" s="12"/>
      <c r="B19" s="19" t="s">
        <v>945</v>
      </c>
      <c r="C19" s="14" t="s">
        <v>932</v>
      </c>
      <c r="D19" s="15">
        <v>4000000</v>
      </c>
      <c r="E19" s="16"/>
      <c r="F19" s="16"/>
      <c r="G19" s="16"/>
      <c r="H19" s="16"/>
      <c r="J19" s="12"/>
      <c r="K19" s="19" t="s">
        <v>945</v>
      </c>
      <c r="L19" s="14" t="s">
        <v>932</v>
      </c>
      <c r="M19" s="15"/>
      <c r="N19" s="16"/>
      <c r="O19" s="16"/>
      <c r="P19" s="16"/>
      <c r="Q19" s="16"/>
    </row>
    <row r="20" spans="1:17">
      <c r="A20" s="12"/>
      <c r="B20" s="19"/>
      <c r="C20" s="14"/>
      <c r="D20" s="15"/>
      <c r="E20" s="16"/>
      <c r="F20" s="16"/>
      <c r="G20" s="16"/>
      <c r="H20" s="16"/>
      <c r="J20" s="12"/>
      <c r="K20" s="19"/>
      <c r="L20" s="14"/>
      <c r="M20" s="15"/>
      <c r="N20" s="16"/>
      <c r="O20" s="16"/>
      <c r="P20" s="16"/>
      <c r="Q20" s="16"/>
    </row>
    <row r="21" spans="1:17" hidden="1">
      <c r="A21" s="12"/>
      <c r="B21" s="19"/>
      <c r="C21" s="14"/>
      <c r="D21" s="15"/>
      <c r="E21" s="16"/>
      <c r="F21" s="16"/>
      <c r="G21" s="16"/>
      <c r="H21" s="16"/>
      <c r="J21" s="12"/>
      <c r="K21" s="19"/>
      <c r="L21" s="14"/>
      <c r="M21" s="15"/>
      <c r="N21" s="16"/>
      <c r="O21" s="16"/>
      <c r="P21" s="16"/>
      <c r="Q21" s="16"/>
    </row>
    <row r="22" spans="1:17" hidden="1">
      <c r="A22" s="12"/>
      <c r="B22" s="19"/>
      <c r="C22" s="14"/>
      <c r="D22" s="15"/>
      <c r="E22" s="16"/>
      <c r="F22" s="16"/>
      <c r="G22" s="16"/>
      <c r="H22" s="16"/>
      <c r="J22" s="12"/>
      <c r="K22" s="19"/>
      <c r="L22" s="14"/>
      <c r="M22" s="15"/>
      <c r="N22" s="16"/>
      <c r="O22" s="16"/>
      <c r="P22" s="16"/>
      <c r="Q22" s="16"/>
    </row>
    <row r="23" spans="1:17" hidden="1">
      <c r="A23" s="12"/>
      <c r="B23" s="19"/>
      <c r="C23" s="14"/>
      <c r="D23" s="15"/>
      <c r="E23" s="16"/>
      <c r="F23" s="16"/>
      <c r="G23" s="16"/>
      <c r="H23" s="16"/>
      <c r="J23" s="12"/>
      <c r="K23" s="19"/>
      <c r="L23" s="14"/>
      <c r="M23" s="15"/>
      <c r="N23" s="16"/>
      <c r="O23" s="16"/>
      <c r="P23" s="16"/>
      <c r="Q23" s="16"/>
    </row>
    <row r="24" spans="1:17" hidden="1">
      <c r="A24" s="12"/>
      <c r="B24" s="19"/>
      <c r="C24" s="14"/>
      <c r="D24" s="15"/>
      <c r="E24" s="16"/>
      <c r="F24" s="16"/>
      <c r="G24" s="16"/>
      <c r="H24" s="16"/>
      <c r="J24" s="12"/>
      <c r="K24" s="19"/>
      <c r="L24" s="14"/>
      <c r="M24" s="15"/>
      <c r="N24" s="16"/>
      <c r="O24" s="16"/>
      <c r="P24" s="16"/>
      <c r="Q24" s="16"/>
    </row>
    <row r="25" spans="1:17" hidden="1">
      <c r="A25" s="12"/>
      <c r="B25" s="19"/>
      <c r="C25" s="14"/>
      <c r="D25" s="15"/>
      <c r="E25" s="16"/>
      <c r="F25" s="16"/>
      <c r="G25" s="16"/>
      <c r="H25" s="16"/>
      <c r="J25" s="12"/>
      <c r="K25" s="19"/>
      <c r="L25" s="14"/>
      <c r="M25" s="15"/>
      <c r="N25" s="16"/>
      <c r="O25" s="16"/>
      <c r="P25" s="16"/>
      <c r="Q25" s="16"/>
    </row>
    <row r="26" spans="1:17" hidden="1">
      <c r="A26" s="12"/>
      <c r="B26" s="19"/>
      <c r="C26" s="14"/>
      <c r="D26" s="15"/>
      <c r="E26" s="16"/>
      <c r="F26" s="16"/>
      <c r="G26" s="16"/>
      <c r="H26" s="16"/>
      <c r="J26" s="12"/>
      <c r="K26" s="19"/>
      <c r="L26" s="14"/>
      <c r="M26" s="15"/>
      <c r="N26" s="16"/>
      <c r="O26" s="16"/>
      <c r="P26" s="16"/>
      <c r="Q26" s="16"/>
    </row>
    <row r="27" spans="1:17" hidden="1">
      <c r="A27" s="12"/>
      <c r="B27" s="19"/>
      <c r="C27" s="14"/>
      <c r="D27" s="15"/>
      <c r="E27" s="16"/>
      <c r="F27" s="16"/>
      <c r="G27" s="16"/>
      <c r="H27" s="16"/>
      <c r="J27" s="12"/>
      <c r="K27" s="19"/>
      <c r="L27" s="14"/>
      <c r="M27" s="15"/>
      <c r="N27" s="16"/>
      <c r="O27" s="16"/>
      <c r="P27" s="16"/>
      <c r="Q27" s="16"/>
    </row>
    <row r="28" spans="1:17" hidden="1">
      <c r="A28" s="12"/>
      <c r="B28" s="19"/>
      <c r="C28" s="14"/>
      <c r="D28" s="15"/>
      <c r="E28" s="16"/>
      <c r="F28" s="16"/>
      <c r="G28" s="16"/>
      <c r="H28" s="16"/>
      <c r="J28" s="12"/>
      <c r="K28" s="19"/>
      <c r="L28" s="14"/>
      <c r="M28" s="15"/>
      <c r="N28" s="16"/>
      <c r="O28" s="16"/>
      <c r="P28" s="16"/>
      <c r="Q28" s="16"/>
    </row>
    <row r="29" spans="1:17">
      <c r="A29" s="18"/>
      <c r="B29" s="19"/>
      <c r="C29" s="321" t="s">
        <v>20</v>
      </c>
      <c r="D29" s="10">
        <f>SUM(D16:D27)</f>
        <v>5932000</v>
      </c>
      <c r="E29" s="10"/>
      <c r="F29" s="10"/>
      <c r="G29" s="10"/>
      <c r="H29" s="10"/>
      <c r="J29" s="18"/>
      <c r="K29" s="19"/>
      <c r="L29" s="326" t="s">
        <v>20</v>
      </c>
      <c r="M29" s="10">
        <f>SUM(M16:M27)</f>
        <v>1932000</v>
      </c>
      <c r="N29" s="10"/>
      <c r="O29" s="10"/>
      <c r="P29" s="10"/>
      <c r="Q29" s="10"/>
    </row>
    <row r="30" spans="1:17">
      <c r="A30" s="20"/>
      <c r="B30" s="319"/>
      <c r="C30" s="152" t="s">
        <v>21</v>
      </c>
      <c r="D30" s="150"/>
      <c r="E30" s="150"/>
      <c r="F30" s="150"/>
      <c r="G30" s="151"/>
      <c r="H30" s="21">
        <f>+D29</f>
        <v>5932000</v>
      </c>
      <c r="J30" s="20"/>
      <c r="K30" s="324"/>
      <c r="L30" s="152" t="s">
        <v>21</v>
      </c>
      <c r="M30" s="150"/>
      <c r="N30" s="150"/>
      <c r="O30" s="150"/>
      <c r="P30" s="151"/>
      <c r="Q30" s="21">
        <f>+M29</f>
        <v>1932000</v>
      </c>
    </row>
    <row r="31" spans="1:17">
      <c r="A31" s="526" t="s">
        <v>22</v>
      </c>
      <c r="B31" s="526"/>
      <c r="C31" s="526"/>
      <c r="D31" s="526"/>
      <c r="E31" s="526">
        <f>+H30</f>
        <v>5932000</v>
      </c>
      <c r="F31" s="526"/>
      <c r="G31" s="526"/>
      <c r="H31" s="526"/>
      <c r="J31" s="526" t="s">
        <v>22</v>
      </c>
      <c r="K31" s="526"/>
      <c r="L31" s="526"/>
      <c r="M31" s="526"/>
      <c r="N31" s="526">
        <f>+Q30</f>
        <v>1932000</v>
      </c>
      <c r="O31" s="526"/>
      <c r="P31" s="526"/>
      <c r="Q31" s="526"/>
    </row>
    <row r="32" spans="1:17">
      <c r="A32" s="524" t="s">
        <v>23</v>
      </c>
      <c r="B32" s="524"/>
      <c r="C32" s="524"/>
      <c r="D32" s="524"/>
      <c r="E32" s="524"/>
      <c r="F32" s="524"/>
      <c r="G32" s="524"/>
      <c r="H32" s="524"/>
      <c r="J32" s="524" t="s">
        <v>23</v>
      </c>
      <c r="K32" s="524"/>
      <c r="L32" s="524"/>
      <c r="M32" s="524"/>
      <c r="N32" s="524"/>
      <c r="O32" s="524"/>
      <c r="P32" s="524"/>
      <c r="Q32" s="524"/>
    </row>
    <row r="33" spans="1:17">
      <c r="A33" s="12"/>
      <c r="B33" s="19" t="s">
        <v>946</v>
      </c>
      <c r="C33" s="15" t="s">
        <v>933</v>
      </c>
      <c r="D33" s="22">
        <v>745000</v>
      </c>
      <c r="E33" s="22"/>
      <c r="F33" s="22"/>
      <c r="G33" s="16"/>
      <c r="H33" s="16"/>
      <c r="J33" s="12"/>
      <c r="K33" s="19" t="s">
        <v>946</v>
      </c>
      <c r="L33" s="15" t="s">
        <v>933</v>
      </c>
      <c r="M33" s="22">
        <v>745000</v>
      </c>
      <c r="N33" s="22"/>
      <c r="O33" s="22"/>
      <c r="P33" s="16"/>
      <c r="Q33" s="16"/>
    </row>
    <row r="34" spans="1:17">
      <c r="A34" s="12"/>
      <c r="B34" s="19"/>
      <c r="C34" s="15"/>
      <c r="D34" s="22"/>
      <c r="E34" s="22"/>
      <c r="F34" s="22"/>
      <c r="G34" s="16"/>
      <c r="H34" s="16"/>
      <c r="J34" s="12"/>
      <c r="K34" s="19"/>
      <c r="L34" s="15"/>
      <c r="M34" s="22"/>
      <c r="N34" s="22"/>
      <c r="O34" s="22"/>
      <c r="P34" s="16"/>
      <c r="Q34" s="16"/>
    </row>
    <row r="35" spans="1:17">
      <c r="A35" s="12"/>
      <c r="B35" s="19"/>
      <c r="C35" s="15"/>
      <c r="D35" s="22"/>
      <c r="E35" s="22"/>
      <c r="F35" s="22"/>
      <c r="G35" s="16"/>
      <c r="H35" s="16"/>
      <c r="J35" s="12"/>
      <c r="K35" s="19"/>
      <c r="L35" s="15"/>
      <c r="M35" s="22"/>
      <c r="N35" s="22"/>
      <c r="O35" s="22"/>
      <c r="P35" s="16"/>
      <c r="Q35" s="16"/>
    </row>
    <row r="36" spans="1:17" hidden="1">
      <c r="A36" s="12"/>
      <c r="B36" s="19"/>
      <c r="C36" s="15"/>
      <c r="D36" s="23"/>
      <c r="E36" s="22"/>
      <c r="F36" s="22"/>
      <c r="G36" s="16"/>
      <c r="H36" s="16"/>
      <c r="J36" s="12"/>
      <c r="K36" s="19"/>
      <c r="L36" s="15"/>
      <c r="M36" s="23"/>
      <c r="N36" s="22"/>
      <c r="O36" s="22"/>
      <c r="P36" s="16"/>
      <c r="Q36" s="16"/>
    </row>
    <row r="37" spans="1:17" hidden="1">
      <c r="A37" s="12"/>
      <c r="B37" s="19"/>
      <c r="C37" s="15"/>
      <c r="D37" s="23"/>
      <c r="E37" s="22"/>
      <c r="F37" s="22"/>
      <c r="G37" s="16"/>
      <c r="H37" s="16"/>
      <c r="J37" s="12"/>
      <c r="K37" s="19"/>
      <c r="L37" s="15"/>
      <c r="M37" s="23"/>
      <c r="N37" s="22"/>
      <c r="O37" s="22"/>
      <c r="P37" s="16"/>
      <c r="Q37" s="16"/>
    </row>
    <row r="38" spans="1:17" hidden="1">
      <c r="A38" s="12"/>
      <c r="B38" s="19"/>
      <c r="C38" s="15"/>
      <c r="D38" s="23"/>
      <c r="E38" s="22"/>
      <c r="F38" s="22"/>
      <c r="G38" s="16"/>
      <c r="H38" s="16"/>
      <c r="J38" s="12"/>
      <c r="K38" s="19"/>
      <c r="L38" s="15"/>
      <c r="M38" s="23"/>
      <c r="N38" s="22"/>
      <c r="O38" s="22"/>
      <c r="P38" s="16"/>
      <c r="Q38" s="16"/>
    </row>
    <row r="39" spans="1:17" hidden="1">
      <c r="A39" s="12"/>
      <c r="B39" s="19"/>
      <c r="C39" s="15"/>
      <c r="D39" s="23"/>
      <c r="E39" s="22"/>
      <c r="F39" s="22"/>
      <c r="G39" s="16"/>
      <c r="H39" s="16"/>
      <c r="J39" s="12"/>
      <c r="K39" s="19"/>
      <c r="L39" s="15"/>
      <c r="M39" s="23"/>
      <c r="N39" s="22"/>
      <c r="O39" s="22"/>
      <c r="P39" s="16"/>
      <c r="Q39" s="16"/>
    </row>
    <row r="40" spans="1:17" hidden="1">
      <c r="A40" s="12"/>
      <c r="B40" s="19"/>
      <c r="C40" s="15"/>
      <c r="D40" s="23"/>
      <c r="E40" s="22"/>
      <c r="F40" s="22"/>
      <c r="G40" s="16"/>
      <c r="H40" s="16"/>
      <c r="J40" s="12"/>
      <c r="K40" s="19"/>
      <c r="L40" s="15"/>
      <c r="M40" s="23"/>
      <c r="N40" s="22"/>
      <c r="O40" s="22"/>
      <c r="P40" s="16"/>
      <c r="Q40" s="16"/>
    </row>
    <row r="41" spans="1:17" hidden="1">
      <c r="A41" s="12"/>
      <c r="B41" s="13"/>
      <c r="C41" s="15"/>
      <c r="D41" s="23"/>
      <c r="E41" s="22"/>
      <c r="F41" s="22"/>
      <c r="G41" s="16"/>
      <c r="H41" s="16"/>
      <c r="J41" s="12"/>
      <c r="K41" s="13"/>
      <c r="L41" s="15"/>
      <c r="M41" s="23"/>
      <c r="N41" s="22"/>
      <c r="O41" s="22"/>
      <c r="P41" s="16"/>
      <c r="Q41" s="16"/>
    </row>
    <row r="42" spans="1:17" hidden="1">
      <c r="A42" s="12"/>
      <c r="B42" s="13"/>
      <c r="C42" s="15"/>
      <c r="D42" s="23"/>
      <c r="E42" s="22"/>
      <c r="F42" s="22"/>
      <c r="G42" s="16"/>
      <c r="H42" s="16"/>
      <c r="J42" s="12"/>
      <c r="K42" s="13"/>
      <c r="L42" s="15"/>
      <c r="M42" s="23"/>
      <c r="N42" s="22"/>
      <c r="O42" s="22"/>
      <c r="P42" s="16"/>
      <c r="Q42" s="16"/>
    </row>
    <row r="43" spans="1:17" hidden="1">
      <c r="A43" s="12"/>
      <c r="B43" s="13"/>
      <c r="C43" s="15"/>
      <c r="D43" s="23"/>
      <c r="E43" s="22"/>
      <c r="F43" s="22"/>
      <c r="G43" s="16"/>
      <c r="H43" s="16"/>
      <c r="J43" s="12"/>
      <c r="K43" s="13"/>
      <c r="L43" s="15"/>
      <c r="M43" s="23"/>
      <c r="N43" s="22"/>
      <c r="O43" s="22"/>
      <c r="P43" s="16"/>
      <c r="Q43" s="16"/>
    </row>
    <row r="44" spans="1:17" hidden="1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</row>
    <row r="45" spans="1:17" hidden="1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</row>
    <row r="46" spans="1:17" hidden="1">
      <c r="A46" s="12"/>
      <c r="B46" s="13"/>
      <c r="C46" s="15"/>
      <c r="D46" s="23"/>
      <c r="E46" s="22"/>
      <c r="F46" s="22"/>
      <c r="G46" s="16"/>
      <c r="H46" s="16"/>
      <c r="J46" s="12"/>
      <c r="K46" s="13"/>
      <c r="L46" s="15"/>
      <c r="M46" s="23"/>
      <c r="N46" s="22"/>
      <c r="O46" s="22"/>
      <c r="P46" s="16"/>
      <c r="Q46" s="16"/>
    </row>
    <row r="47" spans="1:17" hidden="1">
      <c r="A47" s="12"/>
      <c r="B47" s="13"/>
      <c r="C47" s="15"/>
      <c r="D47" s="23"/>
      <c r="E47" s="22"/>
      <c r="F47" s="22"/>
      <c r="G47" s="16"/>
      <c r="H47" s="16"/>
      <c r="J47" s="12"/>
      <c r="K47" s="13"/>
      <c r="L47" s="15"/>
      <c r="M47" s="23"/>
      <c r="N47" s="22"/>
      <c r="O47" s="22"/>
      <c r="P47" s="16"/>
      <c r="Q47" s="16"/>
    </row>
    <row r="48" spans="1:17" hidden="1">
      <c r="A48" s="12"/>
      <c r="B48" s="13"/>
      <c r="C48" s="15"/>
      <c r="D48" s="23"/>
      <c r="E48" s="22"/>
      <c r="F48" s="22"/>
      <c r="G48" s="16"/>
      <c r="H48" s="16"/>
      <c r="J48" s="12"/>
      <c r="K48" s="13"/>
      <c r="L48" s="15"/>
      <c r="M48" s="23"/>
      <c r="N48" s="22"/>
      <c r="O48" s="22"/>
      <c r="P48" s="16"/>
      <c r="Q48" s="16"/>
    </row>
    <row r="49" spans="1:17">
      <c r="A49" s="25"/>
      <c r="B49" s="19"/>
      <c r="C49" s="26" t="s">
        <v>24</v>
      </c>
      <c r="D49" s="27">
        <f>SUM(D33:D48)</f>
        <v>745000</v>
      </c>
      <c r="E49" s="27"/>
      <c r="F49" s="27"/>
      <c r="G49" s="27"/>
      <c r="H49" s="27"/>
      <c r="J49" s="25"/>
      <c r="K49" s="19"/>
      <c r="L49" s="26" t="s">
        <v>24</v>
      </c>
      <c r="M49" s="27">
        <f>SUM(M33:M48)</f>
        <v>745000</v>
      </c>
      <c r="N49" s="27"/>
      <c r="O49" s="27"/>
      <c r="P49" s="27"/>
      <c r="Q49" s="27"/>
    </row>
    <row r="50" spans="1:17">
      <c r="A50" s="20"/>
      <c r="B50" s="19"/>
      <c r="C50" s="321" t="s">
        <v>21</v>
      </c>
      <c r="D50" s="10"/>
      <c r="E50" s="530">
        <f>D49</f>
        <v>745000</v>
      </c>
      <c r="F50" s="530"/>
      <c r="G50" s="530"/>
      <c r="H50" s="530"/>
      <c r="J50" s="20"/>
      <c r="K50" s="19"/>
      <c r="L50" s="326" t="s">
        <v>21</v>
      </c>
      <c r="M50" s="10"/>
      <c r="N50" s="530">
        <f>M49</f>
        <v>745000</v>
      </c>
      <c r="O50" s="530"/>
      <c r="P50" s="530"/>
      <c r="Q50" s="530"/>
    </row>
    <row r="51" spans="1:17" hidden="1">
      <c r="A51" s="524" t="s">
        <v>349</v>
      </c>
      <c r="B51" s="524"/>
      <c r="C51" s="524"/>
      <c r="D51" s="524"/>
      <c r="E51" s="524"/>
      <c r="F51" s="524"/>
      <c r="G51" s="524"/>
      <c r="H51" s="524"/>
      <c r="J51" s="524" t="s">
        <v>349</v>
      </c>
      <c r="K51" s="524"/>
      <c r="L51" s="524"/>
      <c r="M51" s="524"/>
      <c r="N51" s="524"/>
      <c r="O51" s="524"/>
      <c r="P51" s="524"/>
      <c r="Q51" s="524"/>
    </row>
    <row r="52" spans="1:17" hidden="1">
      <c r="A52" s="28"/>
      <c r="B52" s="23" t="s">
        <v>717</v>
      </c>
      <c r="C52" s="23" t="s">
        <v>749</v>
      </c>
      <c r="D52" s="23"/>
      <c r="E52" s="28"/>
      <c r="F52" s="28"/>
      <c r="G52" s="28"/>
      <c r="H52" s="28"/>
      <c r="J52" s="28"/>
      <c r="K52" s="23" t="s">
        <v>717</v>
      </c>
      <c r="L52" s="23" t="s">
        <v>749</v>
      </c>
      <c r="M52" s="23"/>
      <c r="N52" s="28"/>
      <c r="O52" s="28"/>
      <c r="P52" s="28"/>
      <c r="Q52" s="28"/>
    </row>
    <row r="53" spans="1:17" hidden="1">
      <c r="A53" s="28"/>
      <c r="B53" s="23"/>
      <c r="C53" s="23"/>
      <c r="D53" s="23"/>
      <c r="E53" s="28"/>
      <c r="F53" s="28"/>
      <c r="G53" s="28"/>
      <c r="H53" s="28"/>
      <c r="J53" s="28"/>
      <c r="K53" s="23"/>
      <c r="L53" s="23"/>
      <c r="M53" s="23"/>
      <c r="N53" s="28"/>
      <c r="O53" s="28"/>
      <c r="P53" s="28"/>
      <c r="Q53" s="28"/>
    </row>
    <row r="54" spans="1:17" hidden="1">
      <c r="A54" s="12"/>
      <c r="B54" s="13"/>
      <c r="C54" s="26" t="s">
        <v>448</v>
      </c>
      <c r="D54" s="27">
        <f>SUM(D52:D53)</f>
        <v>0</v>
      </c>
      <c r="E54" s="27">
        <v>0</v>
      </c>
      <c r="F54" s="27">
        <v>0</v>
      </c>
      <c r="G54" s="27"/>
      <c r="H54" s="27"/>
      <c r="J54" s="12"/>
      <c r="K54" s="13"/>
      <c r="L54" s="26" t="s">
        <v>448</v>
      </c>
      <c r="M54" s="27">
        <f>SUM(M52:M53)</f>
        <v>0</v>
      </c>
      <c r="N54" s="27">
        <v>0</v>
      </c>
      <c r="O54" s="27">
        <v>0</v>
      </c>
      <c r="P54" s="27"/>
      <c r="Q54" s="27"/>
    </row>
    <row r="55" spans="1:17" hidden="1">
      <c r="A55" s="20"/>
      <c r="B55" s="19"/>
      <c r="C55" s="321" t="s">
        <v>21</v>
      </c>
      <c r="D55" s="10"/>
      <c r="E55" s="530">
        <f>D54</f>
        <v>0</v>
      </c>
      <c r="F55" s="530"/>
      <c r="G55" s="530"/>
      <c r="H55" s="530"/>
      <c r="J55" s="20"/>
      <c r="K55" s="19"/>
      <c r="L55" s="326" t="s">
        <v>21</v>
      </c>
      <c r="M55" s="10"/>
      <c r="N55" s="530">
        <f>M54</f>
        <v>0</v>
      </c>
      <c r="O55" s="530"/>
      <c r="P55" s="530"/>
      <c r="Q55" s="530"/>
    </row>
    <row r="56" spans="1:17" hidden="1">
      <c r="A56" s="524" t="s">
        <v>895</v>
      </c>
      <c r="B56" s="524"/>
      <c r="C56" s="524"/>
      <c r="D56" s="524"/>
      <c r="E56" s="524"/>
      <c r="F56" s="524"/>
      <c r="G56" s="524"/>
      <c r="H56" s="524"/>
      <c r="J56" s="524" t="s">
        <v>895</v>
      </c>
      <c r="K56" s="524"/>
      <c r="L56" s="524"/>
      <c r="M56" s="524"/>
      <c r="N56" s="524"/>
      <c r="O56" s="524"/>
      <c r="P56" s="524"/>
      <c r="Q56" s="524"/>
    </row>
    <row r="57" spans="1:17" hidden="1">
      <c r="A57" s="28"/>
      <c r="B57" s="19" t="s">
        <v>892</v>
      </c>
      <c r="C57" s="23" t="s">
        <v>894</v>
      </c>
      <c r="D57" s="23"/>
      <c r="E57" s="28"/>
      <c r="F57" s="28"/>
      <c r="G57" s="28"/>
      <c r="H57" s="28"/>
      <c r="J57" s="28"/>
      <c r="K57" s="19" t="s">
        <v>892</v>
      </c>
      <c r="L57" s="23" t="s">
        <v>894</v>
      </c>
      <c r="M57" s="23"/>
      <c r="N57" s="28"/>
      <c r="O57" s="28"/>
      <c r="P57" s="28"/>
      <c r="Q57" s="28"/>
    </row>
    <row r="58" spans="1:17" hidden="1">
      <c r="A58" s="28"/>
      <c r="B58" s="19" t="s">
        <v>893</v>
      </c>
      <c r="C58" s="23" t="s">
        <v>897</v>
      </c>
      <c r="D58" s="23"/>
      <c r="E58" s="28"/>
      <c r="F58" s="28"/>
      <c r="G58" s="28"/>
      <c r="H58" s="28"/>
      <c r="J58" s="28"/>
      <c r="K58" s="19" t="s">
        <v>893</v>
      </c>
      <c r="L58" s="23" t="s">
        <v>897</v>
      </c>
      <c r="M58" s="23"/>
      <c r="N58" s="28"/>
      <c r="O58" s="28"/>
      <c r="P58" s="28"/>
      <c r="Q58" s="28"/>
    </row>
    <row r="59" spans="1:17" hidden="1">
      <c r="A59" s="28"/>
      <c r="B59" s="19" t="s">
        <v>899</v>
      </c>
      <c r="C59" s="23" t="s">
        <v>898</v>
      </c>
      <c r="D59" s="23"/>
      <c r="E59" s="28"/>
      <c r="F59" s="28"/>
      <c r="G59" s="28"/>
      <c r="H59" s="28"/>
      <c r="J59" s="28"/>
      <c r="K59" s="19" t="s">
        <v>899</v>
      </c>
      <c r="L59" s="23" t="s">
        <v>898</v>
      </c>
      <c r="M59" s="23"/>
      <c r="N59" s="28"/>
      <c r="O59" s="28"/>
      <c r="P59" s="28"/>
      <c r="Q59" s="28"/>
    </row>
    <row r="60" spans="1:17" hidden="1">
      <c r="A60" s="28"/>
      <c r="B60" s="23" t="s">
        <v>899</v>
      </c>
      <c r="C60" s="23" t="s">
        <v>927</v>
      </c>
      <c r="D60" s="23"/>
      <c r="E60" s="28"/>
      <c r="F60" s="28"/>
      <c r="G60" s="28"/>
      <c r="H60" s="28"/>
      <c r="J60" s="28"/>
      <c r="K60" s="23" t="s">
        <v>899</v>
      </c>
      <c r="L60" s="23" t="s">
        <v>927</v>
      </c>
      <c r="M60" s="23"/>
      <c r="N60" s="28"/>
      <c r="O60" s="28"/>
      <c r="P60" s="28"/>
      <c r="Q60" s="28"/>
    </row>
    <row r="61" spans="1:17" hidden="1">
      <c r="A61" s="28"/>
      <c r="B61" s="23"/>
      <c r="C61" s="23"/>
      <c r="D61" s="23"/>
      <c r="E61" s="28"/>
      <c r="F61" s="28"/>
      <c r="G61" s="28"/>
      <c r="H61" s="28"/>
      <c r="J61" s="28"/>
      <c r="K61" s="23"/>
      <c r="L61" s="23"/>
      <c r="M61" s="23"/>
      <c r="N61" s="28"/>
      <c r="O61" s="28"/>
      <c r="P61" s="28"/>
      <c r="Q61" s="28"/>
    </row>
    <row r="62" spans="1:17" hidden="1">
      <c r="A62" s="12"/>
      <c r="B62" s="13"/>
      <c r="C62" s="26" t="s">
        <v>896</v>
      </c>
      <c r="D62" s="27">
        <f>SUM(D57:D60)</f>
        <v>0</v>
      </c>
      <c r="E62" s="27">
        <v>0</v>
      </c>
      <c r="F62" s="27">
        <v>0</v>
      </c>
      <c r="G62" s="27"/>
      <c r="H62" s="27"/>
      <c r="J62" s="12"/>
      <c r="K62" s="13"/>
      <c r="L62" s="26" t="s">
        <v>896</v>
      </c>
      <c r="M62" s="27">
        <f>SUM(M57:M60)</f>
        <v>0</v>
      </c>
      <c r="N62" s="27">
        <v>0</v>
      </c>
      <c r="O62" s="27">
        <v>0</v>
      </c>
      <c r="P62" s="27"/>
      <c r="Q62" s="27"/>
    </row>
    <row r="63" spans="1:17" hidden="1">
      <c r="A63" s="20"/>
      <c r="B63" s="19"/>
      <c r="C63" s="321" t="s">
        <v>21</v>
      </c>
      <c r="D63" s="10"/>
      <c r="E63" s="530">
        <f>D62</f>
        <v>0</v>
      </c>
      <c r="F63" s="530"/>
      <c r="G63" s="530"/>
      <c r="H63" s="530"/>
      <c r="J63" s="20"/>
      <c r="K63" s="19"/>
      <c r="L63" s="326" t="s">
        <v>21</v>
      </c>
      <c r="M63" s="10"/>
      <c r="N63" s="530">
        <f>M62</f>
        <v>0</v>
      </c>
      <c r="O63" s="530"/>
      <c r="P63" s="530"/>
      <c r="Q63" s="530"/>
    </row>
    <row r="64" spans="1:17">
      <c r="A64" s="524" t="s">
        <v>54</v>
      </c>
      <c r="B64" s="524"/>
      <c r="C64" s="524"/>
      <c r="D64" s="524"/>
      <c r="E64" s="524"/>
      <c r="F64" s="524"/>
      <c r="G64" s="524"/>
      <c r="H64" s="524"/>
      <c r="J64" s="524" t="s">
        <v>54</v>
      </c>
      <c r="K64" s="524"/>
      <c r="L64" s="524"/>
      <c r="M64" s="524"/>
      <c r="N64" s="524"/>
      <c r="O64" s="524"/>
      <c r="P64" s="524"/>
      <c r="Q64" s="524"/>
    </row>
    <row r="65" spans="1:17">
      <c r="A65" s="28"/>
      <c r="B65" s="23" t="s">
        <v>900</v>
      </c>
      <c r="C65" s="23" t="s">
        <v>934</v>
      </c>
      <c r="D65" s="23">
        <v>1000000</v>
      </c>
      <c r="E65" s="28"/>
      <c r="F65" s="28"/>
      <c r="G65" s="28"/>
      <c r="H65" s="28"/>
      <c r="J65" s="28"/>
      <c r="K65" s="23" t="s">
        <v>900</v>
      </c>
      <c r="L65" s="23" t="s">
        <v>934</v>
      </c>
      <c r="M65" s="23">
        <v>1000000</v>
      </c>
      <c r="N65" s="28"/>
      <c r="O65" s="28"/>
      <c r="P65" s="28"/>
      <c r="Q65" s="28"/>
    </row>
    <row r="66" spans="1:17">
      <c r="A66" s="28"/>
      <c r="B66" s="23" t="s">
        <v>943</v>
      </c>
      <c r="C66" s="23" t="s">
        <v>944</v>
      </c>
      <c r="D66" s="23">
        <v>100000</v>
      </c>
      <c r="E66" s="28"/>
      <c r="F66" s="28"/>
      <c r="G66" s="28"/>
      <c r="H66" s="28"/>
      <c r="J66" s="28"/>
      <c r="K66" s="23" t="s">
        <v>943</v>
      </c>
      <c r="L66" s="23" t="s">
        <v>944</v>
      </c>
      <c r="M66" s="23">
        <v>100000</v>
      </c>
      <c r="N66" s="28"/>
      <c r="O66" s="28"/>
      <c r="P66" s="28"/>
      <c r="Q66" s="28"/>
    </row>
    <row r="67" spans="1:17">
      <c r="A67" s="28"/>
      <c r="B67" s="23" t="s">
        <v>947</v>
      </c>
      <c r="C67" s="23" t="s">
        <v>935</v>
      </c>
      <c r="D67" s="23">
        <v>450000</v>
      </c>
      <c r="E67" s="28"/>
      <c r="F67" s="28"/>
      <c r="G67" s="28"/>
      <c r="H67" s="28"/>
      <c r="J67" s="28"/>
      <c r="K67" s="23" t="s">
        <v>947</v>
      </c>
      <c r="L67" s="23" t="s">
        <v>935</v>
      </c>
      <c r="M67" s="23">
        <v>450000</v>
      </c>
      <c r="N67" s="28"/>
      <c r="O67" s="28"/>
      <c r="P67" s="28"/>
      <c r="Q67" s="28"/>
    </row>
    <row r="68" spans="1:17">
      <c r="A68" s="28"/>
      <c r="B68" s="23" t="s">
        <v>947</v>
      </c>
      <c r="C68" s="23" t="s">
        <v>936</v>
      </c>
      <c r="D68" s="23">
        <v>450000</v>
      </c>
      <c r="E68" s="28"/>
      <c r="F68" s="28"/>
      <c r="G68" s="28"/>
      <c r="H68" s="28"/>
      <c r="J68" s="28"/>
      <c r="K68" s="23" t="s">
        <v>947</v>
      </c>
      <c r="L68" s="23" t="s">
        <v>936</v>
      </c>
      <c r="M68" s="23">
        <v>450000</v>
      </c>
      <c r="N68" s="28"/>
      <c r="O68" s="28"/>
      <c r="P68" s="28"/>
      <c r="Q68" s="28"/>
    </row>
    <row r="69" spans="1:17">
      <c r="A69" s="28"/>
      <c r="B69" s="23" t="s">
        <v>948</v>
      </c>
      <c r="C69" s="23" t="s">
        <v>731</v>
      </c>
      <c r="D69" s="23">
        <v>5495000</v>
      </c>
      <c r="E69" s="28"/>
      <c r="F69" s="28"/>
      <c r="G69" s="28"/>
      <c r="H69" s="28"/>
      <c r="J69" s="28"/>
      <c r="K69" s="23" t="s">
        <v>948</v>
      </c>
      <c r="L69" s="23" t="s">
        <v>731</v>
      </c>
      <c r="M69" s="23">
        <v>5495000</v>
      </c>
      <c r="N69" s="28"/>
      <c r="O69" s="28"/>
      <c r="P69" s="28"/>
      <c r="Q69" s="28"/>
    </row>
    <row r="70" spans="1:17">
      <c r="A70" s="28"/>
      <c r="B70" s="23" t="s">
        <v>948</v>
      </c>
      <c r="C70" s="23" t="s">
        <v>901</v>
      </c>
      <c r="D70" s="23">
        <v>35000000</v>
      </c>
      <c r="E70" s="28"/>
      <c r="F70" s="28"/>
      <c r="G70" s="28"/>
      <c r="H70" s="28"/>
      <c r="J70" s="28"/>
      <c r="K70" s="23" t="s">
        <v>948</v>
      </c>
      <c r="L70" s="23" t="s">
        <v>901</v>
      </c>
      <c r="M70" s="23">
        <v>35000000</v>
      </c>
      <c r="N70" s="28"/>
      <c r="O70" s="28"/>
      <c r="P70" s="28"/>
      <c r="Q70" s="28"/>
    </row>
    <row r="71" spans="1:17">
      <c r="A71" s="28"/>
      <c r="B71" s="23" t="s">
        <v>948</v>
      </c>
      <c r="C71" s="23" t="s">
        <v>263</v>
      </c>
      <c r="D71" s="23">
        <f>220000*5</f>
        <v>1100000</v>
      </c>
      <c r="E71" s="28"/>
      <c r="F71" s="28"/>
      <c r="G71" s="28"/>
      <c r="H71" s="28"/>
      <c r="J71" s="28"/>
      <c r="K71" s="23" t="s">
        <v>948</v>
      </c>
      <c r="L71" s="23" t="s">
        <v>263</v>
      </c>
      <c r="M71" s="23">
        <f>220000*5</f>
        <v>1100000</v>
      </c>
      <c r="N71" s="28"/>
      <c r="O71" s="28"/>
      <c r="P71" s="28"/>
      <c r="Q71" s="28"/>
    </row>
    <row r="72" spans="1:17">
      <c r="A72" s="12"/>
      <c r="B72" s="23" t="s">
        <v>948</v>
      </c>
      <c r="C72" s="23" t="s">
        <v>937</v>
      </c>
      <c r="D72" s="23">
        <v>1000000</v>
      </c>
      <c r="E72" s="321"/>
      <c r="F72" s="321"/>
      <c r="G72" s="321"/>
      <c r="H72" s="321"/>
      <c r="J72" s="12"/>
      <c r="K72" s="23" t="s">
        <v>948</v>
      </c>
      <c r="L72" s="23" t="s">
        <v>937</v>
      </c>
      <c r="M72" s="23">
        <v>1000000</v>
      </c>
      <c r="N72" s="326"/>
      <c r="O72" s="326"/>
      <c r="P72" s="326"/>
      <c r="Q72" s="326"/>
    </row>
    <row r="73" spans="1:17">
      <c r="A73" s="12"/>
      <c r="B73" s="23" t="s">
        <v>948</v>
      </c>
      <c r="C73" s="23" t="s">
        <v>902</v>
      </c>
      <c r="D73" s="23">
        <v>300000</v>
      </c>
      <c r="E73" s="321"/>
      <c r="F73" s="321"/>
      <c r="G73" s="321"/>
      <c r="H73" s="321"/>
      <c r="J73" s="12"/>
      <c r="K73" s="23" t="s">
        <v>948</v>
      </c>
      <c r="L73" s="23" t="s">
        <v>902</v>
      </c>
      <c r="M73" s="23">
        <v>300000</v>
      </c>
      <c r="N73" s="326"/>
      <c r="O73" s="326"/>
      <c r="P73" s="326"/>
      <c r="Q73" s="326"/>
    </row>
    <row r="74" spans="1:17">
      <c r="A74" s="12"/>
      <c r="B74" s="23" t="s">
        <v>948</v>
      </c>
      <c r="C74" s="23" t="s">
        <v>903</v>
      </c>
      <c r="D74" s="23">
        <v>2450000</v>
      </c>
      <c r="E74" s="321"/>
      <c r="F74" s="321"/>
      <c r="G74" s="321"/>
      <c r="H74" s="321"/>
      <c r="J74" s="12"/>
      <c r="K74" s="23" t="s">
        <v>948</v>
      </c>
      <c r="L74" s="23" t="s">
        <v>903</v>
      </c>
      <c r="M74" s="23">
        <v>2450000</v>
      </c>
      <c r="N74" s="326"/>
      <c r="O74" s="326"/>
      <c r="P74" s="326"/>
      <c r="Q74" s="326"/>
    </row>
    <row r="75" spans="1:17">
      <c r="A75" s="12"/>
      <c r="B75" s="23" t="s">
        <v>948</v>
      </c>
      <c r="C75" s="24" t="s">
        <v>938</v>
      </c>
      <c r="D75" s="23">
        <v>130000</v>
      </c>
      <c r="E75" s="321"/>
      <c r="F75" s="321"/>
      <c r="G75" s="321"/>
      <c r="H75" s="321"/>
      <c r="J75" s="12"/>
      <c r="K75" s="23" t="s">
        <v>948</v>
      </c>
      <c r="L75" s="24" t="s">
        <v>938</v>
      </c>
      <c r="M75" s="23">
        <v>130000</v>
      </c>
      <c r="N75" s="326"/>
      <c r="O75" s="326"/>
      <c r="P75" s="326"/>
      <c r="Q75" s="326"/>
    </row>
    <row r="76" spans="1:17">
      <c r="A76" s="12"/>
      <c r="B76" s="23" t="s">
        <v>949</v>
      </c>
      <c r="C76" s="23" t="s">
        <v>939</v>
      </c>
      <c r="D76" s="23">
        <v>78661600</v>
      </c>
      <c r="E76" s="321"/>
      <c r="F76" s="321"/>
      <c r="G76" s="321"/>
      <c r="H76" s="321"/>
      <c r="J76" s="12"/>
      <c r="K76" s="23" t="s">
        <v>949</v>
      </c>
      <c r="L76" s="23" t="s">
        <v>939</v>
      </c>
      <c r="M76" s="23">
        <v>78661600</v>
      </c>
      <c r="N76" s="326"/>
      <c r="O76" s="326"/>
      <c r="P76" s="326"/>
      <c r="Q76" s="326"/>
    </row>
    <row r="77" spans="1:17">
      <c r="A77" s="12"/>
      <c r="B77" s="23"/>
      <c r="C77" s="23"/>
      <c r="D77" s="23"/>
      <c r="E77" s="321"/>
      <c r="F77" s="321"/>
      <c r="G77" s="321"/>
      <c r="H77" s="321"/>
      <c r="J77" s="12"/>
      <c r="K77" s="23"/>
      <c r="L77" s="23"/>
      <c r="M77" s="23"/>
      <c r="N77" s="326"/>
      <c r="O77" s="326"/>
      <c r="P77" s="326"/>
      <c r="Q77" s="326"/>
    </row>
    <row r="78" spans="1:17" hidden="1">
      <c r="A78" s="12"/>
      <c r="B78" s="23"/>
      <c r="C78" s="23"/>
      <c r="D78" s="23"/>
      <c r="E78" s="321"/>
      <c r="F78" s="321"/>
      <c r="G78" s="321"/>
      <c r="H78" s="321"/>
      <c r="J78" s="12"/>
      <c r="K78" s="23"/>
      <c r="L78" s="23"/>
      <c r="M78" s="23"/>
      <c r="N78" s="326"/>
      <c r="O78" s="326"/>
      <c r="P78" s="326"/>
      <c r="Q78" s="326"/>
    </row>
    <row r="79" spans="1:17" hidden="1">
      <c r="A79" s="12"/>
      <c r="B79" s="23"/>
      <c r="C79" s="23"/>
      <c r="D79" s="23"/>
      <c r="E79" s="321"/>
      <c r="F79" s="321"/>
      <c r="G79" s="321"/>
      <c r="H79" s="321"/>
      <c r="J79" s="12"/>
      <c r="K79" s="23"/>
      <c r="L79" s="23"/>
      <c r="M79" s="23"/>
      <c r="N79" s="326"/>
      <c r="O79" s="326"/>
      <c r="P79" s="326"/>
      <c r="Q79" s="326"/>
    </row>
    <row r="80" spans="1:17" hidden="1">
      <c r="A80" s="12"/>
      <c r="B80" s="23"/>
      <c r="C80" s="23"/>
      <c r="D80" s="23"/>
      <c r="E80" s="321"/>
      <c r="F80" s="321"/>
      <c r="G80" s="321"/>
      <c r="H80" s="321"/>
      <c r="J80" s="12"/>
      <c r="K80" s="23"/>
      <c r="L80" s="23"/>
      <c r="M80" s="23"/>
      <c r="N80" s="326"/>
      <c r="O80" s="326"/>
      <c r="P80" s="326"/>
      <c r="Q80" s="326"/>
    </row>
    <row r="81" spans="1:17" hidden="1">
      <c r="A81" s="12"/>
      <c r="B81" s="23"/>
      <c r="C81" s="23"/>
      <c r="D81" s="23"/>
      <c r="E81" s="321"/>
      <c r="F81" s="321"/>
      <c r="G81" s="321"/>
      <c r="H81" s="321"/>
      <c r="J81" s="12"/>
      <c r="K81" s="23"/>
      <c r="L81" s="23"/>
      <c r="M81" s="23"/>
      <c r="N81" s="326"/>
      <c r="O81" s="326"/>
      <c r="P81" s="326"/>
      <c r="Q81" s="326"/>
    </row>
    <row r="82" spans="1:17" hidden="1">
      <c r="A82" s="12"/>
      <c r="B82" s="23"/>
      <c r="C82" s="23"/>
      <c r="D82" s="23"/>
      <c r="E82" s="321"/>
      <c r="F82" s="321"/>
      <c r="G82" s="321"/>
      <c r="H82" s="321"/>
      <c r="J82" s="12"/>
      <c r="K82" s="23"/>
      <c r="L82" s="23"/>
      <c r="M82" s="23"/>
      <c r="N82" s="326"/>
      <c r="O82" s="326"/>
      <c r="P82" s="326"/>
      <c r="Q82" s="326"/>
    </row>
    <row r="83" spans="1:17" hidden="1">
      <c r="A83" s="12"/>
      <c r="B83" s="23"/>
      <c r="C83" s="23"/>
      <c r="D83" s="23"/>
      <c r="E83" s="321"/>
      <c r="F83" s="321"/>
      <c r="G83" s="321"/>
      <c r="H83" s="321"/>
      <c r="J83" s="12"/>
      <c r="K83" s="23"/>
      <c r="L83" s="23"/>
      <c r="M83" s="23"/>
      <c r="N83" s="326"/>
      <c r="O83" s="326"/>
      <c r="P83" s="326"/>
      <c r="Q83" s="326"/>
    </row>
    <row r="84" spans="1:17" hidden="1">
      <c r="A84" s="12"/>
      <c r="B84" s="23"/>
      <c r="C84" s="24"/>
      <c r="D84" s="23"/>
      <c r="E84" s="321"/>
      <c r="F84" s="321"/>
      <c r="G84" s="321"/>
      <c r="H84" s="321"/>
      <c r="J84" s="12"/>
      <c r="K84" s="23"/>
      <c r="L84" s="24"/>
      <c r="M84" s="23"/>
      <c r="N84" s="326"/>
      <c r="O84" s="326"/>
      <c r="P84" s="326"/>
      <c r="Q84" s="326"/>
    </row>
    <row r="85" spans="1:17">
      <c r="A85" s="12"/>
      <c r="B85" s="13"/>
      <c r="C85" s="26" t="s">
        <v>55</v>
      </c>
      <c r="D85" s="27">
        <f>SUM(D65:D83)</f>
        <v>126136600</v>
      </c>
      <c r="E85" s="27">
        <v>0</v>
      </c>
      <c r="F85" s="27">
        <v>0</v>
      </c>
      <c r="G85" s="27"/>
      <c r="H85" s="27"/>
      <c r="J85" s="12"/>
      <c r="K85" s="13"/>
      <c r="L85" s="26" t="s">
        <v>55</v>
      </c>
      <c r="M85" s="27">
        <f>SUM(M65:M83)</f>
        <v>126136600</v>
      </c>
      <c r="N85" s="27">
        <v>0</v>
      </c>
      <c r="O85" s="27">
        <v>0</v>
      </c>
      <c r="P85" s="27"/>
      <c r="Q85" s="27"/>
    </row>
    <row r="86" spans="1:17">
      <c r="A86" s="20"/>
      <c r="B86" s="19"/>
      <c r="C86" s="321" t="s">
        <v>21</v>
      </c>
      <c r="D86" s="10"/>
      <c r="E86" s="530">
        <f>D85</f>
        <v>126136600</v>
      </c>
      <c r="F86" s="530"/>
      <c r="G86" s="530"/>
      <c r="H86" s="530"/>
      <c r="J86" s="20"/>
      <c r="K86" s="19"/>
      <c r="L86" s="326" t="s">
        <v>21</v>
      </c>
      <c r="M86" s="10"/>
      <c r="N86" s="530">
        <f>M85</f>
        <v>126136600</v>
      </c>
      <c r="O86" s="530"/>
      <c r="P86" s="530"/>
      <c r="Q86" s="530"/>
    </row>
    <row r="87" spans="1:17" hidden="1">
      <c r="A87" s="524" t="s">
        <v>847</v>
      </c>
      <c r="B87" s="524"/>
      <c r="C87" s="524"/>
      <c r="D87" s="524"/>
      <c r="E87" s="524"/>
      <c r="F87" s="524"/>
      <c r="G87" s="524"/>
      <c r="H87" s="524"/>
      <c r="J87" s="524" t="s">
        <v>847</v>
      </c>
      <c r="K87" s="524"/>
      <c r="L87" s="524"/>
      <c r="M87" s="524"/>
      <c r="N87" s="524"/>
      <c r="O87" s="524"/>
      <c r="P87" s="524"/>
      <c r="Q87" s="524"/>
    </row>
    <row r="88" spans="1:17" hidden="1">
      <c r="A88" s="28"/>
      <c r="B88" s="19"/>
      <c r="C88" s="23"/>
      <c r="D88" s="23"/>
      <c r="E88" s="28"/>
      <c r="F88" s="28"/>
      <c r="G88" s="28"/>
      <c r="H88" s="28"/>
      <c r="J88" s="28"/>
      <c r="K88" s="19"/>
      <c r="L88" s="23"/>
      <c r="M88" s="23"/>
      <c r="N88" s="28"/>
      <c r="O88" s="28"/>
      <c r="P88" s="28"/>
      <c r="Q88" s="28"/>
    </row>
    <row r="89" spans="1:17" hidden="1">
      <c r="A89" s="28"/>
      <c r="B89" s="23"/>
      <c r="C89" s="23"/>
      <c r="D89" s="23"/>
      <c r="E89" s="28"/>
      <c r="F89" s="28"/>
      <c r="G89" s="28"/>
      <c r="H89" s="28"/>
      <c r="J89" s="28"/>
      <c r="K89" s="23"/>
      <c r="L89" s="23"/>
      <c r="M89" s="23"/>
      <c r="N89" s="28"/>
      <c r="O89" s="28"/>
      <c r="P89" s="28"/>
      <c r="Q89" s="28"/>
    </row>
    <row r="90" spans="1:17" hidden="1">
      <c r="A90" s="12"/>
      <c r="B90" s="19"/>
      <c r="C90" s="24"/>
      <c r="D90" s="23"/>
      <c r="E90" s="321"/>
      <c r="F90" s="321"/>
      <c r="G90" s="321"/>
      <c r="H90" s="321"/>
      <c r="J90" s="12"/>
      <c r="K90" s="19"/>
      <c r="L90" s="24"/>
      <c r="M90" s="23"/>
      <c r="N90" s="326"/>
      <c r="O90" s="326"/>
      <c r="P90" s="326"/>
      <c r="Q90" s="326"/>
    </row>
    <row r="91" spans="1:17" hidden="1">
      <c r="A91" s="12"/>
      <c r="B91" s="13"/>
      <c r="C91" s="26" t="s">
        <v>848</v>
      </c>
      <c r="D91" s="27">
        <f>SUM(D88:D90)</f>
        <v>0</v>
      </c>
      <c r="E91" s="27">
        <v>0</v>
      </c>
      <c r="F91" s="27">
        <v>0</v>
      </c>
      <c r="G91" s="27"/>
      <c r="H91" s="27"/>
      <c r="J91" s="12"/>
      <c r="K91" s="13"/>
      <c r="L91" s="26" t="s">
        <v>848</v>
      </c>
      <c r="M91" s="27">
        <f>SUM(M88:M90)</f>
        <v>0</v>
      </c>
      <c r="N91" s="27">
        <v>0</v>
      </c>
      <c r="O91" s="27">
        <v>0</v>
      </c>
      <c r="P91" s="27"/>
      <c r="Q91" s="27"/>
    </row>
    <row r="92" spans="1:17" hidden="1">
      <c r="A92" s="20"/>
      <c r="B92" s="19"/>
      <c r="C92" s="321" t="s">
        <v>21</v>
      </c>
      <c r="D92" s="10"/>
      <c r="E92" s="530">
        <f>D91</f>
        <v>0</v>
      </c>
      <c r="F92" s="530"/>
      <c r="G92" s="530"/>
      <c r="H92" s="530"/>
      <c r="J92" s="20"/>
      <c r="K92" s="19"/>
      <c r="L92" s="326" t="s">
        <v>21</v>
      </c>
      <c r="M92" s="10"/>
      <c r="N92" s="530">
        <f>M91</f>
        <v>0</v>
      </c>
      <c r="O92" s="530"/>
      <c r="P92" s="530"/>
      <c r="Q92" s="530"/>
    </row>
    <row r="93" spans="1:17">
      <c r="A93" s="527" t="s">
        <v>26</v>
      </c>
      <c r="B93" s="528"/>
      <c r="C93" s="528"/>
      <c r="D93" s="528"/>
      <c r="E93" s="528"/>
      <c r="F93" s="528"/>
      <c r="G93" s="528"/>
      <c r="H93" s="529"/>
      <c r="J93" s="527" t="s">
        <v>26</v>
      </c>
      <c r="K93" s="528"/>
      <c r="L93" s="528"/>
      <c r="M93" s="528"/>
      <c r="N93" s="528"/>
      <c r="O93" s="528"/>
      <c r="P93" s="528"/>
      <c r="Q93" s="529"/>
    </row>
    <row r="94" spans="1:17">
      <c r="A94" s="12"/>
      <c r="B94" s="23" t="s">
        <v>950</v>
      </c>
      <c r="C94" s="24" t="s">
        <v>940</v>
      </c>
      <c r="D94" s="23">
        <v>430000</v>
      </c>
      <c r="E94" s="22"/>
      <c r="F94" s="22"/>
      <c r="G94" s="16"/>
      <c r="H94" s="16"/>
      <c r="J94" s="12"/>
      <c r="K94" s="23" t="s">
        <v>950</v>
      </c>
      <c r="L94" s="24" t="s">
        <v>940</v>
      </c>
      <c r="M94" s="23">
        <v>430000</v>
      </c>
      <c r="N94" s="22"/>
      <c r="O94" s="22"/>
      <c r="P94" s="16"/>
      <c r="Q94" s="16"/>
    </row>
    <row r="95" spans="1:17">
      <c r="A95" s="12"/>
      <c r="B95" s="23" t="s">
        <v>950</v>
      </c>
      <c r="C95" s="24" t="s">
        <v>941</v>
      </c>
      <c r="D95" s="23">
        <v>3258000</v>
      </c>
      <c r="E95" s="22"/>
      <c r="F95" s="22"/>
      <c r="G95" s="16"/>
      <c r="H95" s="16"/>
      <c r="J95" s="12"/>
      <c r="K95" s="23" t="s">
        <v>950</v>
      </c>
      <c r="L95" s="24" t="s">
        <v>941</v>
      </c>
      <c r="M95" s="23">
        <v>3258000</v>
      </c>
      <c r="N95" s="22"/>
      <c r="O95" s="22"/>
      <c r="P95" s="16"/>
      <c r="Q95" s="16"/>
    </row>
    <row r="96" spans="1:17">
      <c r="A96" s="12"/>
      <c r="B96" s="23"/>
      <c r="C96" s="24"/>
      <c r="D96" s="23"/>
      <c r="E96" s="22"/>
      <c r="F96" s="22"/>
      <c r="G96" s="16"/>
      <c r="H96" s="16"/>
      <c r="J96" s="12"/>
      <c r="K96" s="23"/>
      <c r="L96" s="24"/>
      <c r="M96" s="23"/>
      <c r="N96" s="22"/>
      <c r="O96" s="22"/>
      <c r="P96" s="16"/>
      <c r="Q96" s="16"/>
    </row>
    <row r="97" spans="1:17" hidden="1">
      <c r="A97" s="12"/>
      <c r="B97" s="23"/>
      <c r="C97" s="24"/>
      <c r="D97" s="23"/>
      <c r="E97" s="22"/>
      <c r="F97" s="22"/>
      <c r="G97" s="16"/>
      <c r="H97" s="16"/>
      <c r="J97" s="12"/>
      <c r="K97" s="23"/>
      <c r="L97" s="24"/>
      <c r="M97" s="23"/>
      <c r="N97" s="22"/>
      <c r="O97" s="22"/>
      <c r="P97" s="16"/>
      <c r="Q97" s="16"/>
    </row>
    <row r="98" spans="1:17" hidden="1">
      <c r="A98" s="12"/>
      <c r="B98" s="19"/>
      <c r="C98" s="24"/>
      <c r="D98" s="23"/>
      <c r="E98" s="22"/>
      <c r="F98" s="22"/>
      <c r="G98" s="16"/>
      <c r="H98" s="16"/>
      <c r="J98" s="12"/>
      <c r="K98" s="19"/>
      <c r="L98" s="24"/>
      <c r="M98" s="23"/>
      <c r="N98" s="22"/>
      <c r="O98" s="22"/>
      <c r="P98" s="16"/>
      <c r="Q98" s="16"/>
    </row>
    <row r="99" spans="1:17" hidden="1">
      <c r="A99" s="12"/>
      <c r="B99" s="19"/>
      <c r="C99" s="24"/>
      <c r="D99" s="23"/>
      <c r="E99" s="22"/>
      <c r="F99" s="22"/>
      <c r="G99" s="16"/>
      <c r="H99" s="16"/>
      <c r="J99" s="12"/>
      <c r="K99" s="19"/>
      <c r="L99" s="24"/>
      <c r="M99" s="23"/>
      <c r="N99" s="22"/>
      <c r="O99" s="22"/>
      <c r="P99" s="16"/>
      <c r="Q99" s="16"/>
    </row>
    <row r="100" spans="1:17" hidden="1">
      <c r="A100" s="12"/>
      <c r="B100" s="19"/>
      <c r="C100" s="23"/>
      <c r="D100" s="23"/>
      <c r="E100" s="22"/>
      <c r="F100" s="22"/>
      <c r="G100" s="16"/>
      <c r="H100" s="16"/>
      <c r="J100" s="12"/>
      <c r="K100" s="19"/>
      <c r="L100" s="23"/>
      <c r="M100" s="23"/>
      <c r="N100" s="22"/>
      <c r="O100" s="22"/>
      <c r="P100" s="16"/>
      <c r="Q100" s="16"/>
    </row>
    <row r="101" spans="1:17" hidden="1">
      <c r="A101" s="12"/>
      <c r="B101" s="19"/>
      <c r="C101" s="23"/>
      <c r="D101" s="23"/>
      <c r="E101" s="22"/>
      <c r="F101" s="22"/>
      <c r="G101" s="16"/>
      <c r="H101" s="16"/>
      <c r="J101" s="12"/>
      <c r="K101" s="19"/>
      <c r="L101" s="23"/>
      <c r="M101" s="23"/>
      <c r="N101" s="22"/>
      <c r="O101" s="22"/>
      <c r="P101" s="16"/>
      <c r="Q101" s="16"/>
    </row>
    <row r="102" spans="1:17" hidden="1">
      <c r="A102" s="12"/>
      <c r="B102" s="19"/>
      <c r="C102" s="23"/>
      <c r="D102" s="23"/>
      <c r="E102" s="22"/>
      <c r="F102" s="22"/>
      <c r="G102" s="16"/>
      <c r="H102" s="16"/>
      <c r="J102" s="12"/>
      <c r="K102" s="19"/>
      <c r="L102" s="23"/>
      <c r="M102" s="23"/>
      <c r="N102" s="22"/>
      <c r="O102" s="22"/>
      <c r="P102" s="16"/>
      <c r="Q102" s="16"/>
    </row>
    <row r="103" spans="1:17" hidden="1">
      <c r="A103" s="12"/>
      <c r="B103" s="19"/>
      <c r="C103" s="24"/>
      <c r="D103" s="23"/>
      <c r="E103" s="22"/>
      <c r="F103" s="22"/>
      <c r="G103" s="16"/>
      <c r="H103" s="16"/>
      <c r="J103" s="12"/>
      <c r="K103" s="19"/>
      <c r="L103" s="24"/>
      <c r="M103" s="23"/>
      <c r="N103" s="22"/>
      <c r="O103" s="22"/>
      <c r="P103" s="16"/>
      <c r="Q103" s="16"/>
    </row>
    <row r="104" spans="1:17" hidden="1">
      <c r="A104" s="12"/>
      <c r="B104" s="19"/>
      <c r="C104" s="24"/>
      <c r="D104" s="23"/>
      <c r="E104" s="22"/>
      <c r="F104" s="22"/>
      <c r="G104" s="16"/>
      <c r="H104" s="16"/>
      <c r="J104" s="12"/>
      <c r="K104" s="19"/>
      <c r="L104" s="24"/>
      <c r="M104" s="23"/>
      <c r="N104" s="22"/>
      <c r="O104" s="22"/>
      <c r="P104" s="16"/>
      <c r="Q104" s="16"/>
    </row>
    <row r="105" spans="1:17">
      <c r="A105" s="25"/>
      <c r="B105" s="19"/>
      <c r="C105" s="26" t="s">
        <v>31</v>
      </c>
      <c r="D105" s="27">
        <f>SUM(D94:D104)</f>
        <v>3688000</v>
      </c>
      <c r="E105" s="27"/>
      <c r="F105" s="27"/>
      <c r="G105" s="27"/>
      <c r="H105" s="27"/>
      <c r="J105" s="25"/>
      <c r="K105" s="19"/>
      <c r="L105" s="26" t="s">
        <v>31</v>
      </c>
      <c r="M105" s="27">
        <f>SUM(M94:M104)</f>
        <v>3688000</v>
      </c>
      <c r="N105" s="27"/>
      <c r="O105" s="27"/>
      <c r="P105" s="27"/>
      <c r="Q105" s="27"/>
    </row>
    <row r="106" spans="1:17">
      <c r="A106" s="20"/>
      <c r="B106" s="19"/>
      <c r="C106" s="321" t="s">
        <v>21</v>
      </c>
      <c r="D106" s="10"/>
      <c r="E106" s="530">
        <f>D105</f>
        <v>3688000</v>
      </c>
      <c r="F106" s="530"/>
      <c r="G106" s="530"/>
      <c r="H106" s="530"/>
      <c r="J106" s="20"/>
      <c r="K106" s="19"/>
      <c r="L106" s="326" t="s">
        <v>21</v>
      </c>
      <c r="M106" s="10"/>
      <c r="N106" s="530">
        <f>M105</f>
        <v>3688000</v>
      </c>
      <c r="O106" s="530"/>
      <c r="P106" s="530"/>
      <c r="Q106" s="530"/>
    </row>
    <row r="107" spans="1:17">
      <c r="A107" s="527" t="s">
        <v>32</v>
      </c>
      <c r="B107" s="528"/>
      <c r="C107" s="528"/>
      <c r="D107" s="528"/>
      <c r="E107" s="528"/>
      <c r="F107" s="528"/>
      <c r="G107" s="528"/>
      <c r="H107" s="529"/>
      <c r="J107" s="527" t="s">
        <v>32</v>
      </c>
      <c r="K107" s="528"/>
      <c r="L107" s="528"/>
      <c r="M107" s="528"/>
      <c r="N107" s="528"/>
      <c r="O107" s="528"/>
      <c r="P107" s="528"/>
      <c r="Q107" s="529"/>
    </row>
    <row r="108" spans="1:17">
      <c r="A108" s="12"/>
      <c r="B108" s="13"/>
      <c r="C108" s="22"/>
      <c r="D108" s="22"/>
      <c r="E108" s="321"/>
      <c r="F108" s="321"/>
      <c r="G108" s="321"/>
      <c r="H108" s="321"/>
      <c r="J108" s="12"/>
      <c r="K108" s="13"/>
      <c r="L108" s="22"/>
      <c r="M108" s="22"/>
      <c r="N108" s="326"/>
      <c r="O108" s="326"/>
      <c r="P108" s="326"/>
      <c r="Q108" s="326"/>
    </row>
    <row r="109" spans="1:17">
      <c r="A109" s="12"/>
      <c r="B109" s="13"/>
      <c r="C109" s="22"/>
      <c r="D109" s="22"/>
      <c r="E109" s="321"/>
      <c r="F109" s="321"/>
      <c r="G109" s="321"/>
      <c r="H109" s="321"/>
      <c r="J109" s="12"/>
      <c r="K109" s="13"/>
      <c r="L109" s="22"/>
      <c r="M109" s="22"/>
      <c r="N109" s="326"/>
      <c r="O109" s="326"/>
      <c r="P109" s="326"/>
      <c r="Q109" s="326"/>
    </row>
    <row r="110" spans="1:17">
      <c r="A110" s="12"/>
      <c r="B110" s="13"/>
      <c r="C110" s="22"/>
      <c r="D110" s="22"/>
      <c r="E110" s="321"/>
      <c r="F110" s="321"/>
      <c r="G110" s="321"/>
      <c r="H110" s="321"/>
      <c r="J110" s="12"/>
      <c r="K110" s="13"/>
      <c r="L110" s="22"/>
      <c r="M110" s="22"/>
      <c r="N110" s="326"/>
      <c r="O110" s="326"/>
      <c r="P110" s="326"/>
      <c r="Q110" s="326"/>
    </row>
    <row r="111" spans="1:17">
      <c r="A111" s="12"/>
      <c r="B111" s="13"/>
      <c r="C111" s="22"/>
      <c r="D111" s="29"/>
      <c r="E111" s="321"/>
      <c r="F111" s="321"/>
      <c r="G111" s="321"/>
      <c r="H111" s="321"/>
      <c r="J111" s="12"/>
      <c r="K111" s="13"/>
      <c r="L111" s="22"/>
      <c r="M111" s="29"/>
      <c r="N111" s="326"/>
      <c r="O111" s="326"/>
      <c r="P111" s="326"/>
      <c r="Q111" s="326"/>
    </row>
    <row r="112" spans="1:17">
      <c r="A112" s="12"/>
      <c r="B112" s="13"/>
      <c r="C112" s="22"/>
      <c r="D112" s="29"/>
      <c r="E112" s="321"/>
      <c r="F112" s="321"/>
      <c r="G112" s="321"/>
      <c r="H112" s="321"/>
      <c r="J112" s="12"/>
      <c r="K112" s="13"/>
      <c r="L112" s="22"/>
      <c r="M112" s="29"/>
      <c r="N112" s="326"/>
      <c r="O112" s="326"/>
      <c r="P112" s="326"/>
      <c r="Q112" s="326"/>
    </row>
    <row r="113" spans="1:17" hidden="1">
      <c r="A113" s="12"/>
      <c r="B113" s="13"/>
      <c r="C113" s="22"/>
      <c r="D113" s="29"/>
      <c r="E113" s="321"/>
      <c r="F113" s="321"/>
      <c r="G113" s="321"/>
      <c r="H113" s="321"/>
      <c r="J113" s="12"/>
      <c r="K113" s="13"/>
      <c r="L113" s="22"/>
      <c r="M113" s="29"/>
      <c r="N113" s="326"/>
      <c r="O113" s="326"/>
      <c r="P113" s="326"/>
      <c r="Q113" s="326"/>
    </row>
    <row r="114" spans="1:17" hidden="1">
      <c r="A114" s="12"/>
      <c r="B114" s="13"/>
      <c r="C114" s="22"/>
      <c r="D114" s="29"/>
      <c r="E114" s="321"/>
      <c r="F114" s="321"/>
      <c r="G114" s="321"/>
      <c r="H114" s="321"/>
      <c r="J114" s="12"/>
      <c r="K114" s="13"/>
      <c r="L114" s="22"/>
      <c r="M114" s="29"/>
      <c r="N114" s="326"/>
      <c r="O114" s="326"/>
      <c r="P114" s="326"/>
      <c r="Q114" s="326"/>
    </row>
    <row r="115" spans="1:17" hidden="1">
      <c r="A115" s="12"/>
      <c r="B115" s="13"/>
      <c r="C115" s="22"/>
      <c r="D115" s="29"/>
      <c r="E115" s="321"/>
      <c r="F115" s="321"/>
      <c r="G115" s="321"/>
      <c r="H115" s="321"/>
      <c r="J115" s="12"/>
      <c r="K115" s="13"/>
      <c r="L115" s="22"/>
      <c r="M115" s="29"/>
      <c r="N115" s="326"/>
      <c r="O115" s="326"/>
      <c r="P115" s="326"/>
      <c r="Q115" s="326"/>
    </row>
    <row r="116" spans="1:17" hidden="1">
      <c r="A116" s="12"/>
      <c r="B116" s="13"/>
      <c r="C116" s="22"/>
      <c r="D116" s="29"/>
      <c r="E116" s="321"/>
      <c r="F116" s="321"/>
      <c r="G116" s="321"/>
      <c r="H116" s="321"/>
      <c r="J116" s="12"/>
      <c r="K116" s="13"/>
      <c r="L116" s="22"/>
      <c r="M116" s="29"/>
      <c r="N116" s="326"/>
      <c r="O116" s="326"/>
      <c r="P116" s="326"/>
      <c r="Q116" s="326"/>
    </row>
    <row r="117" spans="1:17">
      <c r="A117" s="12"/>
      <c r="B117" s="13"/>
      <c r="C117" s="26" t="s">
        <v>34</v>
      </c>
      <c r="D117" s="27">
        <f>SUM(D108:D111)</f>
        <v>0</v>
      </c>
      <c r="E117" s="27">
        <v>0</v>
      </c>
      <c r="F117" s="27">
        <v>0</v>
      </c>
      <c r="G117" s="27"/>
      <c r="H117" s="27"/>
      <c r="J117" s="12"/>
      <c r="K117" s="13"/>
      <c r="L117" s="26" t="s">
        <v>34</v>
      </c>
      <c r="M117" s="27">
        <f>SUM(M108:M111)</f>
        <v>0</v>
      </c>
      <c r="N117" s="27">
        <v>0</v>
      </c>
      <c r="O117" s="27">
        <v>0</v>
      </c>
      <c r="P117" s="27"/>
      <c r="Q117" s="27"/>
    </row>
    <row r="118" spans="1:17">
      <c r="A118" s="20"/>
      <c r="B118" s="19"/>
      <c r="C118" s="321" t="s">
        <v>21</v>
      </c>
      <c r="D118" s="10"/>
      <c r="E118" s="531">
        <f>D117</f>
        <v>0</v>
      </c>
      <c r="F118" s="532"/>
      <c r="G118" s="532"/>
      <c r="H118" s="533"/>
      <c r="J118" s="20"/>
      <c r="K118" s="19"/>
      <c r="L118" s="326" t="s">
        <v>21</v>
      </c>
      <c r="M118" s="10"/>
      <c r="N118" s="531">
        <f>M117</f>
        <v>0</v>
      </c>
      <c r="O118" s="532"/>
      <c r="P118" s="532"/>
      <c r="Q118" s="533"/>
    </row>
    <row r="119" spans="1:17">
      <c r="A119" s="525" t="s">
        <v>35</v>
      </c>
      <c r="B119" s="525"/>
      <c r="C119" s="525"/>
      <c r="D119" s="317"/>
      <c r="E119" s="526">
        <f>E50+E55+E106+E118+E86+E92+E63</f>
        <v>130569600</v>
      </c>
      <c r="F119" s="526"/>
      <c r="G119" s="526"/>
      <c r="H119" s="526"/>
      <c r="J119" s="525" t="s">
        <v>35</v>
      </c>
      <c r="K119" s="525"/>
      <c r="L119" s="525"/>
      <c r="M119" s="322"/>
      <c r="N119" s="526">
        <f>N50+N55+N106+N118+N86+N92+N63</f>
        <v>130569600</v>
      </c>
      <c r="O119" s="526"/>
      <c r="P119" s="526"/>
      <c r="Q119" s="526"/>
    </row>
    <row r="120" spans="1:17">
      <c r="A120" s="522" t="s">
        <v>36</v>
      </c>
      <c r="B120" s="522"/>
      <c r="C120" s="522"/>
      <c r="D120" s="320"/>
      <c r="E120" s="523">
        <f>+E31+E119</f>
        <v>136501600</v>
      </c>
      <c r="F120" s="523"/>
      <c r="G120" s="523"/>
      <c r="H120" s="523"/>
      <c r="J120" s="522" t="s">
        <v>36</v>
      </c>
      <c r="K120" s="522"/>
      <c r="L120" s="522"/>
      <c r="M120" s="325"/>
      <c r="N120" s="523">
        <f>+N31+N119</f>
        <v>132501600</v>
      </c>
      <c r="O120" s="523"/>
      <c r="P120" s="523"/>
      <c r="Q120" s="523"/>
    </row>
    <row r="121" spans="1:17">
      <c r="A121" s="524" t="s">
        <v>32</v>
      </c>
      <c r="B121" s="524"/>
      <c r="C121" s="524"/>
      <c r="D121" s="524"/>
      <c r="E121" s="524"/>
      <c r="F121" s="524"/>
      <c r="G121" s="524"/>
      <c r="H121" s="524"/>
      <c r="J121" s="524" t="s">
        <v>32</v>
      </c>
      <c r="K121" s="524"/>
      <c r="L121" s="524"/>
      <c r="M121" s="524"/>
      <c r="N121" s="524"/>
      <c r="O121" s="524"/>
      <c r="P121" s="524"/>
      <c r="Q121" s="524"/>
    </row>
    <row r="122" spans="1:17">
      <c r="A122" s="33"/>
      <c r="B122" s="13"/>
      <c r="C122" s="22"/>
      <c r="D122" s="22"/>
      <c r="E122" s="22"/>
      <c r="F122" s="22"/>
      <c r="G122" s="16"/>
      <c r="H122" s="16"/>
      <c r="J122" s="33"/>
      <c r="K122" s="13"/>
      <c r="L122" s="22"/>
      <c r="M122" s="22"/>
      <c r="N122" s="22"/>
      <c r="O122" s="22"/>
      <c r="P122" s="16"/>
      <c r="Q122" s="16"/>
    </row>
    <row r="123" spans="1:17">
      <c r="A123" s="33"/>
      <c r="B123" s="13"/>
      <c r="C123" s="22"/>
      <c r="D123" s="22"/>
      <c r="E123" s="22"/>
      <c r="F123" s="22"/>
      <c r="G123" s="16"/>
      <c r="H123" s="16"/>
      <c r="J123" s="33"/>
      <c r="K123" s="13"/>
      <c r="L123" s="22"/>
      <c r="M123" s="22"/>
      <c r="N123" s="22"/>
      <c r="O123" s="22"/>
      <c r="P123" s="16"/>
      <c r="Q123" s="16"/>
    </row>
    <row r="124" spans="1:17">
      <c r="A124" s="33"/>
      <c r="B124" s="13"/>
      <c r="C124" s="22"/>
      <c r="D124" s="22"/>
      <c r="E124" s="22"/>
      <c r="F124" s="22"/>
      <c r="G124" s="16"/>
      <c r="H124" s="16"/>
      <c r="J124" s="33"/>
      <c r="K124" s="13"/>
      <c r="L124" s="22"/>
      <c r="M124" s="22"/>
      <c r="N124" s="22"/>
      <c r="O124" s="22"/>
      <c r="P124" s="16"/>
      <c r="Q124" s="16"/>
    </row>
    <row r="125" spans="1:17">
      <c r="A125" s="20"/>
      <c r="B125" s="13"/>
      <c r="C125" s="22"/>
      <c r="D125" s="22"/>
      <c r="E125" s="22"/>
      <c r="F125" s="16"/>
      <c r="G125" s="16"/>
      <c r="H125" s="16"/>
      <c r="J125" s="20"/>
      <c r="K125" s="13"/>
      <c r="L125" s="22"/>
      <c r="M125" s="22"/>
      <c r="N125" s="22"/>
      <c r="O125" s="16"/>
      <c r="P125" s="16"/>
      <c r="Q125" s="16"/>
    </row>
    <row r="126" spans="1:17">
      <c r="A126" s="20"/>
      <c r="B126" s="13"/>
      <c r="C126" s="22"/>
      <c r="D126" s="22"/>
      <c r="E126" s="22"/>
      <c r="F126" s="16"/>
      <c r="G126" s="16"/>
      <c r="H126" s="16"/>
      <c r="J126" s="20"/>
      <c r="K126" s="13"/>
      <c r="L126" s="22"/>
      <c r="M126" s="22"/>
      <c r="N126" s="22"/>
      <c r="O126" s="16"/>
      <c r="P126" s="16"/>
      <c r="Q126" s="16"/>
    </row>
    <row r="127" spans="1:17">
      <c r="A127" s="525" t="s">
        <v>37</v>
      </c>
      <c r="B127" s="525"/>
      <c r="C127" s="525"/>
      <c r="D127" s="317">
        <f>SUM(D122:D126)</f>
        <v>0</v>
      </c>
      <c r="E127" s="526"/>
      <c r="F127" s="526"/>
      <c r="G127" s="526"/>
      <c r="H127" s="526"/>
      <c r="J127" s="525" t="s">
        <v>37</v>
      </c>
      <c r="K127" s="525"/>
      <c r="L127" s="525"/>
      <c r="M127" s="322">
        <f>SUM(M122:M126)</f>
        <v>0</v>
      </c>
      <c r="N127" s="526"/>
      <c r="O127" s="526"/>
      <c r="P127" s="526"/>
      <c r="Q127" s="526"/>
    </row>
    <row r="128" spans="1:17">
      <c r="A128" s="34" t="s">
        <v>38</v>
      </c>
      <c r="B128" s="35"/>
      <c r="C128" s="317"/>
      <c r="D128" s="317"/>
      <c r="E128" s="318"/>
      <c r="F128" s="318"/>
      <c r="G128" s="526"/>
      <c r="H128" s="526"/>
      <c r="J128" s="34" t="s">
        <v>38</v>
      </c>
      <c r="K128" s="35"/>
      <c r="L128" s="322"/>
      <c r="M128" s="322"/>
      <c r="N128" s="323"/>
      <c r="O128" s="323"/>
      <c r="P128" s="526"/>
      <c r="Q128" s="526"/>
    </row>
    <row r="129" spans="1:17">
      <c r="A129" s="37"/>
      <c r="B129" s="38"/>
      <c r="C129" s="39"/>
      <c r="D129" s="39"/>
      <c r="E129" s="39"/>
      <c r="F129" s="39"/>
      <c r="G129" s="39"/>
      <c r="H129" s="39"/>
      <c r="J129" s="37"/>
      <c r="K129" s="38"/>
      <c r="L129" s="39"/>
      <c r="M129" s="39"/>
      <c r="N129" s="39"/>
      <c r="O129" s="39"/>
      <c r="P129" s="39"/>
      <c r="Q129" s="39"/>
    </row>
    <row r="130" spans="1:17">
      <c r="A130" s="519" t="s">
        <v>13</v>
      </c>
      <c r="B130" s="520"/>
      <c r="C130" s="520"/>
      <c r="D130" s="520"/>
      <c r="E130" s="521"/>
      <c r="F130" s="39"/>
      <c r="G130" s="39"/>
      <c r="H130" s="40"/>
      <c r="J130" s="519" t="s">
        <v>13</v>
      </c>
      <c r="K130" s="520"/>
      <c r="L130" s="520"/>
      <c r="M130" s="520"/>
      <c r="N130" s="521"/>
      <c r="O130" s="39"/>
      <c r="P130" s="39"/>
      <c r="Q130" s="40"/>
    </row>
    <row r="131" spans="1:17">
      <c r="A131" s="41" t="s">
        <v>39</v>
      </c>
      <c r="B131" s="42" t="s">
        <v>40</v>
      </c>
      <c r="C131" s="43" t="s">
        <v>849</v>
      </c>
      <c r="D131" s="43" t="s">
        <v>42</v>
      </c>
      <c r="E131" s="43" t="s">
        <v>43</v>
      </c>
      <c r="F131" s="39"/>
      <c r="G131" s="39"/>
      <c r="H131" s="39"/>
      <c r="J131" s="41" t="s">
        <v>39</v>
      </c>
      <c r="K131" s="42" t="s">
        <v>40</v>
      </c>
      <c r="L131" s="43" t="s">
        <v>849</v>
      </c>
      <c r="M131" s="43" t="s">
        <v>42</v>
      </c>
      <c r="N131" s="43" t="s">
        <v>43</v>
      </c>
      <c r="O131" s="39"/>
      <c r="P131" s="39"/>
      <c r="Q131" s="39"/>
    </row>
    <row r="132" spans="1:17">
      <c r="A132" s="41"/>
      <c r="B132" s="44"/>
      <c r="C132" s="45"/>
      <c r="D132" s="46"/>
      <c r="E132" s="46"/>
      <c r="F132" s="39"/>
      <c r="G132" s="39"/>
      <c r="H132" s="39"/>
      <c r="J132" s="41"/>
      <c r="K132" s="44"/>
      <c r="L132" s="45"/>
      <c r="M132" s="46"/>
      <c r="N132" s="46"/>
      <c r="O132" s="39"/>
      <c r="P132" s="39"/>
      <c r="Q132" s="39"/>
    </row>
    <row r="133" spans="1:17">
      <c r="A133" s="41"/>
      <c r="B133" s="44"/>
      <c r="C133" s="45"/>
      <c r="D133" s="46"/>
      <c r="E133" s="46"/>
      <c r="F133" s="39"/>
      <c r="G133" s="39"/>
      <c r="H133" s="39"/>
      <c r="J133" s="41"/>
      <c r="K133" s="44"/>
      <c r="L133" s="45"/>
      <c r="M133" s="46"/>
      <c r="N133" s="46"/>
      <c r="O133" s="39"/>
      <c r="P133" s="39"/>
      <c r="Q133" s="39"/>
    </row>
    <row r="134" spans="1:17">
      <c r="A134" s="41"/>
      <c r="B134" s="44"/>
      <c r="C134" s="45"/>
      <c r="D134" s="46"/>
      <c r="E134" s="46"/>
      <c r="F134" s="39"/>
      <c r="G134" s="39"/>
      <c r="H134" s="39"/>
      <c r="J134" s="41"/>
      <c r="K134" s="44"/>
      <c r="L134" s="45"/>
      <c r="M134" s="46"/>
      <c r="N134" s="46"/>
      <c r="O134" s="39"/>
      <c r="P134" s="39"/>
      <c r="Q134" s="39"/>
    </row>
    <row r="135" spans="1:17">
      <c r="A135" s="41"/>
      <c r="B135" s="44"/>
      <c r="C135" s="46"/>
      <c r="D135" s="46"/>
      <c r="E135" s="46"/>
      <c r="F135" s="39"/>
      <c r="G135" s="39"/>
      <c r="H135" s="39"/>
      <c r="J135" s="41"/>
      <c r="K135" s="44"/>
      <c r="L135" s="46"/>
      <c r="M135" s="46"/>
      <c r="N135" s="46"/>
      <c r="O135" s="39"/>
      <c r="P135" s="39"/>
      <c r="Q135" s="39"/>
    </row>
    <row r="136" spans="1:17">
      <c r="A136" s="41"/>
      <c r="B136" s="44"/>
      <c r="C136" s="46"/>
      <c r="D136" s="46"/>
      <c r="E136" s="46"/>
      <c r="F136" s="39"/>
      <c r="G136" s="39"/>
      <c r="H136" s="39"/>
      <c r="J136" s="41"/>
      <c r="K136" s="44"/>
      <c r="L136" s="46"/>
      <c r="M136" s="46"/>
      <c r="N136" s="46"/>
      <c r="O136" s="39"/>
      <c r="P136" s="39"/>
      <c r="Q136" s="39"/>
    </row>
    <row r="137" spans="1:17">
      <c r="A137" s="41"/>
      <c r="B137" s="44"/>
      <c r="C137" s="46"/>
      <c r="D137" s="46"/>
      <c r="E137" s="46"/>
      <c r="F137" s="39"/>
      <c r="G137" s="39"/>
      <c r="H137" s="39"/>
      <c r="J137" s="41"/>
      <c r="K137" s="44"/>
      <c r="L137" s="46"/>
      <c r="M137" s="46"/>
      <c r="N137" s="46"/>
      <c r="O137" s="39"/>
      <c r="P137" s="39"/>
      <c r="Q137" s="39"/>
    </row>
    <row r="138" spans="1:17">
      <c r="A138" s="41"/>
      <c r="B138" s="44"/>
      <c r="C138" s="46"/>
      <c r="D138" s="46"/>
      <c r="E138" s="46"/>
      <c r="F138" s="39"/>
      <c r="G138" s="39"/>
      <c r="H138" s="39"/>
      <c r="J138" s="41"/>
      <c r="K138" s="44"/>
      <c r="L138" s="46"/>
      <c r="M138" s="46"/>
      <c r="N138" s="46"/>
      <c r="O138" s="39"/>
      <c r="P138" s="39"/>
      <c r="Q138" s="39"/>
    </row>
    <row r="139" spans="1:17">
      <c r="A139" s="41"/>
      <c r="B139" s="44"/>
      <c r="C139" s="46"/>
      <c r="D139" s="46"/>
      <c r="E139" s="46"/>
      <c r="F139" s="39"/>
      <c r="G139" s="39"/>
      <c r="H139" s="39"/>
      <c r="J139" s="41"/>
      <c r="K139" s="44"/>
      <c r="L139" s="46"/>
      <c r="M139" s="46"/>
      <c r="N139" s="46"/>
      <c r="O139" s="39"/>
      <c r="P139" s="39"/>
      <c r="Q139" s="39"/>
    </row>
    <row r="140" spans="1:17">
      <c r="A140" s="41"/>
      <c r="B140" s="44"/>
      <c r="C140" s="327"/>
      <c r="D140" s="46"/>
      <c r="E140" s="46"/>
      <c r="F140" s="39"/>
      <c r="G140" s="39"/>
      <c r="H140" s="39"/>
      <c r="J140" s="41"/>
      <c r="K140" s="44"/>
      <c r="L140" s="327"/>
      <c r="M140" s="46"/>
      <c r="N140" s="46"/>
      <c r="O140" s="39"/>
      <c r="P140" s="39"/>
      <c r="Q140" s="39"/>
    </row>
    <row r="141" spans="1:17">
      <c r="A141" s="41"/>
      <c r="B141" s="44"/>
      <c r="C141" s="46"/>
      <c r="D141" s="48"/>
      <c r="E141" s="46"/>
      <c r="F141" s="39"/>
      <c r="G141" s="39"/>
      <c r="H141" s="39"/>
      <c r="J141" s="41"/>
      <c r="K141" s="44"/>
      <c r="L141" s="46"/>
      <c r="M141" s="48"/>
      <c r="N141" s="46"/>
      <c r="O141" s="39"/>
      <c r="P141" s="39"/>
      <c r="Q141" s="39"/>
    </row>
    <row r="142" spans="1:17">
      <c r="A142" s="49"/>
      <c r="B142" s="50"/>
      <c r="C142" s="51" t="s">
        <v>44</v>
      </c>
      <c r="D142" s="51">
        <f>SUM(D132:D141)</f>
        <v>0</v>
      </c>
      <c r="E142" s="52"/>
      <c r="F142" s="39"/>
      <c r="G142" s="39"/>
      <c r="H142" s="39"/>
      <c r="J142" s="49"/>
      <c r="K142" s="50"/>
      <c r="L142" s="51" t="s">
        <v>44</v>
      </c>
      <c r="M142" s="51">
        <f>SUM(M132:M141)</f>
        <v>0</v>
      </c>
      <c r="N142" s="52"/>
      <c r="O142" s="39"/>
      <c r="P142" s="39"/>
      <c r="Q142" s="39"/>
    </row>
    <row r="143" spans="1:17">
      <c r="A143" s="53"/>
      <c r="B143" s="54"/>
      <c r="C143" s="55" t="s">
        <v>779</v>
      </c>
      <c r="D143" s="116"/>
      <c r="E143" s="3"/>
      <c r="F143" s="39"/>
      <c r="G143" s="39"/>
      <c r="H143" s="39"/>
      <c r="J143" s="53"/>
      <c r="K143" s="54"/>
      <c r="L143" s="55" t="s">
        <v>779</v>
      </c>
      <c r="M143" s="116"/>
      <c r="N143" s="3"/>
      <c r="O143" s="39"/>
      <c r="P143" s="39"/>
      <c r="Q143" s="39"/>
    </row>
  </sheetData>
  <mergeCells count="66">
    <mergeCell ref="J121:Q121"/>
    <mergeCell ref="J127:L127"/>
    <mergeCell ref="N127:Q127"/>
    <mergeCell ref="P128:Q128"/>
    <mergeCell ref="J130:N130"/>
    <mergeCell ref="N118:Q118"/>
    <mergeCell ref="J119:L119"/>
    <mergeCell ref="N119:Q119"/>
    <mergeCell ref="J120:L120"/>
    <mergeCell ref="N120:Q120"/>
    <mergeCell ref="J87:Q87"/>
    <mergeCell ref="N92:Q92"/>
    <mergeCell ref="J93:Q93"/>
    <mergeCell ref="N106:Q106"/>
    <mergeCell ref="J107:Q107"/>
    <mergeCell ref="N55:Q55"/>
    <mergeCell ref="J56:Q56"/>
    <mergeCell ref="N63:Q63"/>
    <mergeCell ref="J64:Q64"/>
    <mergeCell ref="N86:Q86"/>
    <mergeCell ref="J31:M31"/>
    <mergeCell ref="N31:Q31"/>
    <mergeCell ref="J32:Q32"/>
    <mergeCell ref="N50:Q50"/>
    <mergeCell ref="J51:Q51"/>
    <mergeCell ref="J3:Q3"/>
    <mergeCell ref="J12:P12"/>
    <mergeCell ref="J13:Q13"/>
    <mergeCell ref="J14:J15"/>
    <mergeCell ref="K14:K15"/>
    <mergeCell ref="L14:L15"/>
    <mergeCell ref="M14:M15"/>
    <mergeCell ref="N14:Q14"/>
    <mergeCell ref="A130:E130"/>
    <mergeCell ref="A120:C120"/>
    <mergeCell ref="E120:H120"/>
    <mergeCell ref="A121:H121"/>
    <mergeCell ref="A127:C127"/>
    <mergeCell ref="E127:H127"/>
    <mergeCell ref="G128:H128"/>
    <mergeCell ref="A93:H93"/>
    <mergeCell ref="E106:H106"/>
    <mergeCell ref="A107:H107"/>
    <mergeCell ref="E118:H118"/>
    <mergeCell ref="A119:C119"/>
    <mergeCell ref="E119:H119"/>
    <mergeCell ref="E92:H92"/>
    <mergeCell ref="A31:D31"/>
    <mergeCell ref="E31:H31"/>
    <mergeCell ref="A32:H32"/>
    <mergeCell ref="E50:H50"/>
    <mergeCell ref="A51:H51"/>
    <mergeCell ref="E55:H55"/>
    <mergeCell ref="A56:H56"/>
    <mergeCell ref="E63:H63"/>
    <mergeCell ref="A64:H64"/>
    <mergeCell ref="E86:H86"/>
    <mergeCell ref="A87:H87"/>
    <mergeCell ref="A3:H3"/>
    <mergeCell ref="A12:G12"/>
    <mergeCell ref="A13:H13"/>
    <mergeCell ref="A14:A15"/>
    <mergeCell ref="B14:B15"/>
    <mergeCell ref="C14:C15"/>
    <mergeCell ref="D14:D15"/>
    <mergeCell ref="E14:H14"/>
  </mergeCells>
  <pageMargins left="0.11811023622047245" right="0.15748031496062992" top="0.46" bottom="0.11811023622047245" header="0.23622047244094491" footer="0.11811023622047245"/>
  <pageSetup paperSize="9" scale="85" orientation="portrait" r:id="rId1"/>
  <rowBreaks count="1" manualBreakCount="1">
    <brk id="120" max="7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4"/>
  <sheetViews>
    <sheetView workbookViewId="0"/>
  </sheetViews>
  <sheetFormatPr defaultRowHeight="15"/>
  <cols>
    <col min="1" max="1" width="51.140625" bestFit="1" customWidth="1"/>
    <col min="2" max="2" width="11.5703125" bestFit="1" customWidth="1"/>
    <col min="3" max="3" width="34.85546875" bestFit="1" customWidth="1"/>
    <col min="4" max="4" width="10.5703125" bestFit="1" customWidth="1"/>
    <col min="5" max="5" width="70.7109375" bestFit="1" customWidth="1"/>
    <col min="6" max="6" width="9" bestFit="1" customWidth="1"/>
    <col min="7" max="7" width="41.28515625" bestFit="1" customWidth="1"/>
    <col min="8" max="8" width="12.5703125" bestFit="1" customWidth="1"/>
    <col min="9" max="9" width="47.28515625" bestFit="1" customWidth="1"/>
    <col min="10" max="10" width="10.5703125" bestFit="1" customWidth="1"/>
    <col min="12" max="13" width="12.5703125" bestFit="1" customWidth="1"/>
  </cols>
  <sheetData>
    <row r="1" spans="1:12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2">
      <c r="A2" s="23" t="s">
        <v>934</v>
      </c>
      <c r="B2" s="23">
        <v>1000000</v>
      </c>
      <c r="C2" s="23" t="s">
        <v>937</v>
      </c>
      <c r="D2" s="23">
        <v>1000000</v>
      </c>
      <c r="E2" s="15" t="s">
        <v>933</v>
      </c>
      <c r="F2" s="22">
        <v>745000</v>
      </c>
      <c r="G2" s="15" t="s">
        <v>935</v>
      </c>
      <c r="H2" s="22">
        <v>450000</v>
      </c>
      <c r="I2" s="14" t="s">
        <v>494</v>
      </c>
      <c r="J2" s="15">
        <v>32000</v>
      </c>
    </row>
    <row r="3" spans="1:12">
      <c r="A3" s="23" t="s">
        <v>731</v>
      </c>
      <c r="B3" s="23">
        <v>5495000</v>
      </c>
      <c r="C3" s="23"/>
      <c r="D3" s="23"/>
      <c r="E3" s="15"/>
      <c r="F3" s="22"/>
      <c r="G3" s="15" t="s">
        <v>936</v>
      </c>
      <c r="H3" s="23">
        <v>450000</v>
      </c>
      <c r="I3" s="14" t="s">
        <v>930</v>
      </c>
      <c r="J3" s="15"/>
    </row>
    <row r="4" spans="1:12">
      <c r="A4" s="24" t="s">
        <v>263</v>
      </c>
      <c r="B4" s="23">
        <v>1100000</v>
      </c>
      <c r="C4" s="183"/>
      <c r="D4" s="30"/>
      <c r="E4" s="23"/>
      <c r="F4" s="23"/>
      <c r="G4" s="24" t="s">
        <v>901</v>
      </c>
      <c r="H4" s="23">
        <v>35000000</v>
      </c>
      <c r="I4" s="183" t="s">
        <v>931</v>
      </c>
      <c r="J4" s="30"/>
      <c r="K4" s="72"/>
    </row>
    <row r="5" spans="1:12">
      <c r="A5" s="24" t="s">
        <v>902</v>
      </c>
      <c r="B5" s="23">
        <v>300000</v>
      </c>
      <c r="C5" s="24"/>
      <c r="D5" s="23"/>
      <c r="E5" s="15"/>
      <c r="F5" s="23"/>
      <c r="G5" s="23" t="s">
        <v>939</v>
      </c>
      <c r="H5" s="23">
        <v>78661600</v>
      </c>
      <c r="I5" s="183" t="s">
        <v>944</v>
      </c>
      <c r="J5" s="183">
        <v>100000</v>
      </c>
    </row>
    <row r="6" spans="1:12">
      <c r="A6" s="22" t="s">
        <v>903</v>
      </c>
      <c r="B6" s="22">
        <v>2450000</v>
      </c>
      <c r="C6" s="186"/>
      <c r="D6" s="185"/>
      <c r="E6" s="23"/>
      <c r="F6" s="23"/>
      <c r="G6" s="24" t="s">
        <v>940</v>
      </c>
      <c r="H6" s="23">
        <v>430000</v>
      </c>
      <c r="I6" s="23"/>
      <c r="J6" s="23"/>
    </row>
    <row r="7" spans="1:12">
      <c r="A7" s="22" t="s">
        <v>938</v>
      </c>
      <c r="B7" s="22">
        <v>130000</v>
      </c>
      <c r="C7" s="30"/>
      <c r="D7" s="188"/>
      <c r="E7" s="183"/>
      <c r="F7" s="30"/>
      <c r="G7" s="23" t="s">
        <v>941</v>
      </c>
      <c r="H7" s="23">
        <v>3258000</v>
      </c>
      <c r="I7" s="14"/>
      <c r="J7" s="15"/>
    </row>
    <row r="8" spans="1:12">
      <c r="A8" s="22"/>
      <c r="B8" s="29"/>
      <c r="C8" s="30"/>
      <c r="D8" s="188"/>
      <c r="E8" s="30"/>
      <c r="F8" s="188"/>
      <c r="G8" s="24"/>
      <c r="H8" s="23"/>
      <c r="I8" s="30"/>
      <c r="J8" s="188"/>
      <c r="L8" s="72"/>
    </row>
    <row r="9" spans="1:12">
      <c r="A9" s="193"/>
      <c r="B9" s="194"/>
      <c r="C9" s="194"/>
      <c r="D9" s="194"/>
      <c r="E9" s="194"/>
      <c r="F9" s="194"/>
      <c r="G9" s="119"/>
      <c r="H9" s="120"/>
      <c r="I9" s="193"/>
      <c r="J9" s="194"/>
    </row>
    <row r="10" spans="1:12">
      <c r="A10" s="68"/>
      <c r="B10" s="69"/>
      <c r="C10" s="69"/>
      <c r="D10" s="69"/>
      <c r="E10" s="69"/>
      <c r="F10" s="69"/>
      <c r="G10" s="119"/>
      <c r="H10" s="120"/>
      <c r="I10" s="68"/>
      <c r="J10" s="69"/>
    </row>
    <row r="11" spans="1:12">
      <c r="A11" s="68"/>
      <c r="B11" s="69"/>
      <c r="C11" s="69"/>
      <c r="D11" s="69"/>
      <c r="E11" s="69"/>
      <c r="F11" s="69"/>
      <c r="G11" s="119"/>
      <c r="H11" s="120"/>
      <c r="I11" s="68"/>
      <c r="J11" s="69"/>
    </row>
    <row r="12" spans="1:12">
      <c r="A12" s="68"/>
      <c r="B12" s="69"/>
      <c r="C12" s="69"/>
      <c r="D12" s="69"/>
      <c r="E12" s="69"/>
      <c r="F12" s="69"/>
      <c r="G12" s="119"/>
      <c r="H12" s="120"/>
      <c r="I12" s="68"/>
      <c r="J12" s="69"/>
    </row>
    <row r="13" spans="1:12">
      <c r="A13" s="68"/>
      <c r="B13" s="69"/>
      <c r="C13" s="69"/>
      <c r="D13" s="69"/>
      <c r="E13" s="69"/>
      <c r="F13" s="69"/>
      <c r="G13" s="119"/>
      <c r="H13" s="120"/>
      <c r="I13" s="68"/>
      <c r="J13" s="69"/>
    </row>
    <row r="14" spans="1:12">
      <c r="A14" s="68"/>
      <c r="B14" s="69"/>
      <c r="C14" s="69"/>
      <c r="D14" s="69"/>
      <c r="E14" s="69"/>
      <c r="F14" s="69"/>
      <c r="G14" s="119"/>
      <c r="H14" s="120"/>
      <c r="I14" s="68"/>
      <c r="J14" s="69"/>
    </row>
    <row r="15" spans="1:12">
      <c r="A15" s="68"/>
      <c r="B15" s="69"/>
      <c r="C15" s="69"/>
      <c r="D15" s="69"/>
      <c r="E15" s="69"/>
      <c r="F15" s="69"/>
      <c r="G15" s="119"/>
      <c r="H15" s="120"/>
      <c r="I15" s="68"/>
      <c r="J15" s="69"/>
    </row>
    <row r="16" spans="1:12">
      <c r="A16" s="68"/>
      <c r="B16" s="69"/>
      <c r="C16" s="69"/>
      <c r="D16" s="69"/>
      <c r="E16" s="69"/>
      <c r="F16" s="69"/>
      <c r="G16" s="315"/>
      <c r="H16" s="316"/>
      <c r="I16" s="68"/>
      <c r="J16" s="69"/>
    </row>
    <row r="17" spans="1:13">
      <c r="A17" s="68"/>
      <c r="B17" s="69"/>
      <c r="C17" s="69"/>
      <c r="D17" s="69"/>
      <c r="E17" s="69"/>
      <c r="F17" s="69"/>
      <c r="G17" s="315"/>
      <c r="H17" s="316"/>
      <c r="I17" s="68"/>
      <c r="J17" s="69"/>
    </row>
    <row r="18" spans="1:13">
      <c r="A18" s="68"/>
      <c r="B18" s="69"/>
      <c r="C18" s="69"/>
      <c r="D18" s="69"/>
      <c r="E18" s="69"/>
      <c r="F18" s="69"/>
      <c r="G18" s="23"/>
      <c r="H18" s="23"/>
      <c r="I18" s="68"/>
      <c r="J18" s="69"/>
    </row>
    <row r="19" spans="1:13">
      <c r="A19" s="68"/>
      <c r="B19" s="69"/>
      <c r="C19" s="69"/>
      <c r="D19" s="69"/>
      <c r="E19" s="69"/>
      <c r="F19" s="69"/>
      <c r="G19" s="119"/>
      <c r="H19" s="120"/>
      <c r="I19" s="68"/>
      <c r="J19" s="69"/>
    </row>
    <row r="20" spans="1:13">
      <c r="A20" s="70"/>
      <c r="B20" s="71">
        <f>SUM(B2:B18)</f>
        <v>10475000</v>
      </c>
      <c r="C20" s="71">
        <f t="shared" ref="C20:J20" si="0">SUM(C2:C18)</f>
        <v>0</v>
      </c>
      <c r="D20" s="71">
        <f t="shared" si="0"/>
        <v>1000000</v>
      </c>
      <c r="E20" s="71">
        <f t="shared" si="0"/>
        <v>0</v>
      </c>
      <c r="F20" s="71">
        <f t="shared" si="0"/>
        <v>745000</v>
      </c>
      <c r="G20" s="71">
        <f t="shared" si="0"/>
        <v>0</v>
      </c>
      <c r="H20" s="71">
        <f>SUM(H2:H18)</f>
        <v>118249600</v>
      </c>
      <c r="I20" s="71">
        <f t="shared" si="0"/>
        <v>0</v>
      </c>
      <c r="J20" s="71">
        <f t="shared" si="0"/>
        <v>132000</v>
      </c>
      <c r="L20" s="72">
        <f>SUM(B20:K20)</f>
        <v>130601600</v>
      </c>
      <c r="M20" s="72">
        <f>L20-Sheet38!N120</f>
        <v>-1900000</v>
      </c>
    </row>
    <row r="23" spans="1:13">
      <c r="J23">
        <v>150000</v>
      </c>
    </row>
    <row r="24" spans="1:13">
      <c r="J24" s="72">
        <f>+J23-J20</f>
        <v>18000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B155"/>
  <sheetViews>
    <sheetView workbookViewId="0"/>
  </sheetViews>
  <sheetFormatPr defaultRowHeight="15"/>
  <cols>
    <col min="1" max="1" width="5.42578125" customWidth="1"/>
    <col min="2" max="2" width="10.42578125" bestFit="1" customWidth="1"/>
    <col min="3" max="3" width="65.85546875" customWidth="1"/>
    <col min="4" max="4" width="12.28515625" bestFit="1" customWidth="1"/>
    <col min="5" max="5" width="10" bestFit="1" customWidth="1"/>
    <col min="6" max="6" width="7.28515625" customWidth="1"/>
    <col min="7" max="7" width="8.42578125" customWidth="1"/>
    <col min="8" max="8" width="12" bestFit="1" customWidth="1"/>
    <col min="12" max="12" width="10.5703125" bestFit="1" customWidth="1"/>
    <col min="13" max="13" width="74.140625" bestFit="1" customWidth="1"/>
    <col min="14" max="14" width="12" bestFit="1" customWidth="1"/>
    <col min="18" max="18" width="11" bestFit="1" customWidth="1"/>
    <col min="22" max="22" width="10.5703125" bestFit="1" customWidth="1"/>
    <col min="23" max="23" width="75.7109375" bestFit="1" customWidth="1"/>
    <col min="24" max="24" width="12" bestFit="1" customWidth="1"/>
    <col min="28" max="28" width="11.28515625" bestFit="1" customWidth="1"/>
  </cols>
  <sheetData>
    <row r="1" spans="1:28">
      <c r="A1" s="1" t="s">
        <v>0</v>
      </c>
      <c r="B1" s="2"/>
      <c r="C1" s="3"/>
      <c r="D1" s="3"/>
      <c r="E1" s="3"/>
      <c r="F1" s="3"/>
      <c r="G1" s="3"/>
      <c r="H1" s="3"/>
      <c r="K1" s="1" t="s">
        <v>0</v>
      </c>
      <c r="L1" s="2"/>
      <c r="M1" s="3"/>
      <c r="N1" s="3"/>
      <c r="O1" s="3"/>
      <c r="P1" s="3"/>
      <c r="Q1" s="3"/>
      <c r="R1" s="3"/>
      <c r="U1" s="1" t="s">
        <v>0</v>
      </c>
      <c r="V1" s="2"/>
      <c r="W1" s="3"/>
      <c r="X1" s="3"/>
      <c r="Y1" s="3"/>
      <c r="Z1" s="3"/>
      <c r="AA1" s="3"/>
      <c r="AB1" s="3"/>
    </row>
    <row r="2" spans="1:28">
      <c r="A2" s="1" t="s">
        <v>978</v>
      </c>
      <c r="B2" s="2"/>
      <c r="C2" s="3"/>
      <c r="D2" s="3"/>
      <c r="E2" s="3"/>
      <c r="F2" s="3"/>
      <c r="G2" s="3"/>
      <c r="H2" s="3"/>
      <c r="K2" s="1" t="s">
        <v>978</v>
      </c>
      <c r="L2" s="2"/>
      <c r="M2" s="3"/>
      <c r="N2" s="3"/>
      <c r="O2" s="3"/>
      <c r="P2" s="3"/>
      <c r="Q2" s="3"/>
      <c r="R2" s="3"/>
      <c r="U2" s="1" t="s">
        <v>978</v>
      </c>
      <c r="V2" s="2"/>
      <c r="W2" s="3"/>
      <c r="X2" s="3"/>
      <c r="Y2" s="3"/>
      <c r="Z2" s="3"/>
      <c r="AA2" s="3"/>
      <c r="AB2" s="3"/>
    </row>
    <row r="3" spans="1:28">
      <c r="A3" s="534" t="s">
        <v>1</v>
      </c>
      <c r="B3" s="534"/>
      <c r="C3" s="534"/>
      <c r="D3" s="534"/>
      <c r="E3" s="534"/>
      <c r="F3" s="534"/>
      <c r="G3" s="534"/>
      <c r="H3" s="534"/>
      <c r="K3" s="534" t="s">
        <v>1</v>
      </c>
      <c r="L3" s="534"/>
      <c r="M3" s="534"/>
      <c r="N3" s="534"/>
      <c r="O3" s="534"/>
      <c r="P3" s="534"/>
      <c r="Q3" s="534"/>
      <c r="R3" s="534"/>
      <c r="U3" s="534" t="s">
        <v>1</v>
      </c>
      <c r="V3" s="534"/>
      <c r="W3" s="534"/>
      <c r="X3" s="534"/>
      <c r="Y3" s="534"/>
      <c r="Z3" s="534"/>
      <c r="AA3" s="534"/>
      <c r="AB3" s="534"/>
    </row>
    <row r="4" spans="1:28">
      <c r="A4" s="4"/>
      <c r="B4" s="5"/>
      <c r="C4" s="6" t="s">
        <v>2</v>
      </c>
      <c r="D4" s="7">
        <f>57300000+4398000+3877000</f>
        <v>65575000</v>
      </c>
      <c r="E4" s="6"/>
      <c r="F4" s="6"/>
      <c r="G4" s="6"/>
      <c r="H4" s="6"/>
      <c r="K4" s="4"/>
      <c r="L4" s="5"/>
      <c r="M4" s="6" t="s">
        <v>2</v>
      </c>
      <c r="N4" s="7">
        <f>57300000</f>
        <v>57300000</v>
      </c>
      <c r="O4" s="6"/>
      <c r="P4" s="6"/>
      <c r="Q4" s="6"/>
      <c r="R4" s="6"/>
      <c r="U4" s="4"/>
      <c r="V4" s="5"/>
      <c r="W4" s="6" t="s">
        <v>2</v>
      </c>
      <c r="X4" s="7">
        <f>57300000</f>
        <v>57300000</v>
      </c>
      <c r="Y4" s="6"/>
      <c r="Z4" s="6"/>
      <c r="AA4" s="6"/>
      <c r="AB4" s="6"/>
    </row>
    <row r="5" spans="1:28">
      <c r="A5" s="4"/>
      <c r="B5" s="5"/>
      <c r="C5" s="6" t="s">
        <v>590</v>
      </c>
      <c r="D5" s="7" t="s">
        <v>849</v>
      </c>
      <c r="E5" s="6"/>
      <c r="F5" s="6"/>
      <c r="G5" s="6"/>
      <c r="H5" s="6"/>
      <c r="K5" s="4"/>
      <c r="L5" s="5"/>
      <c r="M5" s="6" t="s">
        <v>590</v>
      </c>
      <c r="N5" s="7" t="s">
        <v>849</v>
      </c>
      <c r="O5" s="6"/>
      <c r="P5" s="6"/>
      <c r="Q5" s="6"/>
      <c r="R5" s="6"/>
      <c r="U5" s="4"/>
      <c r="V5" s="5"/>
      <c r="W5" s="6" t="s">
        <v>590</v>
      </c>
      <c r="X5" s="7" t="s">
        <v>849</v>
      </c>
      <c r="Y5" s="6"/>
      <c r="Z5" s="6"/>
      <c r="AA5" s="6"/>
      <c r="AB5" s="6"/>
    </row>
    <row r="6" spans="1:28">
      <c r="A6" s="4"/>
      <c r="B6" s="5"/>
      <c r="C6" s="6" t="s">
        <v>3</v>
      </c>
      <c r="D6" s="8">
        <v>30917815</v>
      </c>
      <c r="E6" s="6"/>
      <c r="F6" s="6"/>
      <c r="G6" s="6"/>
      <c r="H6" s="6"/>
      <c r="K6" s="4"/>
      <c r="L6" s="5"/>
      <c r="M6" s="6" t="s">
        <v>3</v>
      </c>
      <c r="N6" s="8">
        <v>30917815</v>
      </c>
      <c r="O6" s="6"/>
      <c r="P6" s="6"/>
      <c r="Q6" s="6"/>
      <c r="R6" s="6"/>
      <c r="U6" s="4"/>
      <c r="V6" s="5"/>
      <c r="W6" s="6" t="s">
        <v>3</v>
      </c>
      <c r="X6" s="8">
        <v>30917815</v>
      </c>
      <c r="Y6" s="6"/>
      <c r="Z6" s="6"/>
      <c r="AA6" s="6"/>
      <c r="AB6" s="6"/>
    </row>
    <row r="7" spans="1:28">
      <c r="A7" s="4"/>
      <c r="B7" s="5"/>
      <c r="C7" s="6" t="s">
        <v>4</v>
      </c>
      <c r="D7" s="115">
        <v>1139810</v>
      </c>
      <c r="E7" s="6"/>
      <c r="F7" s="6"/>
      <c r="G7" s="6"/>
      <c r="H7" s="6"/>
      <c r="K7" s="4"/>
      <c r="L7" s="5"/>
      <c r="M7" s="6" t="s">
        <v>4</v>
      </c>
      <c r="N7" s="115">
        <v>1139810</v>
      </c>
      <c r="O7" s="6"/>
      <c r="P7" s="6"/>
      <c r="Q7" s="6"/>
      <c r="R7" s="6"/>
      <c r="U7" s="4"/>
      <c r="V7" s="5"/>
      <c r="W7" s="6" t="s">
        <v>4</v>
      </c>
      <c r="X7" s="115">
        <v>1139810</v>
      </c>
      <c r="Y7" s="6"/>
      <c r="Z7" s="6"/>
      <c r="AA7" s="6"/>
      <c r="AB7" s="6"/>
    </row>
    <row r="8" spans="1:28">
      <c r="A8" s="4"/>
      <c r="B8" s="5"/>
      <c r="C8" s="6" t="s">
        <v>5</v>
      </c>
      <c r="D8" s="6">
        <v>1146153</v>
      </c>
      <c r="E8" s="6"/>
      <c r="F8" s="6"/>
      <c r="G8" s="6"/>
      <c r="H8" s="6"/>
      <c r="K8" s="4"/>
      <c r="L8" s="5"/>
      <c r="M8" s="6" t="s">
        <v>5</v>
      </c>
      <c r="N8" s="6">
        <v>1146153</v>
      </c>
      <c r="O8" s="6"/>
      <c r="P8" s="6"/>
      <c r="Q8" s="6"/>
      <c r="R8" s="6"/>
      <c r="U8" s="4"/>
      <c r="V8" s="5"/>
      <c r="W8" s="6" t="s">
        <v>5</v>
      </c>
      <c r="X8" s="6">
        <v>1146153</v>
      </c>
      <c r="Y8" s="6"/>
      <c r="Z8" s="6"/>
      <c r="AA8" s="6"/>
      <c r="AB8" s="6"/>
    </row>
    <row r="9" spans="1:28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K9" s="4"/>
      <c r="L9" s="5"/>
      <c r="M9" s="6" t="s">
        <v>6</v>
      </c>
      <c r="N9" s="6">
        <v>3297735.5133333281</v>
      </c>
      <c r="O9" s="6"/>
      <c r="P9" s="6"/>
      <c r="Q9" s="6"/>
      <c r="R9" s="6"/>
      <c r="U9" s="4"/>
      <c r="V9" s="5"/>
      <c r="W9" s="6" t="s">
        <v>6</v>
      </c>
      <c r="X9" s="6">
        <v>3297735.5133333281</v>
      </c>
      <c r="Y9" s="6"/>
      <c r="Z9" s="6"/>
      <c r="AA9" s="6"/>
      <c r="AB9" s="6"/>
    </row>
    <row r="10" spans="1:28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K10" s="4"/>
      <c r="L10" s="5"/>
      <c r="M10" s="6" t="s">
        <v>7</v>
      </c>
      <c r="N10" s="6">
        <v>2363662</v>
      </c>
      <c r="O10" s="6"/>
      <c r="P10" s="6"/>
      <c r="Q10" s="6"/>
      <c r="R10" s="6"/>
      <c r="U10" s="4"/>
      <c r="V10" s="5"/>
      <c r="W10" s="6" t="s">
        <v>7</v>
      </c>
      <c r="X10" s="6">
        <v>2363662</v>
      </c>
      <c r="Y10" s="6"/>
      <c r="Z10" s="6"/>
      <c r="AA10" s="6"/>
      <c r="AB10" s="6"/>
    </row>
    <row r="11" spans="1:28">
      <c r="A11" s="4"/>
      <c r="B11" s="5"/>
      <c r="C11" s="6"/>
      <c r="D11" s="6"/>
      <c r="E11" s="6"/>
      <c r="F11" s="6"/>
      <c r="G11" s="6"/>
      <c r="H11" s="6"/>
      <c r="K11" s="4"/>
      <c r="L11" s="5"/>
      <c r="M11" s="6"/>
      <c r="N11" s="6"/>
      <c r="O11" s="6"/>
      <c r="P11" s="6"/>
      <c r="Q11" s="6"/>
      <c r="R11" s="6"/>
      <c r="U11" s="4"/>
      <c r="V11" s="5"/>
      <c r="W11" s="6"/>
      <c r="X11" s="6"/>
      <c r="Y11" s="6"/>
      <c r="Z11" s="6"/>
      <c r="AA11" s="6"/>
      <c r="AB11" s="6"/>
    </row>
    <row r="12" spans="1:28">
      <c r="A12" s="531" t="s">
        <v>979</v>
      </c>
      <c r="B12" s="532"/>
      <c r="C12" s="532"/>
      <c r="D12" s="532"/>
      <c r="E12" s="532"/>
      <c r="F12" s="532"/>
      <c r="G12" s="533"/>
      <c r="H12" s="10">
        <f>SUM(D4:D10)</f>
        <v>104440175.51333332</v>
      </c>
      <c r="K12" s="531" t="s">
        <v>979</v>
      </c>
      <c r="L12" s="532"/>
      <c r="M12" s="532"/>
      <c r="N12" s="532"/>
      <c r="O12" s="532"/>
      <c r="P12" s="532"/>
      <c r="Q12" s="533"/>
      <c r="R12" s="10">
        <f>SUM(N4:N10)</f>
        <v>96165175.513333321</v>
      </c>
      <c r="U12" s="531" t="s">
        <v>979</v>
      </c>
      <c r="V12" s="532"/>
      <c r="W12" s="532"/>
      <c r="X12" s="532"/>
      <c r="Y12" s="532"/>
      <c r="Z12" s="532"/>
      <c r="AA12" s="533"/>
      <c r="AB12" s="10">
        <f>SUM(X4:X10)</f>
        <v>96165175.513333321</v>
      </c>
    </row>
    <row r="13" spans="1:28">
      <c r="A13" s="535" t="s">
        <v>8</v>
      </c>
      <c r="B13" s="535"/>
      <c r="C13" s="535"/>
      <c r="D13" s="535"/>
      <c r="E13" s="535"/>
      <c r="F13" s="535"/>
      <c r="G13" s="535"/>
      <c r="H13" s="535"/>
      <c r="K13" s="535" t="s">
        <v>8</v>
      </c>
      <c r="L13" s="535"/>
      <c r="M13" s="535"/>
      <c r="N13" s="535"/>
      <c r="O13" s="535"/>
      <c r="P13" s="535"/>
      <c r="Q13" s="535"/>
      <c r="R13" s="535"/>
      <c r="U13" s="535" t="s">
        <v>8</v>
      </c>
      <c r="V13" s="535"/>
      <c r="W13" s="535"/>
      <c r="X13" s="535"/>
      <c r="Y13" s="535"/>
      <c r="Z13" s="535"/>
      <c r="AA13" s="535"/>
      <c r="AB13" s="535"/>
    </row>
    <row r="14" spans="1:28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K14" s="536" t="s">
        <v>9</v>
      </c>
      <c r="L14" s="537" t="s">
        <v>10</v>
      </c>
      <c r="M14" s="538" t="s">
        <v>11</v>
      </c>
      <c r="N14" s="538" t="s">
        <v>12</v>
      </c>
      <c r="O14" s="530" t="s">
        <v>13</v>
      </c>
      <c r="P14" s="530"/>
      <c r="Q14" s="530"/>
      <c r="R14" s="530"/>
      <c r="U14" s="536" t="s">
        <v>9</v>
      </c>
      <c r="V14" s="537" t="s">
        <v>10</v>
      </c>
      <c r="W14" s="538" t="s">
        <v>11</v>
      </c>
      <c r="X14" s="538" t="s">
        <v>12</v>
      </c>
      <c r="Y14" s="530" t="s">
        <v>13</v>
      </c>
      <c r="Z14" s="530"/>
      <c r="AA14" s="530"/>
      <c r="AB14" s="530"/>
    </row>
    <row r="15" spans="1:28">
      <c r="A15" s="536"/>
      <c r="B15" s="537"/>
      <c r="C15" s="538"/>
      <c r="D15" s="538"/>
      <c r="E15" s="332" t="s">
        <v>14</v>
      </c>
      <c r="F15" s="332" t="s">
        <v>15</v>
      </c>
      <c r="G15" s="332" t="s">
        <v>16</v>
      </c>
      <c r="H15" s="332" t="s">
        <v>17</v>
      </c>
      <c r="K15" s="536"/>
      <c r="L15" s="537"/>
      <c r="M15" s="538"/>
      <c r="N15" s="538"/>
      <c r="O15" s="337" t="s">
        <v>14</v>
      </c>
      <c r="P15" s="337" t="s">
        <v>15</v>
      </c>
      <c r="Q15" s="337" t="s">
        <v>16</v>
      </c>
      <c r="R15" s="337" t="s">
        <v>17</v>
      </c>
      <c r="U15" s="536"/>
      <c r="V15" s="537"/>
      <c r="W15" s="538"/>
      <c r="X15" s="538"/>
      <c r="Y15" s="337" t="s">
        <v>14</v>
      </c>
      <c r="Z15" s="337" t="s">
        <v>15</v>
      </c>
      <c r="AA15" s="337" t="s">
        <v>16</v>
      </c>
      <c r="AB15" s="337" t="s">
        <v>17</v>
      </c>
    </row>
    <row r="16" spans="1:28">
      <c r="A16" s="12"/>
      <c r="B16" s="19" t="s">
        <v>954</v>
      </c>
      <c r="C16" s="14" t="s">
        <v>953</v>
      </c>
      <c r="D16" s="15">
        <v>400000</v>
      </c>
      <c r="E16" s="168"/>
      <c r="F16" s="168"/>
      <c r="G16" s="168"/>
      <c r="H16" s="168"/>
      <c r="K16" s="12"/>
      <c r="L16" s="19" t="s">
        <v>954</v>
      </c>
      <c r="M16" s="14" t="s">
        <v>953</v>
      </c>
      <c r="N16" s="15">
        <v>400000</v>
      </c>
      <c r="O16" s="168"/>
      <c r="P16" s="168"/>
      <c r="Q16" s="168"/>
      <c r="R16" s="168"/>
      <c r="U16" s="12"/>
      <c r="V16" s="19" t="s">
        <v>954</v>
      </c>
      <c r="W16" s="14" t="s">
        <v>953</v>
      </c>
      <c r="X16" s="15">
        <v>425000</v>
      </c>
      <c r="Y16" s="168"/>
      <c r="Z16" s="168"/>
      <c r="AA16" s="168"/>
      <c r="AB16" s="168"/>
    </row>
    <row r="17" spans="1:28">
      <c r="A17" s="12"/>
      <c r="B17" s="19"/>
      <c r="C17" s="14"/>
      <c r="D17" s="15"/>
      <c r="E17" s="16"/>
      <c r="F17" s="16"/>
      <c r="G17" s="16"/>
      <c r="H17" s="16"/>
      <c r="K17" s="12"/>
      <c r="L17" s="19"/>
      <c r="M17" s="14"/>
      <c r="N17" s="15"/>
      <c r="O17" s="16"/>
      <c r="P17" s="16"/>
      <c r="Q17" s="16"/>
      <c r="R17" s="16"/>
      <c r="U17" s="12"/>
      <c r="V17" s="19"/>
      <c r="W17" s="14"/>
      <c r="X17" s="15"/>
      <c r="Y17" s="16"/>
      <c r="Z17" s="16"/>
      <c r="AA17" s="16"/>
      <c r="AB17" s="16"/>
    </row>
    <row r="18" spans="1:28" hidden="1">
      <c r="A18" s="12"/>
      <c r="B18" s="19"/>
      <c r="C18" s="14"/>
      <c r="D18" s="15"/>
      <c r="E18" s="16"/>
      <c r="F18" s="16"/>
      <c r="G18" s="16"/>
      <c r="H18" s="16"/>
      <c r="K18" s="12"/>
      <c r="L18" s="19"/>
      <c r="M18" s="14"/>
      <c r="N18" s="15"/>
      <c r="O18" s="16"/>
      <c r="P18" s="16"/>
      <c r="Q18" s="16"/>
      <c r="R18" s="16"/>
      <c r="U18" s="12"/>
      <c r="V18" s="19"/>
      <c r="W18" s="14"/>
      <c r="X18" s="15"/>
      <c r="Y18" s="16"/>
      <c r="Z18" s="16"/>
      <c r="AA18" s="16"/>
      <c r="AB18" s="16"/>
    </row>
    <row r="19" spans="1:28" hidden="1">
      <c r="A19" s="12"/>
      <c r="B19" s="19"/>
      <c r="C19" s="14"/>
      <c r="D19" s="15"/>
      <c r="E19" s="16"/>
      <c r="F19" s="16"/>
      <c r="G19" s="16"/>
      <c r="H19" s="16"/>
      <c r="K19" s="12"/>
      <c r="L19" s="19"/>
      <c r="M19" s="14"/>
      <c r="N19" s="15"/>
      <c r="O19" s="16"/>
      <c r="P19" s="16"/>
      <c r="Q19" s="16"/>
      <c r="R19" s="16"/>
      <c r="U19" s="12"/>
      <c r="V19" s="19"/>
      <c r="W19" s="14"/>
      <c r="X19" s="15"/>
      <c r="Y19" s="16"/>
      <c r="Z19" s="16"/>
      <c r="AA19" s="16"/>
      <c r="AB19" s="16"/>
    </row>
    <row r="20" spans="1:28" hidden="1">
      <c r="A20" s="12"/>
      <c r="B20" s="19"/>
      <c r="C20" s="14"/>
      <c r="D20" s="15"/>
      <c r="E20" s="16"/>
      <c r="F20" s="16"/>
      <c r="G20" s="16"/>
      <c r="H20" s="16"/>
      <c r="K20" s="12"/>
      <c r="L20" s="19"/>
      <c r="M20" s="14"/>
      <c r="N20" s="15"/>
      <c r="O20" s="16"/>
      <c r="P20" s="16"/>
      <c r="Q20" s="16"/>
      <c r="R20" s="16"/>
      <c r="U20" s="12"/>
      <c r="V20" s="19"/>
      <c r="W20" s="14"/>
      <c r="X20" s="15"/>
      <c r="Y20" s="16"/>
      <c r="Z20" s="16"/>
      <c r="AA20" s="16"/>
      <c r="AB20" s="16"/>
    </row>
    <row r="21" spans="1:28" hidden="1">
      <c r="A21" s="12"/>
      <c r="B21" s="19"/>
      <c r="C21" s="14"/>
      <c r="D21" s="15"/>
      <c r="E21" s="16"/>
      <c r="F21" s="16"/>
      <c r="G21" s="16"/>
      <c r="H21" s="16"/>
      <c r="K21" s="12"/>
      <c r="L21" s="19"/>
      <c r="M21" s="14"/>
      <c r="N21" s="15"/>
      <c r="O21" s="16"/>
      <c r="P21" s="16"/>
      <c r="Q21" s="16"/>
      <c r="R21" s="16"/>
      <c r="U21" s="12"/>
      <c r="V21" s="19"/>
      <c r="W21" s="14"/>
      <c r="X21" s="15"/>
      <c r="Y21" s="16"/>
      <c r="Z21" s="16"/>
      <c r="AA21" s="16"/>
      <c r="AB21" s="16"/>
    </row>
    <row r="22" spans="1:28" hidden="1">
      <c r="A22" s="12"/>
      <c r="B22" s="19"/>
      <c r="C22" s="14"/>
      <c r="D22" s="15"/>
      <c r="E22" s="16"/>
      <c r="F22" s="16"/>
      <c r="G22" s="16"/>
      <c r="H22" s="16"/>
      <c r="K22" s="12"/>
      <c r="L22" s="19"/>
      <c r="M22" s="14"/>
      <c r="N22" s="15"/>
      <c r="O22" s="16"/>
      <c r="P22" s="16"/>
      <c r="Q22" s="16"/>
      <c r="R22" s="16"/>
      <c r="U22" s="12"/>
      <c r="V22" s="19"/>
      <c r="W22" s="14"/>
      <c r="X22" s="15"/>
      <c r="Y22" s="16"/>
      <c r="Z22" s="16"/>
      <c r="AA22" s="16"/>
      <c r="AB22" s="16"/>
    </row>
    <row r="23" spans="1:28" hidden="1">
      <c r="A23" s="12"/>
      <c r="B23" s="19"/>
      <c r="C23" s="14"/>
      <c r="D23" s="15"/>
      <c r="E23" s="16"/>
      <c r="F23" s="16"/>
      <c r="G23" s="16"/>
      <c r="H23" s="16"/>
      <c r="K23" s="12"/>
      <c r="L23" s="19"/>
      <c r="M23" s="14"/>
      <c r="N23" s="15"/>
      <c r="O23" s="16"/>
      <c r="P23" s="16"/>
      <c r="Q23" s="16"/>
      <c r="R23" s="16"/>
      <c r="U23" s="12"/>
      <c r="V23" s="19"/>
      <c r="W23" s="14"/>
      <c r="X23" s="15"/>
      <c r="Y23" s="16"/>
      <c r="Z23" s="16"/>
      <c r="AA23" s="16"/>
      <c r="AB23" s="16"/>
    </row>
    <row r="24" spans="1:28" hidden="1">
      <c r="A24" s="12"/>
      <c r="B24" s="19"/>
      <c r="C24" s="14"/>
      <c r="D24" s="15"/>
      <c r="E24" s="16"/>
      <c r="F24" s="16"/>
      <c r="G24" s="16"/>
      <c r="H24" s="16"/>
      <c r="K24" s="12"/>
      <c r="L24" s="19"/>
      <c r="M24" s="14"/>
      <c r="N24" s="15"/>
      <c r="O24" s="16"/>
      <c r="P24" s="16"/>
      <c r="Q24" s="16"/>
      <c r="R24" s="16"/>
      <c r="U24" s="12"/>
      <c r="V24" s="19"/>
      <c r="W24" s="14"/>
      <c r="X24" s="15"/>
      <c r="Y24" s="16"/>
      <c r="Z24" s="16"/>
      <c r="AA24" s="16"/>
      <c r="AB24" s="16"/>
    </row>
    <row r="25" spans="1:28" hidden="1">
      <c r="A25" s="12"/>
      <c r="B25" s="19"/>
      <c r="C25" s="14"/>
      <c r="D25" s="15"/>
      <c r="E25" s="16"/>
      <c r="F25" s="16"/>
      <c r="G25" s="16"/>
      <c r="H25" s="16"/>
      <c r="K25" s="12"/>
      <c r="L25" s="19"/>
      <c r="M25" s="14"/>
      <c r="N25" s="15"/>
      <c r="O25" s="16"/>
      <c r="P25" s="16"/>
      <c r="Q25" s="16"/>
      <c r="R25" s="16"/>
      <c r="U25" s="12"/>
      <c r="V25" s="19"/>
      <c r="W25" s="14"/>
      <c r="X25" s="15"/>
      <c r="Y25" s="16"/>
      <c r="Z25" s="16"/>
      <c r="AA25" s="16"/>
      <c r="AB25" s="16"/>
    </row>
    <row r="26" spans="1:28" hidden="1">
      <c r="A26" s="12"/>
      <c r="B26" s="19"/>
      <c r="C26" s="14"/>
      <c r="D26" s="15"/>
      <c r="E26" s="16"/>
      <c r="F26" s="16"/>
      <c r="G26" s="16"/>
      <c r="H26" s="16"/>
      <c r="K26" s="12"/>
      <c r="L26" s="19"/>
      <c r="M26" s="14"/>
      <c r="N26" s="15"/>
      <c r="O26" s="16"/>
      <c r="P26" s="16"/>
      <c r="Q26" s="16"/>
      <c r="R26" s="16"/>
      <c r="U26" s="12"/>
      <c r="V26" s="19"/>
      <c r="W26" s="14"/>
      <c r="X26" s="15"/>
      <c r="Y26" s="16"/>
      <c r="Z26" s="16"/>
      <c r="AA26" s="16"/>
      <c r="AB26" s="16"/>
    </row>
    <row r="27" spans="1:28" hidden="1">
      <c r="A27" s="12"/>
      <c r="B27" s="19"/>
      <c r="C27" s="14"/>
      <c r="D27" s="15"/>
      <c r="E27" s="16"/>
      <c r="F27" s="16"/>
      <c r="G27" s="16"/>
      <c r="H27" s="16"/>
      <c r="K27" s="12"/>
      <c r="L27" s="19"/>
      <c r="M27" s="14"/>
      <c r="N27" s="15"/>
      <c r="O27" s="16"/>
      <c r="P27" s="16"/>
      <c r="Q27" s="16"/>
      <c r="R27" s="16"/>
      <c r="U27" s="12"/>
      <c r="V27" s="19"/>
      <c r="W27" s="14"/>
      <c r="X27" s="15"/>
      <c r="Y27" s="16"/>
      <c r="Z27" s="16"/>
      <c r="AA27" s="16"/>
      <c r="AB27" s="16"/>
    </row>
    <row r="28" spans="1:28" hidden="1">
      <c r="A28" s="12"/>
      <c r="B28" s="19"/>
      <c r="C28" s="14"/>
      <c r="D28" s="15"/>
      <c r="E28" s="16"/>
      <c r="F28" s="16"/>
      <c r="G28" s="16"/>
      <c r="H28" s="16"/>
      <c r="K28" s="12"/>
      <c r="L28" s="19"/>
      <c r="M28" s="14"/>
      <c r="N28" s="15"/>
      <c r="O28" s="16"/>
      <c r="P28" s="16"/>
      <c r="Q28" s="16"/>
      <c r="R28" s="16"/>
      <c r="U28" s="12"/>
      <c r="V28" s="19"/>
      <c r="W28" s="14"/>
      <c r="X28" s="15"/>
      <c r="Y28" s="16"/>
      <c r="Z28" s="16"/>
      <c r="AA28" s="16"/>
      <c r="AB28" s="16"/>
    </row>
    <row r="29" spans="1:28">
      <c r="A29" s="18"/>
      <c r="B29" s="19"/>
      <c r="C29" s="332" t="s">
        <v>20</v>
      </c>
      <c r="D29" s="10">
        <f>SUM(D16:D27)</f>
        <v>400000</v>
      </c>
      <c r="E29" s="10"/>
      <c r="F29" s="10"/>
      <c r="G29" s="10"/>
      <c r="H29" s="10"/>
      <c r="K29" s="18"/>
      <c r="L29" s="19"/>
      <c r="M29" s="337" t="s">
        <v>20</v>
      </c>
      <c r="N29" s="10">
        <f>SUM(N16:N27)</f>
        <v>400000</v>
      </c>
      <c r="O29" s="10"/>
      <c r="P29" s="10"/>
      <c r="Q29" s="10"/>
      <c r="R29" s="10"/>
      <c r="U29" s="18"/>
      <c r="V29" s="19"/>
      <c r="W29" s="337" t="s">
        <v>20</v>
      </c>
      <c r="X29" s="10">
        <f>SUM(X16:X27)</f>
        <v>425000</v>
      </c>
      <c r="Y29" s="10"/>
      <c r="Z29" s="10"/>
      <c r="AA29" s="10"/>
      <c r="AB29" s="10"/>
    </row>
    <row r="30" spans="1:28">
      <c r="A30" s="20"/>
      <c r="B30" s="330"/>
      <c r="C30" s="152" t="s">
        <v>21</v>
      </c>
      <c r="D30" s="150"/>
      <c r="E30" s="150"/>
      <c r="F30" s="150"/>
      <c r="G30" s="151"/>
      <c r="H30" s="21">
        <f>+D29</f>
        <v>400000</v>
      </c>
      <c r="K30" s="20"/>
      <c r="L30" s="335"/>
      <c r="M30" s="152" t="s">
        <v>21</v>
      </c>
      <c r="N30" s="150"/>
      <c r="O30" s="150"/>
      <c r="P30" s="150"/>
      <c r="Q30" s="151"/>
      <c r="R30" s="21">
        <f>+N29</f>
        <v>400000</v>
      </c>
      <c r="U30" s="20"/>
      <c r="V30" s="335"/>
      <c r="W30" s="152" t="s">
        <v>21</v>
      </c>
      <c r="X30" s="150"/>
      <c r="Y30" s="150"/>
      <c r="Z30" s="150"/>
      <c r="AA30" s="151"/>
      <c r="AB30" s="21">
        <f>+X29</f>
        <v>425000</v>
      </c>
    </row>
    <row r="31" spans="1:28">
      <c r="A31" s="526" t="s">
        <v>22</v>
      </c>
      <c r="B31" s="526"/>
      <c r="C31" s="526"/>
      <c r="D31" s="526"/>
      <c r="E31" s="526">
        <f>+H30</f>
        <v>400000</v>
      </c>
      <c r="F31" s="526"/>
      <c r="G31" s="526"/>
      <c r="H31" s="526"/>
      <c r="K31" s="526" t="s">
        <v>22</v>
      </c>
      <c r="L31" s="526"/>
      <c r="M31" s="526"/>
      <c r="N31" s="526"/>
      <c r="O31" s="526">
        <f>+R30</f>
        <v>400000</v>
      </c>
      <c r="P31" s="526"/>
      <c r="Q31" s="526"/>
      <c r="R31" s="526"/>
      <c r="U31" s="526" t="s">
        <v>22</v>
      </c>
      <c r="V31" s="526"/>
      <c r="W31" s="526"/>
      <c r="X31" s="526"/>
      <c r="Y31" s="526">
        <f>+AB30</f>
        <v>425000</v>
      </c>
      <c r="Z31" s="526"/>
      <c r="AA31" s="526"/>
      <c r="AB31" s="526"/>
    </row>
    <row r="32" spans="1:28">
      <c r="A32" s="524" t="s">
        <v>23</v>
      </c>
      <c r="B32" s="524"/>
      <c r="C32" s="524"/>
      <c r="D32" s="524"/>
      <c r="E32" s="524"/>
      <c r="F32" s="524"/>
      <c r="G32" s="524"/>
      <c r="H32" s="524"/>
      <c r="K32" s="524" t="s">
        <v>23</v>
      </c>
      <c r="L32" s="524"/>
      <c r="M32" s="524"/>
      <c r="N32" s="524"/>
      <c r="O32" s="524"/>
      <c r="P32" s="524"/>
      <c r="Q32" s="524"/>
      <c r="R32" s="524"/>
      <c r="U32" s="524" t="s">
        <v>23</v>
      </c>
      <c r="V32" s="524"/>
      <c r="W32" s="524"/>
      <c r="X32" s="524"/>
      <c r="Y32" s="524"/>
      <c r="Z32" s="524"/>
      <c r="AA32" s="524"/>
      <c r="AB32" s="524"/>
    </row>
    <row r="33" spans="1:28">
      <c r="A33" s="12"/>
      <c r="B33" s="19" t="s">
        <v>955</v>
      </c>
      <c r="C33" s="15" t="s">
        <v>956</v>
      </c>
      <c r="D33" s="22">
        <v>556000</v>
      </c>
      <c r="E33" s="22"/>
      <c r="F33" s="22"/>
      <c r="G33" s="16"/>
      <c r="H33" s="16"/>
      <c r="K33" s="12"/>
      <c r="L33" s="19" t="s">
        <v>955</v>
      </c>
      <c r="M33" s="15" t="s">
        <v>956</v>
      </c>
      <c r="N33" s="22">
        <v>556000</v>
      </c>
      <c r="O33" s="22"/>
      <c r="P33" s="22"/>
      <c r="Q33" s="16"/>
      <c r="R33" s="16"/>
      <c r="U33" s="12"/>
      <c r="V33" s="19" t="s">
        <v>955</v>
      </c>
      <c r="W33" s="15" t="s">
        <v>956</v>
      </c>
      <c r="X33" s="22">
        <v>556000</v>
      </c>
      <c r="Y33" s="22"/>
      <c r="Z33" s="22"/>
      <c r="AA33" s="16"/>
      <c r="AB33" s="16"/>
    </row>
    <row r="34" spans="1:28">
      <c r="A34" s="12"/>
      <c r="B34" s="19" t="s">
        <v>957</v>
      </c>
      <c r="C34" s="15" t="s">
        <v>958</v>
      </c>
      <c r="D34" s="22">
        <v>200000</v>
      </c>
      <c r="E34" s="22"/>
      <c r="F34" s="22"/>
      <c r="G34" s="16"/>
      <c r="H34" s="16"/>
      <c r="K34" s="12"/>
      <c r="L34" s="19" t="s">
        <v>957</v>
      </c>
      <c r="M34" s="15" t="s">
        <v>958</v>
      </c>
      <c r="N34" s="22">
        <v>200000</v>
      </c>
      <c r="O34" s="22"/>
      <c r="P34" s="22"/>
      <c r="Q34" s="16"/>
      <c r="R34" s="16"/>
      <c r="U34" s="12"/>
      <c r="V34" s="19" t="s">
        <v>957</v>
      </c>
      <c r="W34" s="15" t="s">
        <v>958</v>
      </c>
      <c r="X34" s="22">
        <v>200000</v>
      </c>
      <c r="Y34" s="22"/>
      <c r="Z34" s="22"/>
      <c r="AA34" s="16"/>
      <c r="AB34" s="16"/>
    </row>
    <row r="35" spans="1:28">
      <c r="A35" s="12"/>
      <c r="B35" s="19" t="s">
        <v>959</v>
      </c>
      <c r="C35" s="15" t="s">
        <v>960</v>
      </c>
      <c r="D35" s="22">
        <v>1307000</v>
      </c>
      <c r="E35" s="22"/>
      <c r="F35" s="22"/>
      <c r="G35" s="16"/>
      <c r="H35" s="16"/>
      <c r="K35" s="12"/>
      <c r="L35" s="19" t="s">
        <v>959</v>
      </c>
      <c r="M35" s="15" t="s">
        <v>960</v>
      </c>
      <c r="N35" s="22">
        <v>1307000</v>
      </c>
      <c r="O35" s="22"/>
      <c r="P35" s="22"/>
      <c r="Q35" s="16"/>
      <c r="R35" s="16"/>
      <c r="U35" s="12"/>
      <c r="V35" s="19" t="s">
        <v>959</v>
      </c>
      <c r="W35" s="15" t="s">
        <v>960</v>
      </c>
      <c r="X35" s="22">
        <v>1307000</v>
      </c>
      <c r="Y35" s="22"/>
      <c r="Z35" s="22"/>
      <c r="AA35" s="16"/>
      <c r="AB35" s="16"/>
    </row>
    <row r="36" spans="1:28">
      <c r="A36" s="12"/>
      <c r="B36" s="19" t="s">
        <v>959</v>
      </c>
      <c r="C36" s="15" t="s">
        <v>961</v>
      </c>
      <c r="D36" s="23">
        <v>300000</v>
      </c>
      <c r="E36" s="22"/>
      <c r="F36" s="22"/>
      <c r="G36" s="16"/>
      <c r="H36" s="16"/>
      <c r="K36" s="12"/>
      <c r="L36" s="19" t="s">
        <v>959</v>
      </c>
      <c r="M36" s="15" t="s">
        <v>961</v>
      </c>
      <c r="N36" s="23">
        <v>300000</v>
      </c>
      <c r="O36" s="22"/>
      <c r="P36" s="22"/>
      <c r="Q36" s="16"/>
      <c r="R36" s="16"/>
      <c r="U36" s="12"/>
      <c r="V36" s="19" t="s">
        <v>959</v>
      </c>
      <c r="W36" s="15" t="s">
        <v>961</v>
      </c>
      <c r="X36" s="23">
        <v>300000</v>
      </c>
      <c r="Y36" s="22"/>
      <c r="Z36" s="22"/>
      <c r="AA36" s="16"/>
      <c r="AB36" s="16"/>
    </row>
    <row r="37" spans="1:28">
      <c r="A37" s="12"/>
      <c r="B37" s="19"/>
      <c r="C37" s="15"/>
      <c r="D37" s="23"/>
      <c r="E37" s="22"/>
      <c r="F37" s="22"/>
      <c r="G37" s="16"/>
      <c r="H37" s="16"/>
      <c r="K37" s="12"/>
      <c r="L37" s="19"/>
      <c r="M37" s="15"/>
      <c r="N37" s="23"/>
      <c r="O37" s="22"/>
      <c r="P37" s="22"/>
      <c r="Q37" s="16"/>
      <c r="R37" s="16"/>
      <c r="U37" s="12"/>
      <c r="V37" s="19"/>
      <c r="W37" s="15"/>
      <c r="X37" s="23"/>
      <c r="Y37" s="22"/>
      <c r="Z37" s="22"/>
      <c r="AA37" s="16"/>
      <c r="AB37" s="16"/>
    </row>
    <row r="38" spans="1:28" hidden="1">
      <c r="A38" s="12"/>
      <c r="B38" s="19"/>
      <c r="C38" s="15"/>
      <c r="D38" s="23"/>
      <c r="E38" s="22"/>
      <c r="F38" s="22"/>
      <c r="G38" s="16"/>
      <c r="H38" s="16"/>
      <c r="K38" s="12"/>
      <c r="L38" s="19"/>
      <c r="M38" s="15"/>
      <c r="N38" s="23"/>
      <c r="O38" s="22"/>
      <c r="P38" s="22"/>
      <c r="Q38" s="16"/>
      <c r="R38" s="16"/>
      <c r="U38" s="12"/>
      <c r="V38" s="19"/>
      <c r="W38" s="15"/>
      <c r="X38" s="23"/>
      <c r="Y38" s="22"/>
      <c r="Z38" s="22"/>
      <c r="AA38" s="16"/>
      <c r="AB38" s="16"/>
    </row>
    <row r="39" spans="1:28" hidden="1">
      <c r="A39" s="12"/>
      <c r="B39" s="19"/>
      <c r="C39" s="15"/>
      <c r="D39" s="23"/>
      <c r="E39" s="22"/>
      <c r="F39" s="22"/>
      <c r="G39" s="16"/>
      <c r="H39" s="16"/>
      <c r="K39" s="12"/>
      <c r="L39" s="19"/>
      <c r="M39" s="15"/>
      <c r="N39" s="23"/>
      <c r="O39" s="22"/>
      <c r="P39" s="22"/>
      <c r="Q39" s="16"/>
      <c r="R39" s="16"/>
      <c r="U39" s="12"/>
      <c r="V39" s="19"/>
      <c r="W39" s="15"/>
      <c r="X39" s="23"/>
      <c r="Y39" s="22"/>
      <c r="Z39" s="22"/>
      <c r="AA39" s="16"/>
      <c r="AB39" s="16"/>
    </row>
    <row r="40" spans="1:28" hidden="1">
      <c r="A40" s="12"/>
      <c r="B40" s="19"/>
      <c r="C40" s="15"/>
      <c r="D40" s="23"/>
      <c r="E40" s="22"/>
      <c r="F40" s="22"/>
      <c r="G40" s="16"/>
      <c r="H40" s="16"/>
      <c r="K40" s="12"/>
      <c r="L40" s="19"/>
      <c r="M40" s="15"/>
      <c r="N40" s="23"/>
      <c r="O40" s="22"/>
      <c r="P40" s="22"/>
      <c r="Q40" s="16"/>
      <c r="R40" s="16"/>
      <c r="U40" s="12"/>
      <c r="V40" s="19"/>
      <c r="W40" s="15"/>
      <c r="X40" s="23"/>
      <c r="Y40" s="22"/>
      <c r="Z40" s="22"/>
      <c r="AA40" s="16"/>
      <c r="AB40" s="16"/>
    </row>
    <row r="41" spans="1:28" hidden="1">
      <c r="A41" s="12"/>
      <c r="B41" s="13"/>
      <c r="C41" s="15"/>
      <c r="D41" s="23"/>
      <c r="E41" s="22"/>
      <c r="F41" s="22"/>
      <c r="G41" s="16"/>
      <c r="H41" s="16"/>
      <c r="K41" s="12"/>
      <c r="L41" s="13"/>
      <c r="M41" s="15"/>
      <c r="N41" s="23"/>
      <c r="O41" s="22"/>
      <c r="P41" s="22"/>
      <c r="Q41" s="16"/>
      <c r="R41" s="16"/>
      <c r="U41" s="12"/>
      <c r="V41" s="13"/>
      <c r="W41" s="15"/>
      <c r="X41" s="23"/>
      <c r="Y41" s="22"/>
      <c r="Z41" s="22"/>
      <c r="AA41" s="16"/>
      <c r="AB41" s="16"/>
    </row>
    <row r="42" spans="1:28" hidden="1">
      <c r="A42" s="12"/>
      <c r="B42" s="13"/>
      <c r="C42" s="15"/>
      <c r="D42" s="23"/>
      <c r="E42" s="22"/>
      <c r="F42" s="22"/>
      <c r="G42" s="16"/>
      <c r="H42" s="16"/>
      <c r="K42" s="12"/>
      <c r="L42" s="13"/>
      <c r="M42" s="15"/>
      <c r="N42" s="23"/>
      <c r="O42" s="22"/>
      <c r="P42" s="22"/>
      <c r="Q42" s="16"/>
      <c r="R42" s="16"/>
      <c r="U42" s="12"/>
      <c r="V42" s="13"/>
      <c r="W42" s="15"/>
      <c r="X42" s="23"/>
      <c r="Y42" s="22"/>
      <c r="Z42" s="22"/>
      <c r="AA42" s="16"/>
      <c r="AB42" s="16"/>
    </row>
    <row r="43" spans="1:28" hidden="1">
      <c r="A43" s="12"/>
      <c r="B43" s="13"/>
      <c r="C43" s="15"/>
      <c r="D43" s="23"/>
      <c r="E43" s="22"/>
      <c r="F43" s="22"/>
      <c r="G43" s="16"/>
      <c r="H43" s="16"/>
      <c r="K43" s="12"/>
      <c r="L43" s="13"/>
      <c r="M43" s="15"/>
      <c r="N43" s="23"/>
      <c r="O43" s="22"/>
      <c r="P43" s="22"/>
      <c r="Q43" s="16"/>
      <c r="R43" s="16"/>
      <c r="U43" s="12"/>
      <c r="V43" s="13"/>
      <c r="W43" s="15"/>
      <c r="X43" s="23"/>
      <c r="Y43" s="22"/>
      <c r="Z43" s="22"/>
      <c r="AA43" s="16"/>
      <c r="AB43" s="16"/>
    </row>
    <row r="44" spans="1:28" hidden="1">
      <c r="A44" s="12"/>
      <c r="B44" s="13"/>
      <c r="C44" s="15"/>
      <c r="D44" s="23"/>
      <c r="E44" s="22"/>
      <c r="F44" s="22"/>
      <c r="G44" s="16"/>
      <c r="H44" s="16"/>
      <c r="K44" s="12"/>
      <c r="L44" s="13"/>
      <c r="M44" s="15"/>
      <c r="N44" s="23"/>
      <c r="O44" s="22"/>
      <c r="P44" s="22"/>
      <c r="Q44" s="16"/>
      <c r="R44" s="16"/>
      <c r="U44" s="12"/>
      <c r="V44" s="13"/>
      <c r="W44" s="15"/>
      <c r="X44" s="23"/>
      <c r="Y44" s="22"/>
      <c r="Z44" s="22"/>
      <c r="AA44" s="16"/>
      <c r="AB44" s="16"/>
    </row>
    <row r="45" spans="1:28" hidden="1">
      <c r="A45" s="12"/>
      <c r="B45" s="13"/>
      <c r="C45" s="15"/>
      <c r="D45" s="23"/>
      <c r="E45" s="22"/>
      <c r="F45" s="22"/>
      <c r="G45" s="16"/>
      <c r="H45" s="16"/>
      <c r="K45" s="12"/>
      <c r="L45" s="13"/>
      <c r="M45" s="15"/>
      <c r="N45" s="23"/>
      <c r="O45" s="22"/>
      <c r="P45" s="22"/>
      <c r="Q45" s="16"/>
      <c r="R45" s="16"/>
      <c r="U45" s="12"/>
      <c r="V45" s="13"/>
      <c r="W45" s="15"/>
      <c r="X45" s="23"/>
      <c r="Y45" s="22"/>
      <c r="Z45" s="22"/>
      <c r="AA45" s="16"/>
      <c r="AB45" s="16"/>
    </row>
    <row r="46" spans="1:28" hidden="1">
      <c r="A46" s="12"/>
      <c r="B46" s="13"/>
      <c r="C46" s="15"/>
      <c r="D46" s="23"/>
      <c r="E46" s="22"/>
      <c r="F46" s="22"/>
      <c r="G46" s="16"/>
      <c r="H46" s="16"/>
      <c r="K46" s="12"/>
      <c r="L46" s="13"/>
      <c r="M46" s="15"/>
      <c r="N46" s="23"/>
      <c r="O46" s="22"/>
      <c r="P46" s="22"/>
      <c r="Q46" s="16"/>
      <c r="R46" s="16"/>
      <c r="U46" s="12"/>
      <c r="V46" s="13"/>
      <c r="W46" s="15"/>
      <c r="X46" s="23"/>
      <c r="Y46" s="22"/>
      <c r="Z46" s="22"/>
      <c r="AA46" s="16"/>
      <c r="AB46" s="16"/>
    </row>
    <row r="47" spans="1:28" hidden="1">
      <c r="A47" s="12"/>
      <c r="B47" s="13"/>
      <c r="C47" s="15"/>
      <c r="D47" s="23"/>
      <c r="E47" s="22"/>
      <c r="F47" s="22"/>
      <c r="G47" s="16"/>
      <c r="H47" s="16"/>
      <c r="K47" s="12"/>
      <c r="L47" s="13"/>
      <c r="M47" s="15"/>
      <c r="N47" s="23"/>
      <c r="O47" s="22"/>
      <c r="P47" s="22"/>
      <c r="Q47" s="16"/>
      <c r="R47" s="16"/>
      <c r="U47" s="12"/>
      <c r="V47" s="13"/>
      <c r="W47" s="15"/>
      <c r="X47" s="23"/>
      <c r="Y47" s="22"/>
      <c r="Z47" s="22"/>
      <c r="AA47" s="16"/>
      <c r="AB47" s="16"/>
    </row>
    <row r="48" spans="1:28" hidden="1">
      <c r="A48" s="12"/>
      <c r="B48" s="13"/>
      <c r="C48" s="15"/>
      <c r="D48" s="23"/>
      <c r="E48" s="22"/>
      <c r="F48" s="22"/>
      <c r="G48" s="16"/>
      <c r="H48" s="16"/>
      <c r="K48" s="12"/>
      <c r="L48" s="13"/>
      <c r="M48" s="15"/>
      <c r="N48" s="23"/>
      <c r="O48" s="22"/>
      <c r="P48" s="22"/>
      <c r="Q48" s="16"/>
      <c r="R48" s="16"/>
      <c r="U48" s="12"/>
      <c r="V48" s="13"/>
      <c r="W48" s="15"/>
      <c r="X48" s="23"/>
      <c r="Y48" s="22"/>
      <c r="Z48" s="22"/>
      <c r="AA48" s="16"/>
      <c r="AB48" s="16"/>
    </row>
    <row r="49" spans="1:28">
      <c r="A49" s="25"/>
      <c r="B49" s="19"/>
      <c r="C49" s="26" t="s">
        <v>24</v>
      </c>
      <c r="D49" s="27">
        <f>SUM(D33:D48)</f>
        <v>2363000</v>
      </c>
      <c r="E49" s="27"/>
      <c r="F49" s="27"/>
      <c r="G49" s="27"/>
      <c r="H49" s="27"/>
      <c r="K49" s="25"/>
      <c r="L49" s="19"/>
      <c r="M49" s="26" t="s">
        <v>24</v>
      </c>
      <c r="N49" s="27">
        <f>SUM(N33:N48)</f>
        <v>2363000</v>
      </c>
      <c r="O49" s="27"/>
      <c r="P49" s="27"/>
      <c r="Q49" s="27"/>
      <c r="R49" s="27"/>
      <c r="U49" s="25"/>
      <c r="V49" s="19"/>
      <c r="W49" s="26" t="s">
        <v>24</v>
      </c>
      <c r="X49" s="27">
        <f>SUM(X33:X48)</f>
        <v>2363000</v>
      </c>
      <c r="Y49" s="27"/>
      <c r="Z49" s="27"/>
      <c r="AA49" s="27"/>
      <c r="AB49" s="27"/>
    </row>
    <row r="50" spans="1:28">
      <c r="A50" s="20"/>
      <c r="B50" s="19"/>
      <c r="C50" s="332" t="s">
        <v>21</v>
      </c>
      <c r="D50" s="10"/>
      <c r="E50" s="530">
        <f>D49</f>
        <v>2363000</v>
      </c>
      <c r="F50" s="530"/>
      <c r="G50" s="530"/>
      <c r="H50" s="530"/>
      <c r="K50" s="20"/>
      <c r="L50" s="19"/>
      <c r="M50" s="337" t="s">
        <v>21</v>
      </c>
      <c r="N50" s="10"/>
      <c r="O50" s="530">
        <f>N49</f>
        <v>2363000</v>
      </c>
      <c r="P50" s="530"/>
      <c r="Q50" s="530"/>
      <c r="R50" s="530"/>
      <c r="U50" s="20"/>
      <c r="V50" s="19"/>
      <c r="W50" s="337" t="s">
        <v>21</v>
      </c>
      <c r="X50" s="10"/>
      <c r="Y50" s="530">
        <f>X49</f>
        <v>2363000</v>
      </c>
      <c r="Z50" s="530"/>
      <c r="AA50" s="530"/>
      <c r="AB50" s="530"/>
    </row>
    <row r="51" spans="1:28" hidden="1">
      <c r="A51" s="524" t="s">
        <v>349</v>
      </c>
      <c r="B51" s="524"/>
      <c r="C51" s="524"/>
      <c r="D51" s="524"/>
      <c r="E51" s="524"/>
      <c r="F51" s="524"/>
      <c r="G51" s="524"/>
      <c r="H51" s="524"/>
      <c r="K51" s="524" t="s">
        <v>349</v>
      </c>
      <c r="L51" s="524"/>
      <c r="M51" s="524"/>
      <c r="N51" s="524"/>
      <c r="O51" s="524"/>
      <c r="P51" s="524"/>
      <c r="Q51" s="524"/>
      <c r="R51" s="524"/>
      <c r="U51" s="524" t="s">
        <v>349</v>
      </c>
      <c r="V51" s="524"/>
      <c r="W51" s="524"/>
      <c r="X51" s="524"/>
      <c r="Y51" s="524"/>
      <c r="Z51" s="524"/>
      <c r="AA51" s="524"/>
      <c r="AB51" s="524"/>
    </row>
    <row r="52" spans="1:28" hidden="1">
      <c r="A52" s="28"/>
      <c r="B52" s="23" t="s">
        <v>717</v>
      </c>
      <c r="C52" s="23" t="s">
        <v>749</v>
      </c>
      <c r="D52" s="23"/>
      <c r="E52" s="28"/>
      <c r="F52" s="28"/>
      <c r="G52" s="28"/>
      <c r="H52" s="28"/>
      <c r="K52" s="28"/>
      <c r="L52" s="23" t="s">
        <v>717</v>
      </c>
      <c r="M52" s="23" t="s">
        <v>749</v>
      </c>
      <c r="N52" s="23"/>
      <c r="O52" s="28"/>
      <c r="P52" s="28"/>
      <c r="Q52" s="28"/>
      <c r="R52" s="28"/>
      <c r="U52" s="28"/>
      <c r="V52" s="23" t="s">
        <v>717</v>
      </c>
      <c r="W52" s="23" t="s">
        <v>749</v>
      </c>
      <c r="X52" s="23"/>
      <c r="Y52" s="28"/>
      <c r="Z52" s="28"/>
      <c r="AA52" s="28"/>
      <c r="AB52" s="28"/>
    </row>
    <row r="53" spans="1:28" hidden="1">
      <c r="A53" s="28"/>
      <c r="B53" s="23"/>
      <c r="C53" s="23"/>
      <c r="D53" s="23"/>
      <c r="E53" s="28"/>
      <c r="F53" s="28"/>
      <c r="G53" s="28"/>
      <c r="H53" s="28"/>
      <c r="K53" s="28"/>
      <c r="L53" s="23"/>
      <c r="M53" s="23"/>
      <c r="N53" s="23"/>
      <c r="O53" s="28"/>
      <c r="P53" s="28"/>
      <c r="Q53" s="28"/>
      <c r="R53" s="28"/>
      <c r="U53" s="28"/>
      <c r="V53" s="23"/>
      <c r="W53" s="23"/>
      <c r="X53" s="23"/>
      <c r="Y53" s="28"/>
      <c r="Z53" s="28"/>
      <c r="AA53" s="28"/>
      <c r="AB53" s="28"/>
    </row>
    <row r="54" spans="1:28" hidden="1">
      <c r="A54" s="12"/>
      <c r="B54" s="13"/>
      <c r="C54" s="26" t="s">
        <v>448</v>
      </c>
      <c r="D54" s="27">
        <f>SUM(D52:D53)</f>
        <v>0</v>
      </c>
      <c r="E54" s="27">
        <v>0</v>
      </c>
      <c r="F54" s="27">
        <v>0</v>
      </c>
      <c r="G54" s="27"/>
      <c r="H54" s="27"/>
      <c r="K54" s="12"/>
      <c r="L54" s="13"/>
      <c r="M54" s="26" t="s">
        <v>448</v>
      </c>
      <c r="N54" s="27">
        <f>SUM(N52:N53)</f>
        <v>0</v>
      </c>
      <c r="O54" s="27">
        <v>0</v>
      </c>
      <c r="P54" s="27">
        <v>0</v>
      </c>
      <c r="Q54" s="27"/>
      <c r="R54" s="27"/>
      <c r="U54" s="12"/>
      <c r="V54" s="13"/>
      <c r="W54" s="26" t="s">
        <v>448</v>
      </c>
      <c r="X54" s="27">
        <f>SUM(X52:X53)</f>
        <v>0</v>
      </c>
      <c r="Y54" s="27">
        <v>0</v>
      </c>
      <c r="Z54" s="27">
        <v>0</v>
      </c>
      <c r="AA54" s="27"/>
      <c r="AB54" s="27"/>
    </row>
    <row r="55" spans="1:28" hidden="1">
      <c r="A55" s="20"/>
      <c r="B55" s="19"/>
      <c r="C55" s="332" t="s">
        <v>21</v>
      </c>
      <c r="D55" s="10"/>
      <c r="E55" s="530">
        <f>D54</f>
        <v>0</v>
      </c>
      <c r="F55" s="530"/>
      <c r="G55" s="530"/>
      <c r="H55" s="530"/>
      <c r="K55" s="20"/>
      <c r="L55" s="19"/>
      <c r="M55" s="337" t="s">
        <v>21</v>
      </c>
      <c r="N55" s="10"/>
      <c r="O55" s="530">
        <f>N54</f>
        <v>0</v>
      </c>
      <c r="P55" s="530"/>
      <c r="Q55" s="530"/>
      <c r="R55" s="530"/>
      <c r="U55" s="20"/>
      <c r="V55" s="19"/>
      <c r="W55" s="337" t="s">
        <v>21</v>
      </c>
      <c r="X55" s="10"/>
      <c r="Y55" s="530">
        <f>X54</f>
        <v>0</v>
      </c>
      <c r="Z55" s="530"/>
      <c r="AA55" s="530"/>
      <c r="AB55" s="530"/>
    </row>
    <row r="56" spans="1:28" hidden="1">
      <c r="A56" s="524" t="s">
        <v>895</v>
      </c>
      <c r="B56" s="524"/>
      <c r="C56" s="524"/>
      <c r="D56" s="524"/>
      <c r="E56" s="524"/>
      <c r="F56" s="524"/>
      <c r="G56" s="524"/>
      <c r="H56" s="524"/>
      <c r="K56" s="524" t="s">
        <v>895</v>
      </c>
      <c r="L56" s="524"/>
      <c r="M56" s="524"/>
      <c r="N56" s="524"/>
      <c r="O56" s="524"/>
      <c r="P56" s="524"/>
      <c r="Q56" s="524"/>
      <c r="R56" s="524"/>
      <c r="U56" s="524" t="s">
        <v>895</v>
      </c>
      <c r="V56" s="524"/>
      <c r="W56" s="524"/>
      <c r="X56" s="524"/>
      <c r="Y56" s="524"/>
      <c r="Z56" s="524"/>
      <c r="AA56" s="524"/>
      <c r="AB56" s="524"/>
    </row>
    <row r="57" spans="1:28" hidden="1">
      <c r="A57" s="28"/>
      <c r="B57" s="19" t="s">
        <v>892</v>
      </c>
      <c r="C57" s="23" t="s">
        <v>894</v>
      </c>
      <c r="D57" s="23"/>
      <c r="E57" s="28"/>
      <c r="F57" s="28"/>
      <c r="G57" s="28"/>
      <c r="H57" s="28"/>
      <c r="K57" s="28"/>
      <c r="L57" s="19" t="s">
        <v>892</v>
      </c>
      <c r="M57" s="23" t="s">
        <v>894</v>
      </c>
      <c r="N57" s="23"/>
      <c r="O57" s="28"/>
      <c r="P57" s="28"/>
      <c r="Q57" s="28"/>
      <c r="R57" s="28"/>
      <c r="U57" s="28"/>
      <c r="V57" s="19" t="s">
        <v>892</v>
      </c>
      <c r="W57" s="23" t="s">
        <v>894</v>
      </c>
      <c r="X57" s="23"/>
      <c r="Y57" s="28"/>
      <c r="Z57" s="28"/>
      <c r="AA57" s="28"/>
      <c r="AB57" s="28"/>
    </row>
    <row r="58" spans="1:28" hidden="1">
      <c r="A58" s="28"/>
      <c r="B58" s="19" t="s">
        <v>893</v>
      </c>
      <c r="C58" s="23" t="s">
        <v>897</v>
      </c>
      <c r="D58" s="23"/>
      <c r="E58" s="28"/>
      <c r="F58" s="28"/>
      <c r="G58" s="28"/>
      <c r="H58" s="28"/>
      <c r="K58" s="28"/>
      <c r="L58" s="19" t="s">
        <v>893</v>
      </c>
      <c r="M58" s="23" t="s">
        <v>897</v>
      </c>
      <c r="N58" s="23"/>
      <c r="O58" s="28"/>
      <c r="P58" s="28"/>
      <c r="Q58" s="28"/>
      <c r="R58" s="28"/>
      <c r="U58" s="28"/>
      <c r="V58" s="19" t="s">
        <v>893</v>
      </c>
      <c r="W58" s="23" t="s">
        <v>897</v>
      </c>
      <c r="X58" s="23"/>
      <c r="Y58" s="28"/>
      <c r="Z58" s="28"/>
      <c r="AA58" s="28"/>
      <c r="AB58" s="28"/>
    </row>
    <row r="59" spans="1:28" hidden="1">
      <c r="A59" s="28"/>
      <c r="B59" s="19" t="s">
        <v>899</v>
      </c>
      <c r="C59" s="23" t="s">
        <v>898</v>
      </c>
      <c r="D59" s="23"/>
      <c r="E59" s="28"/>
      <c r="F59" s="28"/>
      <c r="G59" s="28"/>
      <c r="H59" s="28"/>
      <c r="K59" s="28"/>
      <c r="L59" s="19" t="s">
        <v>899</v>
      </c>
      <c r="M59" s="23" t="s">
        <v>898</v>
      </c>
      <c r="N59" s="23"/>
      <c r="O59" s="28"/>
      <c r="P59" s="28"/>
      <c r="Q59" s="28"/>
      <c r="R59" s="28"/>
      <c r="U59" s="28"/>
      <c r="V59" s="19" t="s">
        <v>899</v>
      </c>
      <c r="W59" s="23" t="s">
        <v>898</v>
      </c>
      <c r="X59" s="23"/>
      <c r="Y59" s="28"/>
      <c r="Z59" s="28"/>
      <c r="AA59" s="28"/>
      <c r="AB59" s="28"/>
    </row>
    <row r="60" spans="1:28" hidden="1">
      <c r="A60" s="28"/>
      <c r="B60" s="23" t="s">
        <v>899</v>
      </c>
      <c r="C60" s="23" t="s">
        <v>927</v>
      </c>
      <c r="D60" s="23"/>
      <c r="E60" s="28"/>
      <c r="F60" s="28"/>
      <c r="G60" s="28"/>
      <c r="H60" s="28"/>
      <c r="K60" s="28"/>
      <c r="L60" s="23" t="s">
        <v>899</v>
      </c>
      <c r="M60" s="23" t="s">
        <v>927</v>
      </c>
      <c r="N60" s="23"/>
      <c r="O60" s="28"/>
      <c r="P60" s="28"/>
      <c r="Q60" s="28"/>
      <c r="R60" s="28"/>
      <c r="U60" s="28"/>
      <c r="V60" s="23" t="s">
        <v>899</v>
      </c>
      <c r="W60" s="23" t="s">
        <v>927</v>
      </c>
      <c r="X60" s="23"/>
      <c r="Y60" s="28"/>
      <c r="Z60" s="28"/>
      <c r="AA60" s="28"/>
      <c r="AB60" s="28"/>
    </row>
    <row r="61" spans="1:28" hidden="1">
      <c r="A61" s="28"/>
      <c r="B61" s="23"/>
      <c r="C61" s="23"/>
      <c r="D61" s="23"/>
      <c r="E61" s="28"/>
      <c r="F61" s="28"/>
      <c r="G61" s="28"/>
      <c r="H61" s="28"/>
      <c r="K61" s="28"/>
      <c r="L61" s="23"/>
      <c r="M61" s="23"/>
      <c r="N61" s="23"/>
      <c r="O61" s="28"/>
      <c r="P61" s="28"/>
      <c r="Q61" s="28"/>
      <c r="R61" s="28"/>
      <c r="U61" s="28"/>
      <c r="V61" s="23"/>
      <c r="W61" s="23"/>
      <c r="X61" s="23"/>
      <c r="Y61" s="28"/>
      <c r="Z61" s="28"/>
      <c r="AA61" s="28"/>
      <c r="AB61" s="28"/>
    </row>
    <row r="62" spans="1:28" hidden="1">
      <c r="A62" s="12"/>
      <c r="B62" s="13"/>
      <c r="C62" s="26" t="s">
        <v>896</v>
      </c>
      <c r="D62" s="27">
        <f>SUM(D57:D60)</f>
        <v>0</v>
      </c>
      <c r="E62" s="27">
        <v>0</v>
      </c>
      <c r="F62" s="27">
        <v>0</v>
      </c>
      <c r="G62" s="27"/>
      <c r="H62" s="27"/>
      <c r="K62" s="12"/>
      <c r="L62" s="13"/>
      <c r="M62" s="26" t="s">
        <v>896</v>
      </c>
      <c r="N62" s="27">
        <f>SUM(N57:N60)</f>
        <v>0</v>
      </c>
      <c r="O62" s="27">
        <v>0</v>
      </c>
      <c r="P62" s="27">
        <v>0</v>
      </c>
      <c r="Q62" s="27"/>
      <c r="R62" s="27"/>
      <c r="U62" s="12"/>
      <c r="V62" s="13"/>
      <c r="W62" s="26" t="s">
        <v>896</v>
      </c>
      <c r="X62" s="27">
        <f>SUM(X57:X60)</f>
        <v>0</v>
      </c>
      <c r="Y62" s="27">
        <v>0</v>
      </c>
      <c r="Z62" s="27">
        <v>0</v>
      </c>
      <c r="AA62" s="27"/>
      <c r="AB62" s="27"/>
    </row>
    <row r="63" spans="1:28" hidden="1">
      <c r="A63" s="20"/>
      <c r="B63" s="19"/>
      <c r="C63" s="332" t="s">
        <v>21</v>
      </c>
      <c r="D63" s="10"/>
      <c r="E63" s="530">
        <f>D62</f>
        <v>0</v>
      </c>
      <c r="F63" s="530"/>
      <c r="G63" s="530"/>
      <c r="H63" s="530"/>
      <c r="K63" s="20"/>
      <c r="L63" s="19"/>
      <c r="M63" s="337" t="s">
        <v>21</v>
      </c>
      <c r="N63" s="10"/>
      <c r="O63" s="530">
        <f>N62</f>
        <v>0</v>
      </c>
      <c r="P63" s="530"/>
      <c r="Q63" s="530"/>
      <c r="R63" s="530"/>
      <c r="U63" s="20"/>
      <c r="V63" s="19"/>
      <c r="W63" s="337" t="s">
        <v>21</v>
      </c>
      <c r="X63" s="10"/>
      <c r="Y63" s="530">
        <f>X62</f>
        <v>0</v>
      </c>
      <c r="Z63" s="530"/>
      <c r="AA63" s="530"/>
      <c r="AB63" s="530"/>
    </row>
    <row r="64" spans="1:28">
      <c r="A64" s="524" t="s">
        <v>54</v>
      </c>
      <c r="B64" s="524"/>
      <c r="C64" s="524"/>
      <c r="D64" s="524"/>
      <c r="E64" s="524"/>
      <c r="F64" s="524"/>
      <c r="G64" s="524"/>
      <c r="H64" s="524"/>
      <c r="K64" s="524" t="s">
        <v>54</v>
      </c>
      <c r="L64" s="524"/>
      <c r="M64" s="524"/>
      <c r="N64" s="524"/>
      <c r="O64" s="524"/>
      <c r="P64" s="524"/>
      <c r="Q64" s="524"/>
      <c r="R64" s="524"/>
      <c r="U64" s="524" t="s">
        <v>54</v>
      </c>
      <c r="V64" s="524"/>
      <c r="W64" s="524"/>
      <c r="X64" s="524"/>
      <c r="Y64" s="524"/>
      <c r="Z64" s="524"/>
      <c r="AA64" s="524"/>
      <c r="AB64" s="524"/>
    </row>
    <row r="65" spans="1:28">
      <c r="A65" s="28"/>
      <c r="B65" s="23" t="s">
        <v>948</v>
      </c>
      <c r="C65" s="23" t="s">
        <v>962</v>
      </c>
      <c r="D65" s="23">
        <f>3398000-2450000</f>
        <v>948000</v>
      </c>
      <c r="E65" s="28"/>
      <c r="F65" s="28"/>
      <c r="G65" s="28"/>
      <c r="H65" s="28"/>
      <c r="K65" s="28"/>
      <c r="L65" s="23" t="s">
        <v>948</v>
      </c>
      <c r="M65" s="23" t="s">
        <v>962</v>
      </c>
      <c r="N65" s="23"/>
      <c r="O65" s="28"/>
      <c r="P65" s="28"/>
      <c r="Q65" s="28"/>
      <c r="R65" s="28"/>
      <c r="U65" s="28"/>
      <c r="V65" s="23" t="s">
        <v>948</v>
      </c>
      <c r="W65" s="23" t="s">
        <v>962</v>
      </c>
      <c r="X65" s="23">
        <f>3398000-2450000</f>
        <v>948000</v>
      </c>
      <c r="Y65" s="28"/>
      <c r="Z65" s="28"/>
      <c r="AA65" s="28"/>
      <c r="AB65" s="28"/>
    </row>
    <row r="66" spans="1:28">
      <c r="A66" s="28"/>
      <c r="B66" s="23" t="s">
        <v>852</v>
      </c>
      <c r="C66" s="23" t="s">
        <v>963</v>
      </c>
      <c r="D66" s="23">
        <v>4398000</v>
      </c>
      <c r="E66" s="23"/>
      <c r="F66" s="28"/>
      <c r="G66" s="28"/>
      <c r="H66" s="280"/>
      <c r="K66" s="28"/>
      <c r="L66" s="23" t="s">
        <v>852</v>
      </c>
      <c r="M66" s="23" t="s">
        <v>963</v>
      </c>
      <c r="N66" s="23">
        <v>4398000</v>
      </c>
      <c r="O66" s="23"/>
      <c r="P66" s="28"/>
      <c r="Q66" s="28"/>
      <c r="R66" s="280"/>
      <c r="U66" s="28"/>
      <c r="V66" s="23" t="s">
        <v>852</v>
      </c>
      <c r="W66" s="23" t="s">
        <v>963</v>
      </c>
      <c r="X66" s="23"/>
      <c r="Y66" s="23"/>
      <c r="Z66" s="28"/>
      <c r="AA66" s="28"/>
      <c r="AB66" s="280"/>
    </row>
    <row r="67" spans="1:28">
      <c r="A67" s="28"/>
      <c r="B67" s="23" t="s">
        <v>964</v>
      </c>
      <c r="C67" s="23" t="s">
        <v>965</v>
      </c>
      <c r="D67" s="23">
        <v>5363000</v>
      </c>
      <c r="E67" s="28"/>
      <c r="F67" s="28"/>
      <c r="G67" s="28"/>
      <c r="H67" s="28"/>
      <c r="K67" s="28"/>
      <c r="L67" s="23" t="s">
        <v>964</v>
      </c>
      <c r="M67" s="23" t="s">
        <v>965</v>
      </c>
      <c r="N67" s="23"/>
      <c r="O67" s="28"/>
      <c r="P67" s="28"/>
      <c r="Q67" s="28"/>
      <c r="R67" s="28"/>
      <c r="U67" s="28"/>
      <c r="V67" s="23" t="s">
        <v>964</v>
      </c>
      <c r="W67" s="23" t="s">
        <v>965</v>
      </c>
      <c r="X67" s="23">
        <v>5363000</v>
      </c>
      <c r="Y67" s="28"/>
      <c r="Z67" s="28"/>
      <c r="AA67" s="28"/>
      <c r="AB67" s="28"/>
    </row>
    <row r="68" spans="1:28">
      <c r="A68" s="28"/>
      <c r="B68" s="23" t="s">
        <v>964</v>
      </c>
      <c r="C68" s="23" t="s">
        <v>966</v>
      </c>
      <c r="D68" s="23">
        <v>586000</v>
      </c>
      <c r="E68" s="28"/>
      <c r="F68" s="28"/>
      <c r="G68" s="28"/>
      <c r="H68" s="28"/>
      <c r="K68" s="28"/>
      <c r="L68" s="23" t="s">
        <v>964</v>
      </c>
      <c r="M68" s="23" t="s">
        <v>966</v>
      </c>
      <c r="N68" s="23"/>
      <c r="O68" s="28"/>
      <c r="P68" s="28"/>
      <c r="Q68" s="28"/>
      <c r="R68" s="28"/>
      <c r="U68" s="28"/>
      <c r="V68" s="23" t="s">
        <v>964</v>
      </c>
      <c r="W68" s="23" t="s">
        <v>966</v>
      </c>
      <c r="X68" s="23">
        <v>586000</v>
      </c>
      <c r="Y68" s="28"/>
      <c r="Z68" s="28"/>
      <c r="AA68" s="28"/>
      <c r="AB68" s="28"/>
    </row>
    <row r="69" spans="1:28">
      <c r="A69" s="28"/>
      <c r="B69" s="23" t="s">
        <v>967</v>
      </c>
      <c r="C69" s="23" t="s">
        <v>731</v>
      </c>
      <c r="D69" s="23">
        <v>6075000</v>
      </c>
      <c r="E69" s="28"/>
      <c r="F69" s="28"/>
      <c r="G69" s="28"/>
      <c r="H69" s="28"/>
      <c r="K69" s="28"/>
      <c r="L69" s="23" t="s">
        <v>967</v>
      </c>
      <c r="M69" s="23" t="s">
        <v>731</v>
      </c>
      <c r="N69" s="23">
        <v>6075000</v>
      </c>
      <c r="O69" s="28"/>
      <c r="P69" s="28"/>
      <c r="Q69" s="28"/>
      <c r="R69" s="28"/>
      <c r="U69" s="28"/>
      <c r="V69" s="23" t="s">
        <v>967</v>
      </c>
      <c r="W69" s="23" t="s">
        <v>731</v>
      </c>
      <c r="X69" s="23">
        <v>6075000</v>
      </c>
      <c r="Y69" s="28"/>
      <c r="Z69" s="28"/>
      <c r="AA69" s="28"/>
      <c r="AB69" s="28"/>
    </row>
    <row r="70" spans="1:28">
      <c r="A70" s="28"/>
      <c r="B70" s="23" t="s">
        <v>967</v>
      </c>
      <c r="C70" s="23" t="s">
        <v>968</v>
      </c>
      <c r="D70" s="23">
        <v>40000000</v>
      </c>
      <c r="E70" s="28"/>
      <c r="F70" s="28"/>
      <c r="G70" s="28"/>
      <c r="H70" s="28"/>
      <c r="K70" s="28"/>
      <c r="L70" s="23" t="s">
        <v>967</v>
      </c>
      <c r="M70" s="23" t="s">
        <v>968</v>
      </c>
      <c r="N70" s="23">
        <v>40000000</v>
      </c>
      <c r="O70" s="28"/>
      <c r="P70" s="28"/>
      <c r="Q70" s="28"/>
      <c r="R70" s="28"/>
      <c r="U70" s="28"/>
      <c r="V70" s="23" t="s">
        <v>967</v>
      </c>
      <c r="W70" s="23" t="s">
        <v>968</v>
      </c>
      <c r="X70" s="23">
        <v>40000000</v>
      </c>
      <c r="Y70" s="28"/>
      <c r="Z70" s="28"/>
      <c r="AA70" s="28"/>
      <c r="AB70" s="28"/>
    </row>
    <row r="71" spans="1:28">
      <c r="A71" s="28"/>
      <c r="B71" s="23" t="s">
        <v>967</v>
      </c>
      <c r="C71" s="23" t="s">
        <v>970</v>
      </c>
      <c r="D71" s="23">
        <v>60000000</v>
      </c>
      <c r="E71" s="28"/>
      <c r="F71" s="28"/>
      <c r="G71" s="28"/>
      <c r="H71" s="28"/>
      <c r="K71" s="28"/>
      <c r="L71" s="23" t="s">
        <v>967</v>
      </c>
      <c r="M71" s="23" t="s">
        <v>970</v>
      </c>
      <c r="N71" s="23">
        <v>40000000</v>
      </c>
      <c r="O71" s="28"/>
      <c r="P71" s="28"/>
      <c r="Q71" s="28"/>
      <c r="R71" s="28"/>
      <c r="U71" s="28"/>
      <c r="V71" s="23" t="s">
        <v>967</v>
      </c>
      <c r="W71" s="23" t="s">
        <v>970</v>
      </c>
      <c r="X71" s="23">
        <v>40000000</v>
      </c>
      <c r="Y71" s="28"/>
      <c r="Z71" s="28"/>
      <c r="AA71" s="28"/>
      <c r="AB71" s="28"/>
    </row>
    <row r="72" spans="1:28">
      <c r="A72" s="12"/>
      <c r="B72" s="23" t="s">
        <v>967</v>
      </c>
      <c r="C72" s="23" t="s">
        <v>263</v>
      </c>
      <c r="D72" s="23">
        <v>1540000</v>
      </c>
      <c r="E72" s="332"/>
      <c r="F72" s="332"/>
      <c r="G72" s="332"/>
      <c r="H72" s="332"/>
      <c r="K72" s="12"/>
      <c r="L72" s="23" t="s">
        <v>967</v>
      </c>
      <c r="M72" s="23" t="s">
        <v>263</v>
      </c>
      <c r="N72" s="23">
        <v>1540000</v>
      </c>
      <c r="O72" s="337"/>
      <c r="P72" s="337"/>
      <c r="Q72" s="337"/>
      <c r="R72" s="337"/>
      <c r="U72" s="12"/>
      <c r="V72" s="23" t="s">
        <v>967</v>
      </c>
      <c r="W72" s="23" t="s">
        <v>263</v>
      </c>
      <c r="X72" s="23">
        <v>1540000</v>
      </c>
      <c r="Y72" s="337"/>
      <c r="Z72" s="337"/>
      <c r="AA72" s="337"/>
      <c r="AB72" s="337"/>
    </row>
    <row r="73" spans="1:28">
      <c r="A73" s="12"/>
      <c r="B73" s="23" t="s">
        <v>967</v>
      </c>
      <c r="C73" s="23" t="s">
        <v>410</v>
      </c>
      <c r="D73" s="23">
        <v>750000</v>
      </c>
      <c r="E73" s="332"/>
      <c r="F73" s="332"/>
      <c r="G73" s="332"/>
      <c r="H73" s="332"/>
      <c r="K73" s="12"/>
      <c r="L73" s="23" t="s">
        <v>967</v>
      </c>
      <c r="M73" s="23" t="s">
        <v>410</v>
      </c>
      <c r="N73" s="23">
        <v>750000</v>
      </c>
      <c r="O73" s="337"/>
      <c r="P73" s="337"/>
      <c r="Q73" s="337"/>
      <c r="R73" s="337"/>
      <c r="U73" s="12"/>
      <c r="V73" s="23" t="s">
        <v>967</v>
      </c>
      <c r="W73" s="23" t="s">
        <v>410</v>
      </c>
      <c r="X73" s="23">
        <v>750000</v>
      </c>
      <c r="Y73" s="337"/>
      <c r="Z73" s="337"/>
      <c r="AA73" s="337"/>
      <c r="AB73" s="337"/>
    </row>
    <row r="74" spans="1:28">
      <c r="A74" s="12"/>
      <c r="B74" s="23" t="s">
        <v>967</v>
      </c>
      <c r="C74" s="23" t="s">
        <v>969</v>
      </c>
      <c r="D74" s="23">
        <v>300000</v>
      </c>
      <c r="E74" s="332"/>
      <c r="F74" s="332"/>
      <c r="G74" s="332"/>
      <c r="H74" s="332"/>
      <c r="K74" s="12"/>
      <c r="L74" s="23" t="s">
        <v>967</v>
      </c>
      <c r="M74" s="23" t="s">
        <v>969</v>
      </c>
      <c r="N74" s="23">
        <v>300000</v>
      </c>
      <c r="O74" s="337"/>
      <c r="P74" s="337"/>
      <c r="Q74" s="337"/>
      <c r="R74" s="337"/>
      <c r="U74" s="12"/>
      <c r="V74" s="23" t="s">
        <v>967</v>
      </c>
      <c r="W74" s="23" t="s">
        <v>969</v>
      </c>
      <c r="X74" s="23">
        <v>300000</v>
      </c>
      <c r="Y74" s="337"/>
      <c r="Z74" s="337"/>
      <c r="AA74" s="337"/>
      <c r="AB74" s="337"/>
    </row>
    <row r="75" spans="1:28">
      <c r="A75" s="12"/>
      <c r="B75" s="23" t="s">
        <v>967</v>
      </c>
      <c r="C75" s="23" t="s">
        <v>903</v>
      </c>
      <c r="D75" s="23">
        <v>2982000</v>
      </c>
      <c r="E75" s="332"/>
      <c r="F75" s="332"/>
      <c r="G75" s="332"/>
      <c r="H75" s="332"/>
      <c r="K75" s="12"/>
      <c r="L75" s="23" t="s">
        <v>967</v>
      </c>
      <c r="M75" s="23" t="s">
        <v>903</v>
      </c>
      <c r="N75" s="23">
        <v>2982000</v>
      </c>
      <c r="O75" s="337"/>
      <c r="P75" s="337"/>
      <c r="Q75" s="337"/>
      <c r="R75" s="337"/>
      <c r="U75" s="12"/>
      <c r="V75" s="23" t="s">
        <v>967</v>
      </c>
      <c r="W75" s="23" t="s">
        <v>903</v>
      </c>
      <c r="X75" s="23">
        <v>2982000</v>
      </c>
      <c r="Y75" s="337"/>
      <c r="Z75" s="337"/>
      <c r="AA75" s="337"/>
      <c r="AB75" s="337"/>
    </row>
    <row r="76" spans="1:28">
      <c r="A76" s="12"/>
      <c r="B76" s="23" t="s">
        <v>972</v>
      </c>
      <c r="C76" s="24" t="s">
        <v>973</v>
      </c>
      <c r="D76" s="23">
        <v>400000</v>
      </c>
      <c r="E76" s="332"/>
      <c r="F76" s="332"/>
      <c r="G76" s="332"/>
      <c r="H76" s="332"/>
      <c r="K76" s="12"/>
      <c r="L76" s="23" t="s">
        <v>972</v>
      </c>
      <c r="M76" s="24" t="s">
        <v>973</v>
      </c>
      <c r="N76" s="23">
        <v>400000</v>
      </c>
      <c r="O76" s="337"/>
      <c r="P76" s="337"/>
      <c r="Q76" s="337"/>
      <c r="R76" s="337"/>
      <c r="U76" s="12"/>
      <c r="V76" s="23" t="s">
        <v>972</v>
      </c>
      <c r="W76" s="24" t="s">
        <v>973</v>
      </c>
      <c r="X76" s="23">
        <v>300000</v>
      </c>
      <c r="Y76" s="337"/>
      <c r="Z76" s="337"/>
      <c r="AA76" s="337"/>
      <c r="AB76" s="337"/>
    </row>
    <row r="77" spans="1:28">
      <c r="A77" s="12"/>
      <c r="B77" s="23"/>
      <c r="C77" s="23"/>
      <c r="D77" s="23"/>
      <c r="E77" s="332"/>
      <c r="F77" s="332"/>
      <c r="G77" s="332"/>
      <c r="H77" s="332"/>
      <c r="K77" s="12"/>
      <c r="L77" s="23"/>
      <c r="M77" s="23"/>
      <c r="N77" s="23"/>
      <c r="O77" s="337"/>
      <c r="P77" s="337"/>
      <c r="Q77" s="337"/>
      <c r="R77" s="337"/>
      <c r="U77" s="12"/>
      <c r="V77" s="23"/>
      <c r="W77" s="23"/>
      <c r="X77" s="23"/>
      <c r="Y77" s="337"/>
      <c r="Z77" s="337"/>
      <c r="AA77" s="337"/>
      <c r="AB77" s="337"/>
    </row>
    <row r="78" spans="1:28" hidden="1">
      <c r="A78" s="12"/>
      <c r="B78" s="23"/>
      <c r="C78" s="23"/>
      <c r="D78" s="23"/>
      <c r="E78" s="332"/>
      <c r="F78" s="332"/>
      <c r="G78" s="332"/>
      <c r="H78" s="332"/>
      <c r="K78" s="12"/>
      <c r="L78" s="23"/>
      <c r="M78" s="23"/>
      <c r="N78" s="23"/>
      <c r="O78" s="337"/>
      <c r="P78" s="337"/>
      <c r="Q78" s="337"/>
      <c r="R78" s="337"/>
      <c r="U78" s="12"/>
      <c r="V78" s="23"/>
      <c r="W78" s="23"/>
      <c r="X78" s="23"/>
      <c r="Y78" s="337"/>
      <c r="Z78" s="337"/>
      <c r="AA78" s="337"/>
      <c r="AB78" s="337"/>
    </row>
    <row r="79" spans="1:28" hidden="1">
      <c r="A79" s="12"/>
      <c r="B79" s="23"/>
      <c r="C79" s="23"/>
      <c r="D79" s="23"/>
      <c r="E79" s="332"/>
      <c r="F79" s="332"/>
      <c r="G79" s="332"/>
      <c r="H79" s="332"/>
      <c r="K79" s="12"/>
      <c r="L79" s="23"/>
      <c r="M79" s="23"/>
      <c r="N79" s="23"/>
      <c r="O79" s="337"/>
      <c r="P79" s="337"/>
      <c r="Q79" s="337"/>
      <c r="R79" s="337"/>
      <c r="U79" s="12"/>
      <c r="V79" s="23"/>
      <c r="W79" s="23"/>
      <c r="X79" s="23"/>
      <c r="Y79" s="337"/>
      <c r="Z79" s="337"/>
      <c r="AA79" s="337"/>
      <c r="AB79" s="337"/>
    </row>
    <row r="80" spans="1:28" hidden="1">
      <c r="A80" s="12"/>
      <c r="B80" s="23"/>
      <c r="C80" s="23"/>
      <c r="D80" s="23"/>
      <c r="E80" s="332"/>
      <c r="F80" s="332"/>
      <c r="G80" s="332"/>
      <c r="H80" s="332"/>
      <c r="K80" s="12"/>
      <c r="L80" s="23"/>
      <c r="M80" s="23"/>
      <c r="N80" s="23"/>
      <c r="O80" s="337"/>
      <c r="P80" s="337"/>
      <c r="Q80" s="337"/>
      <c r="R80" s="337"/>
      <c r="U80" s="12"/>
      <c r="V80" s="23"/>
      <c r="W80" s="23"/>
      <c r="X80" s="23"/>
      <c r="Y80" s="337"/>
      <c r="Z80" s="337"/>
      <c r="AA80" s="337"/>
      <c r="AB80" s="337"/>
    </row>
    <row r="81" spans="1:28" hidden="1">
      <c r="A81" s="12"/>
      <c r="B81" s="23"/>
      <c r="C81" s="23"/>
      <c r="D81" s="23"/>
      <c r="E81" s="332"/>
      <c r="F81" s="332"/>
      <c r="G81" s="332"/>
      <c r="H81" s="332"/>
      <c r="K81" s="12"/>
      <c r="L81" s="23"/>
      <c r="M81" s="23"/>
      <c r="N81" s="23"/>
      <c r="O81" s="337"/>
      <c r="P81" s="337"/>
      <c r="Q81" s="337"/>
      <c r="R81" s="337"/>
      <c r="U81" s="12"/>
      <c r="V81" s="23"/>
      <c r="W81" s="23"/>
      <c r="X81" s="23"/>
      <c r="Y81" s="337"/>
      <c r="Z81" s="337"/>
      <c r="AA81" s="337"/>
      <c r="AB81" s="337"/>
    </row>
    <row r="82" spans="1:28" hidden="1">
      <c r="A82" s="12"/>
      <c r="B82" s="23"/>
      <c r="C82" s="23"/>
      <c r="D82" s="23"/>
      <c r="E82" s="332"/>
      <c r="F82" s="332"/>
      <c r="G82" s="332"/>
      <c r="H82" s="332"/>
      <c r="K82" s="12"/>
      <c r="L82" s="23"/>
      <c r="M82" s="23"/>
      <c r="N82" s="23"/>
      <c r="O82" s="337"/>
      <c r="P82" s="337"/>
      <c r="Q82" s="337"/>
      <c r="R82" s="337"/>
      <c r="U82" s="12"/>
      <c r="V82" s="23"/>
      <c r="W82" s="23"/>
      <c r="X82" s="23"/>
      <c r="Y82" s="337"/>
      <c r="Z82" s="337"/>
      <c r="AA82" s="337"/>
      <c r="AB82" s="337"/>
    </row>
    <row r="83" spans="1:28" hidden="1">
      <c r="A83" s="12"/>
      <c r="B83" s="23"/>
      <c r="C83" s="23"/>
      <c r="D83" s="23"/>
      <c r="E83" s="332"/>
      <c r="F83" s="332"/>
      <c r="G83" s="332"/>
      <c r="H83" s="332"/>
      <c r="K83" s="12"/>
      <c r="L83" s="23"/>
      <c r="M83" s="23"/>
      <c r="N83" s="23"/>
      <c r="O83" s="337"/>
      <c r="P83" s="337"/>
      <c r="Q83" s="337"/>
      <c r="R83" s="337"/>
      <c r="U83" s="12"/>
      <c r="V83" s="23"/>
      <c r="W83" s="23"/>
      <c r="X83" s="23"/>
      <c r="Y83" s="337"/>
      <c r="Z83" s="337"/>
      <c r="AA83" s="337"/>
      <c r="AB83" s="337"/>
    </row>
    <row r="84" spans="1:28" hidden="1">
      <c r="A84" s="12"/>
      <c r="B84" s="23"/>
      <c r="C84" s="24"/>
      <c r="D84" s="23"/>
      <c r="E84" s="332"/>
      <c r="F84" s="332"/>
      <c r="G84" s="332"/>
      <c r="H84" s="332"/>
      <c r="K84" s="12"/>
      <c r="L84" s="23"/>
      <c r="M84" s="24"/>
      <c r="N84" s="23"/>
      <c r="O84" s="337"/>
      <c r="P84" s="337"/>
      <c r="Q84" s="337"/>
      <c r="R84" s="337"/>
      <c r="U84" s="12"/>
      <c r="V84" s="23"/>
      <c r="W84" s="24"/>
      <c r="X84" s="23"/>
      <c r="Y84" s="337"/>
      <c r="Z84" s="337"/>
      <c r="AA84" s="337"/>
      <c r="AB84" s="337"/>
    </row>
    <row r="85" spans="1:28">
      <c r="A85" s="12"/>
      <c r="B85" s="13"/>
      <c r="C85" s="26" t="s">
        <v>55</v>
      </c>
      <c r="D85" s="27">
        <f>SUM(D65:D83)</f>
        <v>123342000</v>
      </c>
      <c r="E85" s="27">
        <v>0</v>
      </c>
      <c r="F85" s="27">
        <v>0</v>
      </c>
      <c r="G85" s="27"/>
      <c r="H85" s="27"/>
      <c r="K85" s="12"/>
      <c r="L85" s="13"/>
      <c r="M85" s="26" t="s">
        <v>55</v>
      </c>
      <c r="N85" s="27">
        <f>SUM(N65:N83)</f>
        <v>96445000</v>
      </c>
      <c r="O85" s="27">
        <v>0</v>
      </c>
      <c r="P85" s="27">
        <v>0</v>
      </c>
      <c r="Q85" s="27"/>
      <c r="R85" s="27"/>
      <c r="U85" s="12"/>
      <c r="V85" s="13"/>
      <c r="W85" s="26" t="s">
        <v>55</v>
      </c>
      <c r="X85" s="27">
        <f>SUM(X65:X83)</f>
        <v>98844000</v>
      </c>
      <c r="Y85" s="27">
        <v>0</v>
      </c>
      <c r="Z85" s="27">
        <v>0</v>
      </c>
      <c r="AA85" s="27"/>
      <c r="AB85" s="27"/>
    </row>
    <row r="86" spans="1:28">
      <c r="A86" s="20"/>
      <c r="B86" s="19"/>
      <c r="C86" s="332" t="s">
        <v>21</v>
      </c>
      <c r="D86" s="10"/>
      <c r="E86" s="530">
        <f>D85</f>
        <v>123342000</v>
      </c>
      <c r="F86" s="530"/>
      <c r="G86" s="530"/>
      <c r="H86" s="530"/>
      <c r="K86" s="20"/>
      <c r="L86" s="19"/>
      <c r="M86" s="337" t="s">
        <v>21</v>
      </c>
      <c r="N86" s="10"/>
      <c r="O86" s="530">
        <f>N85</f>
        <v>96445000</v>
      </c>
      <c r="P86" s="530"/>
      <c r="Q86" s="530"/>
      <c r="R86" s="530"/>
      <c r="U86" s="20"/>
      <c r="V86" s="19"/>
      <c r="W86" s="337" t="s">
        <v>21</v>
      </c>
      <c r="X86" s="10"/>
      <c r="Y86" s="530">
        <f>X85</f>
        <v>98844000</v>
      </c>
      <c r="Z86" s="530"/>
      <c r="AA86" s="530"/>
      <c r="AB86" s="530"/>
    </row>
    <row r="87" spans="1:28">
      <c r="A87" s="524" t="s">
        <v>974</v>
      </c>
      <c r="B87" s="524"/>
      <c r="C87" s="524"/>
      <c r="D87" s="524"/>
      <c r="E87" s="524"/>
      <c r="F87" s="524"/>
      <c r="G87" s="524"/>
      <c r="H87" s="524"/>
      <c r="K87" s="524" t="s">
        <v>974</v>
      </c>
      <c r="L87" s="524"/>
      <c r="M87" s="524"/>
      <c r="N87" s="524"/>
      <c r="O87" s="524"/>
      <c r="P87" s="524"/>
      <c r="Q87" s="524"/>
      <c r="R87" s="524"/>
      <c r="U87" s="524" t="s">
        <v>974</v>
      </c>
      <c r="V87" s="524"/>
      <c r="W87" s="524"/>
      <c r="X87" s="524"/>
      <c r="Y87" s="524"/>
      <c r="Z87" s="524"/>
      <c r="AA87" s="524"/>
      <c r="AB87" s="524"/>
    </row>
    <row r="88" spans="1:28">
      <c r="A88" s="28"/>
      <c r="B88" s="19" t="s">
        <v>971</v>
      </c>
      <c r="C88" s="23" t="s">
        <v>975</v>
      </c>
      <c r="D88" s="23">
        <v>150000</v>
      </c>
      <c r="E88" s="28"/>
      <c r="F88" s="28"/>
      <c r="G88" s="28"/>
      <c r="H88" s="28"/>
      <c r="K88" s="28"/>
      <c r="L88" s="19" t="s">
        <v>971</v>
      </c>
      <c r="M88" s="23" t="s">
        <v>975</v>
      </c>
      <c r="N88" s="23">
        <v>150000</v>
      </c>
      <c r="O88" s="28"/>
      <c r="P88" s="28"/>
      <c r="Q88" s="28"/>
      <c r="R88" s="28"/>
      <c r="U88" s="28"/>
      <c r="V88" s="19" t="s">
        <v>971</v>
      </c>
      <c r="W88" s="23" t="s">
        <v>975</v>
      </c>
      <c r="X88" s="23">
        <v>150000</v>
      </c>
      <c r="Y88" s="28"/>
      <c r="Z88" s="28"/>
      <c r="AA88" s="28"/>
      <c r="AB88" s="28"/>
    </row>
    <row r="89" spans="1:28">
      <c r="A89" s="28"/>
      <c r="B89" s="23"/>
      <c r="C89" s="23"/>
      <c r="D89" s="23"/>
      <c r="E89" s="28"/>
      <c r="F89" s="28"/>
      <c r="G89" s="28"/>
      <c r="H89" s="28"/>
      <c r="K89" s="28"/>
      <c r="L89" s="23"/>
      <c r="M89" s="23"/>
      <c r="N89" s="23"/>
      <c r="O89" s="28"/>
      <c r="P89" s="28"/>
      <c r="Q89" s="28"/>
      <c r="R89" s="28"/>
      <c r="U89" s="28"/>
      <c r="V89" s="23"/>
      <c r="W89" s="23"/>
      <c r="X89" s="23"/>
      <c r="Y89" s="28"/>
      <c r="Z89" s="28"/>
      <c r="AA89" s="28"/>
      <c r="AB89" s="28"/>
    </row>
    <row r="90" spans="1:28" hidden="1">
      <c r="A90" s="12"/>
      <c r="B90" s="19"/>
      <c r="C90" s="24"/>
      <c r="D90" s="23"/>
      <c r="E90" s="332"/>
      <c r="F90" s="332"/>
      <c r="G90" s="332"/>
      <c r="H90" s="332"/>
      <c r="K90" s="12"/>
      <c r="L90" s="19"/>
      <c r="M90" s="24"/>
      <c r="N90" s="23"/>
      <c r="O90" s="337"/>
      <c r="P90" s="337"/>
      <c r="Q90" s="337"/>
      <c r="R90" s="337"/>
      <c r="U90" s="12"/>
      <c r="V90" s="19"/>
      <c r="W90" s="24"/>
      <c r="X90" s="23"/>
      <c r="Y90" s="337"/>
      <c r="Z90" s="337"/>
      <c r="AA90" s="337"/>
      <c r="AB90" s="337"/>
    </row>
    <row r="91" spans="1:28">
      <c r="A91" s="12"/>
      <c r="B91" s="13"/>
      <c r="C91" s="26" t="s">
        <v>848</v>
      </c>
      <c r="D91" s="27">
        <f>SUM(D88:D90)</f>
        <v>150000</v>
      </c>
      <c r="E91" s="27">
        <v>0</v>
      </c>
      <c r="F91" s="27">
        <v>0</v>
      </c>
      <c r="G91" s="27"/>
      <c r="H91" s="27"/>
      <c r="K91" s="12"/>
      <c r="L91" s="13"/>
      <c r="M91" s="26" t="s">
        <v>848</v>
      </c>
      <c r="N91" s="27">
        <f>SUM(N88:N90)</f>
        <v>150000</v>
      </c>
      <c r="O91" s="27">
        <v>0</v>
      </c>
      <c r="P91" s="27">
        <v>0</v>
      </c>
      <c r="Q91" s="27"/>
      <c r="R91" s="27"/>
      <c r="U91" s="12"/>
      <c r="V91" s="13"/>
      <c r="W91" s="26" t="s">
        <v>848</v>
      </c>
      <c r="X91" s="27">
        <f>SUM(X88:X90)</f>
        <v>150000</v>
      </c>
      <c r="Y91" s="27">
        <v>0</v>
      </c>
      <c r="Z91" s="27">
        <v>0</v>
      </c>
      <c r="AA91" s="27"/>
      <c r="AB91" s="27"/>
    </row>
    <row r="92" spans="1:28">
      <c r="A92" s="20"/>
      <c r="B92" s="19"/>
      <c r="C92" s="332" t="s">
        <v>21</v>
      </c>
      <c r="D92" s="10"/>
      <c r="E92" s="530">
        <f>D91</f>
        <v>150000</v>
      </c>
      <c r="F92" s="530"/>
      <c r="G92" s="530"/>
      <c r="H92" s="530"/>
      <c r="K92" s="20"/>
      <c r="L92" s="19"/>
      <c r="M92" s="337" t="s">
        <v>21</v>
      </c>
      <c r="N92" s="10"/>
      <c r="O92" s="530">
        <f>N91</f>
        <v>150000</v>
      </c>
      <c r="P92" s="530"/>
      <c r="Q92" s="530"/>
      <c r="R92" s="530"/>
      <c r="U92" s="20"/>
      <c r="V92" s="19"/>
      <c r="W92" s="337" t="s">
        <v>21</v>
      </c>
      <c r="X92" s="10"/>
      <c r="Y92" s="530">
        <f>X91</f>
        <v>150000</v>
      </c>
      <c r="Z92" s="530"/>
      <c r="AA92" s="530"/>
      <c r="AB92" s="530"/>
    </row>
    <row r="93" spans="1:28">
      <c r="A93" s="527" t="s">
        <v>26</v>
      </c>
      <c r="B93" s="528"/>
      <c r="C93" s="528"/>
      <c r="D93" s="528"/>
      <c r="E93" s="528"/>
      <c r="F93" s="528"/>
      <c r="G93" s="528"/>
      <c r="H93" s="529"/>
      <c r="K93" s="527" t="s">
        <v>26</v>
      </c>
      <c r="L93" s="528"/>
      <c r="M93" s="528"/>
      <c r="N93" s="528"/>
      <c r="O93" s="528"/>
      <c r="P93" s="528"/>
      <c r="Q93" s="528"/>
      <c r="R93" s="529"/>
      <c r="U93" s="527" t="s">
        <v>26</v>
      </c>
      <c r="V93" s="528"/>
      <c r="W93" s="528"/>
      <c r="X93" s="528"/>
      <c r="Y93" s="528"/>
      <c r="Z93" s="528"/>
      <c r="AA93" s="528"/>
      <c r="AB93" s="529"/>
    </row>
    <row r="94" spans="1:28">
      <c r="A94" s="12"/>
      <c r="B94" s="23" t="s">
        <v>950</v>
      </c>
      <c r="C94" s="24" t="s">
        <v>976</v>
      </c>
      <c r="D94" s="23">
        <v>405000</v>
      </c>
      <c r="E94" s="22"/>
      <c r="F94" s="22"/>
      <c r="G94" s="16"/>
      <c r="H94" s="16"/>
      <c r="K94" s="12"/>
      <c r="L94" s="23" t="s">
        <v>950</v>
      </c>
      <c r="M94" s="24" t="s">
        <v>976</v>
      </c>
      <c r="N94" s="23">
        <v>405000</v>
      </c>
      <c r="O94" s="22"/>
      <c r="P94" s="22"/>
      <c r="Q94" s="16"/>
      <c r="R94" s="16"/>
      <c r="U94" s="12"/>
      <c r="V94" s="23" t="s">
        <v>950</v>
      </c>
      <c r="W94" s="24" t="s">
        <v>976</v>
      </c>
      <c r="X94" s="23">
        <v>405000</v>
      </c>
      <c r="Y94" s="22"/>
      <c r="Z94" s="22"/>
      <c r="AA94" s="16"/>
      <c r="AB94" s="16"/>
    </row>
    <row r="95" spans="1:28">
      <c r="A95" s="12"/>
      <c r="B95" s="23" t="s">
        <v>950</v>
      </c>
      <c r="C95" s="24" t="s">
        <v>977</v>
      </c>
      <c r="D95" s="23">
        <v>3877000</v>
      </c>
      <c r="E95" s="23"/>
      <c r="F95" s="22"/>
      <c r="G95" s="16"/>
      <c r="H95" s="280"/>
      <c r="K95" s="12"/>
      <c r="L95" s="23" t="s">
        <v>950</v>
      </c>
      <c r="M95" s="24" t="s">
        <v>977</v>
      </c>
      <c r="N95" s="23">
        <v>3877000</v>
      </c>
      <c r="O95" s="23"/>
      <c r="P95" s="22"/>
      <c r="Q95" s="16"/>
      <c r="R95" s="280"/>
      <c r="U95" s="12"/>
      <c r="V95" s="23" t="s">
        <v>950</v>
      </c>
      <c r="W95" s="24" t="s">
        <v>977</v>
      </c>
      <c r="X95" s="23">
        <v>3877000</v>
      </c>
      <c r="Y95" s="23"/>
      <c r="Z95" s="22"/>
      <c r="AA95" s="16"/>
      <c r="AB95" s="280"/>
    </row>
    <row r="96" spans="1:28">
      <c r="A96" s="12"/>
      <c r="B96" s="23"/>
      <c r="C96" s="24"/>
      <c r="D96" s="23"/>
      <c r="E96" s="22"/>
      <c r="F96" s="22"/>
      <c r="G96" s="16"/>
      <c r="H96" s="16"/>
      <c r="K96" s="12"/>
      <c r="L96" s="23"/>
      <c r="M96" s="24"/>
      <c r="N96" s="23"/>
      <c r="O96" s="22"/>
      <c r="P96" s="22"/>
      <c r="Q96" s="16"/>
      <c r="R96" s="16"/>
      <c r="U96" s="12"/>
      <c r="V96" s="23"/>
      <c r="W96" s="24"/>
      <c r="X96" s="23"/>
      <c r="Y96" s="22"/>
      <c r="Z96" s="22"/>
      <c r="AA96" s="16"/>
      <c r="AB96" s="16"/>
    </row>
    <row r="97" spans="1:28" hidden="1">
      <c r="A97" s="12"/>
      <c r="B97" s="23"/>
      <c r="C97" s="24"/>
      <c r="D97" s="23"/>
      <c r="E97" s="22"/>
      <c r="F97" s="22"/>
      <c r="G97" s="16"/>
      <c r="H97" s="16"/>
      <c r="K97" s="12"/>
      <c r="L97" s="23"/>
      <c r="M97" s="24"/>
      <c r="N97" s="23"/>
      <c r="O97" s="22"/>
      <c r="P97" s="22"/>
      <c r="Q97" s="16"/>
      <c r="R97" s="16"/>
      <c r="U97" s="12"/>
      <c r="V97" s="23"/>
      <c r="W97" s="24"/>
      <c r="X97" s="23"/>
      <c r="Y97" s="22"/>
      <c r="Z97" s="22"/>
      <c r="AA97" s="16"/>
      <c r="AB97" s="16"/>
    </row>
    <row r="98" spans="1:28" hidden="1">
      <c r="A98" s="12"/>
      <c r="B98" s="19"/>
      <c r="C98" s="24"/>
      <c r="D98" s="23"/>
      <c r="E98" s="22"/>
      <c r="F98" s="22"/>
      <c r="G98" s="16"/>
      <c r="H98" s="16"/>
      <c r="K98" s="12"/>
      <c r="L98" s="19"/>
      <c r="M98" s="24"/>
      <c r="N98" s="23"/>
      <c r="O98" s="22"/>
      <c r="P98" s="22"/>
      <c r="Q98" s="16"/>
      <c r="R98" s="16"/>
      <c r="U98" s="12"/>
      <c r="V98" s="19"/>
      <c r="W98" s="24"/>
      <c r="X98" s="23"/>
      <c r="Y98" s="22"/>
      <c r="Z98" s="22"/>
      <c r="AA98" s="16"/>
      <c r="AB98" s="16"/>
    </row>
    <row r="99" spans="1:28" hidden="1">
      <c r="A99" s="12"/>
      <c r="B99" s="19"/>
      <c r="C99" s="24"/>
      <c r="D99" s="23"/>
      <c r="E99" s="22"/>
      <c r="F99" s="22"/>
      <c r="G99" s="16"/>
      <c r="H99" s="16"/>
      <c r="K99" s="12"/>
      <c r="L99" s="19"/>
      <c r="M99" s="24"/>
      <c r="N99" s="23"/>
      <c r="O99" s="22"/>
      <c r="P99" s="22"/>
      <c r="Q99" s="16"/>
      <c r="R99" s="16"/>
      <c r="U99" s="12"/>
      <c r="V99" s="19"/>
      <c r="W99" s="24"/>
      <c r="X99" s="23"/>
      <c r="Y99" s="22"/>
      <c r="Z99" s="22"/>
      <c r="AA99" s="16"/>
      <c r="AB99" s="16"/>
    </row>
    <row r="100" spans="1:28" hidden="1">
      <c r="A100" s="12"/>
      <c r="B100" s="19"/>
      <c r="C100" s="23"/>
      <c r="D100" s="23"/>
      <c r="E100" s="22"/>
      <c r="F100" s="22"/>
      <c r="G100" s="16"/>
      <c r="H100" s="16"/>
      <c r="K100" s="12"/>
      <c r="L100" s="19"/>
      <c r="M100" s="23"/>
      <c r="N100" s="23"/>
      <c r="O100" s="22"/>
      <c r="P100" s="22"/>
      <c r="Q100" s="16"/>
      <c r="R100" s="16"/>
      <c r="U100" s="12"/>
      <c r="V100" s="19"/>
      <c r="W100" s="23"/>
      <c r="X100" s="23"/>
      <c r="Y100" s="22"/>
      <c r="Z100" s="22"/>
      <c r="AA100" s="16"/>
      <c r="AB100" s="16"/>
    </row>
    <row r="101" spans="1:28" hidden="1">
      <c r="A101" s="12"/>
      <c r="B101" s="19"/>
      <c r="C101" s="23"/>
      <c r="D101" s="23"/>
      <c r="E101" s="22"/>
      <c r="F101" s="22"/>
      <c r="G101" s="16"/>
      <c r="H101" s="16"/>
      <c r="K101" s="12"/>
      <c r="L101" s="19"/>
      <c r="M101" s="23"/>
      <c r="N101" s="23"/>
      <c r="O101" s="22"/>
      <c r="P101" s="22"/>
      <c r="Q101" s="16"/>
      <c r="R101" s="16"/>
      <c r="U101" s="12"/>
      <c r="V101" s="19"/>
      <c r="W101" s="23"/>
      <c r="X101" s="23"/>
      <c r="Y101" s="22"/>
      <c r="Z101" s="22"/>
      <c r="AA101" s="16"/>
      <c r="AB101" s="16"/>
    </row>
    <row r="102" spans="1:28" hidden="1">
      <c r="A102" s="12"/>
      <c r="B102" s="19"/>
      <c r="C102" s="23"/>
      <c r="D102" s="23"/>
      <c r="E102" s="22"/>
      <c r="F102" s="22"/>
      <c r="G102" s="16"/>
      <c r="H102" s="16"/>
      <c r="K102" s="12"/>
      <c r="L102" s="19"/>
      <c r="M102" s="23"/>
      <c r="N102" s="23"/>
      <c r="O102" s="22"/>
      <c r="P102" s="22"/>
      <c r="Q102" s="16"/>
      <c r="R102" s="16"/>
      <c r="U102" s="12"/>
      <c r="V102" s="19"/>
      <c r="W102" s="23"/>
      <c r="X102" s="23"/>
      <c r="Y102" s="22"/>
      <c r="Z102" s="22"/>
      <c r="AA102" s="16"/>
      <c r="AB102" s="16"/>
    </row>
    <row r="103" spans="1:28" hidden="1">
      <c r="A103" s="12"/>
      <c r="B103" s="19"/>
      <c r="C103" s="24"/>
      <c r="D103" s="23"/>
      <c r="E103" s="22"/>
      <c r="F103" s="22"/>
      <c r="G103" s="16"/>
      <c r="H103" s="16"/>
      <c r="K103" s="12"/>
      <c r="L103" s="19"/>
      <c r="M103" s="24"/>
      <c r="N103" s="23"/>
      <c r="O103" s="22"/>
      <c r="P103" s="22"/>
      <c r="Q103" s="16"/>
      <c r="R103" s="16"/>
      <c r="U103" s="12"/>
      <c r="V103" s="19"/>
      <c r="W103" s="24"/>
      <c r="X103" s="23"/>
      <c r="Y103" s="22"/>
      <c r="Z103" s="22"/>
      <c r="AA103" s="16"/>
      <c r="AB103" s="16"/>
    </row>
    <row r="104" spans="1:28" hidden="1">
      <c r="A104" s="12"/>
      <c r="B104" s="19"/>
      <c r="C104" s="24"/>
      <c r="D104" s="23"/>
      <c r="E104" s="22"/>
      <c r="F104" s="22"/>
      <c r="G104" s="16"/>
      <c r="H104" s="16"/>
      <c r="K104" s="12"/>
      <c r="L104" s="19"/>
      <c r="M104" s="24"/>
      <c r="N104" s="23"/>
      <c r="O104" s="22"/>
      <c r="P104" s="22"/>
      <c r="Q104" s="16"/>
      <c r="R104" s="16"/>
      <c r="U104" s="12"/>
      <c r="V104" s="19"/>
      <c r="W104" s="24"/>
      <c r="X104" s="23"/>
      <c r="Y104" s="22"/>
      <c r="Z104" s="22"/>
      <c r="AA104" s="16"/>
      <c r="AB104" s="16"/>
    </row>
    <row r="105" spans="1:28">
      <c r="A105" s="25"/>
      <c r="B105" s="19"/>
      <c r="C105" s="26" t="s">
        <v>31</v>
      </c>
      <c r="D105" s="27">
        <f>SUM(D94:D104)</f>
        <v>4282000</v>
      </c>
      <c r="E105" s="27"/>
      <c r="F105" s="27"/>
      <c r="G105" s="27"/>
      <c r="H105" s="27"/>
      <c r="K105" s="25"/>
      <c r="L105" s="19"/>
      <c r="M105" s="26" t="s">
        <v>31</v>
      </c>
      <c r="N105" s="27"/>
      <c r="O105" s="27"/>
      <c r="P105" s="27"/>
      <c r="Q105" s="27"/>
      <c r="R105" s="27"/>
      <c r="U105" s="25"/>
      <c r="V105" s="19"/>
      <c r="W105" s="26" t="s">
        <v>31</v>
      </c>
      <c r="X105" s="27">
        <f>SUM(X94:X104)</f>
        <v>4282000</v>
      </c>
      <c r="Y105" s="27"/>
      <c r="Z105" s="27"/>
      <c r="AA105" s="27"/>
      <c r="AB105" s="27"/>
    </row>
    <row r="106" spans="1:28">
      <c r="A106" s="20"/>
      <c r="B106" s="19"/>
      <c r="C106" s="332" t="s">
        <v>21</v>
      </c>
      <c r="D106" s="10"/>
      <c r="E106" s="530">
        <f>D105</f>
        <v>4282000</v>
      </c>
      <c r="F106" s="530"/>
      <c r="G106" s="530"/>
      <c r="H106" s="530"/>
      <c r="K106" s="20"/>
      <c r="L106" s="19"/>
      <c r="M106" s="337" t="s">
        <v>21</v>
      </c>
      <c r="N106" s="10"/>
      <c r="O106" s="530">
        <f>N105</f>
        <v>0</v>
      </c>
      <c r="P106" s="530"/>
      <c r="Q106" s="530"/>
      <c r="R106" s="530"/>
      <c r="U106" s="20"/>
      <c r="V106" s="19"/>
      <c r="W106" s="337" t="s">
        <v>21</v>
      </c>
      <c r="X106" s="10"/>
      <c r="Y106" s="530">
        <f>+X105</f>
        <v>4282000</v>
      </c>
      <c r="Z106" s="530"/>
      <c r="AA106" s="530"/>
      <c r="AB106" s="530"/>
    </row>
    <row r="107" spans="1:28">
      <c r="A107" s="527" t="s">
        <v>32</v>
      </c>
      <c r="B107" s="528"/>
      <c r="C107" s="528"/>
      <c r="D107" s="528"/>
      <c r="E107" s="528"/>
      <c r="F107" s="528"/>
      <c r="G107" s="528"/>
      <c r="H107" s="529"/>
      <c r="K107" s="527" t="s">
        <v>32</v>
      </c>
      <c r="L107" s="528"/>
      <c r="M107" s="528"/>
      <c r="N107" s="528"/>
      <c r="O107" s="528"/>
      <c r="P107" s="528"/>
      <c r="Q107" s="528"/>
      <c r="R107" s="529"/>
      <c r="U107" s="527" t="s">
        <v>32</v>
      </c>
      <c r="V107" s="528"/>
      <c r="W107" s="528"/>
      <c r="X107" s="528"/>
      <c r="Y107" s="528"/>
      <c r="Z107" s="528"/>
      <c r="AA107" s="528"/>
      <c r="AB107" s="529"/>
    </row>
    <row r="108" spans="1:28">
      <c r="A108" s="12"/>
      <c r="B108" s="13"/>
      <c r="C108" s="22"/>
      <c r="D108" s="22"/>
      <c r="E108" s="332"/>
      <c r="F108" s="332"/>
      <c r="G108" s="332"/>
      <c r="H108" s="332"/>
      <c r="K108" s="12"/>
      <c r="L108" s="13"/>
      <c r="M108" s="22"/>
      <c r="N108" s="22"/>
      <c r="O108" s="337"/>
      <c r="P108" s="337"/>
      <c r="Q108" s="337"/>
      <c r="R108" s="337"/>
      <c r="U108" s="12"/>
      <c r="V108" s="13"/>
      <c r="W108" s="22" t="s">
        <v>985</v>
      </c>
      <c r="X108" s="22">
        <v>3000000</v>
      </c>
      <c r="Y108" s="337"/>
      <c r="Z108" s="337"/>
      <c r="AA108" s="337"/>
      <c r="AB108" s="337"/>
    </row>
    <row r="109" spans="1:28">
      <c r="A109" s="12"/>
      <c r="B109" s="13"/>
      <c r="C109" s="22"/>
      <c r="D109" s="22"/>
      <c r="E109" s="332"/>
      <c r="F109" s="332"/>
      <c r="G109" s="332"/>
      <c r="H109" s="332"/>
      <c r="K109" s="12"/>
      <c r="L109" s="13"/>
      <c r="M109" s="22"/>
      <c r="N109" s="22"/>
      <c r="O109" s="337"/>
      <c r="P109" s="337"/>
      <c r="Q109" s="337"/>
      <c r="R109" s="337"/>
      <c r="U109" s="12"/>
      <c r="V109" s="13"/>
      <c r="W109" s="22" t="s">
        <v>986</v>
      </c>
      <c r="X109" s="22">
        <v>3000000</v>
      </c>
      <c r="Y109" s="337"/>
      <c r="Z109" s="337"/>
      <c r="AA109" s="337"/>
      <c r="AB109" s="337"/>
    </row>
    <row r="110" spans="1:28">
      <c r="A110" s="12"/>
      <c r="B110" s="13"/>
      <c r="C110" s="22"/>
      <c r="D110" s="22"/>
      <c r="E110" s="332"/>
      <c r="F110" s="332"/>
      <c r="G110" s="332"/>
      <c r="H110" s="332"/>
      <c r="K110" s="12"/>
      <c r="L110" s="13"/>
      <c r="M110" s="22"/>
      <c r="N110" s="22"/>
      <c r="O110" s="337"/>
      <c r="P110" s="337"/>
      <c r="Q110" s="337"/>
      <c r="R110" s="337"/>
      <c r="U110" s="12"/>
      <c r="V110" s="13"/>
      <c r="W110" s="22" t="s">
        <v>987</v>
      </c>
      <c r="X110" s="22">
        <v>3000000</v>
      </c>
      <c r="Y110" s="337"/>
      <c r="Z110" s="337"/>
      <c r="AA110" s="337"/>
      <c r="AB110" s="337"/>
    </row>
    <row r="111" spans="1:28">
      <c r="A111" s="12"/>
      <c r="B111" s="13"/>
      <c r="C111" s="22"/>
      <c r="D111" s="29"/>
      <c r="E111" s="332"/>
      <c r="F111" s="332"/>
      <c r="G111" s="332"/>
      <c r="H111" s="332"/>
      <c r="K111" s="12"/>
      <c r="L111" s="13"/>
      <c r="M111" s="22"/>
      <c r="N111" s="29"/>
      <c r="O111" s="337"/>
      <c r="P111" s="337"/>
      <c r="Q111" s="337"/>
      <c r="R111" s="337"/>
      <c r="U111" s="12"/>
      <c r="V111" s="13"/>
      <c r="W111" s="22" t="s">
        <v>988</v>
      </c>
      <c r="X111" s="29">
        <v>50000000</v>
      </c>
      <c r="Y111" s="337"/>
      <c r="Z111" s="337"/>
      <c r="AA111" s="337"/>
      <c r="AB111" s="337"/>
    </row>
    <row r="112" spans="1:28">
      <c r="A112" s="12"/>
      <c r="B112" s="13"/>
      <c r="C112" s="22"/>
      <c r="D112" s="29"/>
      <c r="E112" s="332"/>
      <c r="F112" s="332"/>
      <c r="G112" s="332"/>
      <c r="H112" s="332"/>
      <c r="K112" s="12"/>
      <c r="L112" s="13"/>
      <c r="M112" s="22"/>
      <c r="N112" s="29"/>
      <c r="O112" s="337"/>
      <c r="P112" s="337"/>
      <c r="Q112" s="337"/>
      <c r="R112" s="337"/>
      <c r="U112" s="12"/>
      <c r="V112" s="13"/>
      <c r="W112" s="22" t="s">
        <v>995</v>
      </c>
      <c r="X112" s="29">
        <v>20000000</v>
      </c>
      <c r="Y112" s="337"/>
      <c r="Z112" s="337"/>
      <c r="AA112" s="337"/>
      <c r="AB112" s="337"/>
    </row>
    <row r="113" spans="1:28">
      <c r="A113" s="12"/>
      <c r="B113" s="13"/>
      <c r="C113" s="22"/>
      <c r="D113" s="29"/>
      <c r="E113" s="332"/>
      <c r="F113" s="332"/>
      <c r="G113" s="332"/>
      <c r="H113" s="332"/>
      <c r="K113" s="12"/>
      <c r="L113" s="13"/>
      <c r="M113" s="22"/>
      <c r="N113" s="29"/>
      <c r="O113" s="337"/>
      <c r="P113" s="337"/>
      <c r="Q113" s="337"/>
      <c r="R113" s="337"/>
      <c r="U113" s="12"/>
      <c r="V113" s="13"/>
      <c r="W113" s="22" t="s">
        <v>996</v>
      </c>
      <c r="X113" s="29">
        <v>25000000</v>
      </c>
      <c r="Y113" s="337"/>
      <c r="Z113" s="337"/>
      <c r="AA113" s="337"/>
      <c r="AB113" s="337"/>
    </row>
    <row r="114" spans="1:28">
      <c r="A114" s="12"/>
      <c r="B114" s="13"/>
      <c r="C114" s="22"/>
      <c r="D114" s="29"/>
      <c r="E114" s="332"/>
      <c r="F114" s="332"/>
      <c r="G114" s="332"/>
      <c r="H114" s="332"/>
      <c r="K114" s="12"/>
      <c r="L114" s="13"/>
      <c r="M114" s="22"/>
      <c r="N114" s="29"/>
      <c r="O114" s="337"/>
      <c r="P114" s="337"/>
      <c r="Q114" s="337"/>
      <c r="R114" s="337"/>
      <c r="U114" s="12"/>
      <c r="V114" s="13"/>
      <c r="W114" s="22" t="s">
        <v>997</v>
      </c>
      <c r="X114" s="29">
        <v>10000000</v>
      </c>
      <c r="Y114" s="337"/>
      <c r="Z114" s="337"/>
      <c r="AA114" s="337"/>
      <c r="AB114" s="337"/>
    </row>
    <row r="115" spans="1:28">
      <c r="A115" s="12"/>
      <c r="B115" s="13"/>
      <c r="C115" s="22"/>
      <c r="D115" s="29"/>
      <c r="E115" s="332"/>
      <c r="F115" s="332"/>
      <c r="G115" s="332"/>
      <c r="H115" s="332"/>
      <c r="K115" s="12"/>
      <c r="L115" s="13"/>
      <c r="M115" s="22"/>
      <c r="N115" s="29"/>
      <c r="O115" s="337"/>
      <c r="P115" s="337"/>
      <c r="Q115" s="337"/>
      <c r="R115" s="337"/>
      <c r="U115" s="12"/>
      <c r="V115" s="13"/>
      <c r="W115" s="22" t="s">
        <v>989</v>
      </c>
      <c r="X115" s="29">
        <v>1099500</v>
      </c>
      <c r="Y115" s="337"/>
      <c r="Z115" s="337"/>
      <c r="AA115" s="337"/>
      <c r="AB115" s="337"/>
    </row>
    <row r="116" spans="1:28">
      <c r="A116" s="12"/>
      <c r="B116" s="13"/>
      <c r="C116" s="22"/>
      <c r="D116" s="29"/>
      <c r="E116" s="338"/>
      <c r="F116" s="338"/>
      <c r="G116" s="338"/>
      <c r="H116" s="338"/>
      <c r="K116" s="12"/>
      <c r="L116" s="13"/>
      <c r="M116" s="22"/>
      <c r="N116" s="29"/>
      <c r="O116" s="338"/>
      <c r="P116" s="338"/>
      <c r="Q116" s="338"/>
      <c r="R116" s="338"/>
      <c r="U116" s="12"/>
      <c r="V116" s="13"/>
      <c r="W116" s="22" t="s">
        <v>990</v>
      </c>
      <c r="X116" s="29">
        <v>1500000</v>
      </c>
      <c r="Y116" s="338"/>
      <c r="Z116" s="338"/>
      <c r="AA116" s="338"/>
      <c r="AB116" s="338"/>
    </row>
    <row r="117" spans="1:28">
      <c r="A117" s="12"/>
      <c r="B117" s="13"/>
      <c r="C117" s="22"/>
      <c r="D117" s="29"/>
      <c r="E117" s="338"/>
      <c r="F117" s="338"/>
      <c r="G117" s="338"/>
      <c r="H117" s="338"/>
      <c r="K117" s="12"/>
      <c r="L117" s="13"/>
      <c r="M117" s="22"/>
      <c r="N117" s="29"/>
      <c r="O117" s="338"/>
      <c r="P117" s="338"/>
      <c r="Q117" s="338"/>
      <c r="R117" s="338"/>
      <c r="U117" s="12"/>
      <c r="V117" s="13"/>
      <c r="W117" s="22" t="s">
        <v>991</v>
      </c>
      <c r="X117" s="29">
        <v>1000000</v>
      </c>
      <c r="Y117" s="338"/>
      <c r="Z117" s="338"/>
      <c r="AA117" s="338"/>
      <c r="AB117" s="338"/>
    </row>
    <row r="118" spans="1:28">
      <c r="A118" s="12"/>
      <c r="B118" s="13"/>
      <c r="C118" s="22"/>
      <c r="D118" s="29"/>
      <c r="E118" s="338"/>
      <c r="F118" s="338"/>
      <c r="G118" s="338"/>
      <c r="H118" s="338"/>
      <c r="K118" s="12"/>
      <c r="L118" s="13"/>
      <c r="M118" s="22"/>
      <c r="N118" s="29"/>
      <c r="O118" s="338"/>
      <c r="P118" s="338"/>
      <c r="Q118" s="338"/>
      <c r="R118" s="338"/>
      <c r="U118" s="12"/>
      <c r="V118" s="13"/>
      <c r="W118" s="22" t="s">
        <v>992</v>
      </c>
      <c r="X118" s="29">
        <v>1650000</v>
      </c>
      <c r="Y118" s="338"/>
      <c r="Z118" s="338"/>
      <c r="AA118" s="338"/>
      <c r="AB118" s="338"/>
    </row>
    <row r="119" spans="1:28">
      <c r="A119" s="12"/>
      <c r="B119" s="13"/>
      <c r="C119" s="22"/>
      <c r="D119" s="29"/>
      <c r="E119" s="338"/>
      <c r="F119" s="338"/>
      <c r="G119" s="338"/>
      <c r="H119" s="338"/>
      <c r="K119" s="12"/>
      <c r="L119" s="13"/>
      <c r="M119" s="22"/>
      <c r="N119" s="29"/>
      <c r="O119" s="338"/>
      <c r="P119" s="338"/>
      <c r="Q119" s="338"/>
      <c r="R119" s="338"/>
      <c r="U119" s="12"/>
      <c r="V119" s="13"/>
      <c r="W119" s="22" t="s">
        <v>993</v>
      </c>
      <c r="X119" s="29">
        <v>32000</v>
      </c>
      <c r="Y119" s="338"/>
      <c r="Z119" s="338"/>
      <c r="AA119" s="338"/>
      <c r="AB119" s="338"/>
    </row>
    <row r="120" spans="1:28">
      <c r="A120" s="12"/>
      <c r="B120" s="13"/>
      <c r="C120" s="22"/>
      <c r="D120" s="29"/>
      <c r="E120" s="338"/>
      <c r="F120" s="338"/>
      <c r="G120" s="338"/>
      <c r="H120" s="338"/>
      <c r="K120" s="12"/>
      <c r="L120" s="13"/>
      <c r="M120" s="22"/>
      <c r="N120" s="29"/>
      <c r="O120" s="338"/>
      <c r="P120" s="338"/>
      <c r="Q120" s="338"/>
      <c r="R120" s="338"/>
      <c r="U120" s="12"/>
      <c r="V120" s="13"/>
      <c r="W120" s="22" t="s">
        <v>998</v>
      </c>
      <c r="X120" s="29">
        <v>500000</v>
      </c>
      <c r="Y120" s="338"/>
      <c r="Z120" s="338"/>
      <c r="AA120" s="338"/>
      <c r="AB120" s="338"/>
    </row>
    <row r="121" spans="1:28">
      <c r="A121" s="12"/>
      <c r="B121" s="13"/>
      <c r="C121" s="22"/>
      <c r="D121" s="29"/>
      <c r="E121" s="338"/>
      <c r="F121" s="338"/>
      <c r="G121" s="338"/>
      <c r="H121" s="338"/>
      <c r="K121" s="12"/>
      <c r="L121" s="13"/>
      <c r="M121" s="22"/>
      <c r="N121" s="29"/>
      <c r="O121" s="338"/>
      <c r="P121" s="338"/>
      <c r="Q121" s="338"/>
      <c r="R121" s="338"/>
      <c r="U121" s="12"/>
      <c r="V121" s="13"/>
      <c r="W121" s="22" t="s">
        <v>999</v>
      </c>
      <c r="X121" s="29">
        <v>875000</v>
      </c>
      <c r="Y121" s="338"/>
      <c r="Z121" s="338"/>
      <c r="AA121" s="338"/>
      <c r="AB121" s="338"/>
    </row>
    <row r="122" spans="1:28">
      <c r="A122" s="12"/>
      <c r="B122" s="13"/>
      <c r="C122" s="22"/>
      <c r="D122" s="29"/>
      <c r="E122" s="338"/>
      <c r="F122" s="338"/>
      <c r="G122" s="338"/>
      <c r="H122" s="338"/>
      <c r="K122" s="12"/>
      <c r="L122" s="13"/>
      <c r="M122" s="22"/>
      <c r="N122" s="29"/>
      <c r="O122" s="338"/>
      <c r="P122" s="338"/>
      <c r="Q122" s="338"/>
      <c r="R122" s="338"/>
      <c r="U122" s="12"/>
      <c r="V122" s="13"/>
      <c r="W122" s="22" t="s">
        <v>999</v>
      </c>
      <c r="X122" s="29">
        <v>1140000</v>
      </c>
      <c r="Y122" s="338"/>
      <c r="Z122" s="338"/>
      <c r="AA122" s="338"/>
      <c r="AB122" s="338"/>
    </row>
    <row r="123" spans="1:28">
      <c r="A123" s="12"/>
      <c r="B123" s="13"/>
      <c r="C123" s="22"/>
      <c r="D123" s="29"/>
      <c r="E123" s="338"/>
      <c r="F123" s="338"/>
      <c r="G123" s="338"/>
      <c r="H123" s="338"/>
      <c r="K123" s="12"/>
      <c r="L123" s="13"/>
      <c r="M123" s="22"/>
      <c r="N123" s="29"/>
      <c r="O123" s="338"/>
      <c r="P123" s="338"/>
      <c r="Q123" s="338"/>
      <c r="R123" s="338"/>
      <c r="U123" s="12"/>
      <c r="V123" s="13"/>
      <c r="W123" s="22"/>
      <c r="X123" s="29"/>
      <c r="Y123" s="338"/>
      <c r="Z123" s="338"/>
      <c r="AA123" s="338"/>
      <c r="AB123" s="338"/>
    </row>
    <row r="124" spans="1:28">
      <c r="A124" s="12"/>
      <c r="B124" s="13"/>
      <c r="C124" s="22"/>
      <c r="D124" s="29"/>
      <c r="E124" s="338"/>
      <c r="F124" s="338"/>
      <c r="G124" s="338"/>
      <c r="H124" s="338"/>
      <c r="K124" s="12"/>
      <c r="L124" s="13"/>
      <c r="M124" s="22"/>
      <c r="N124" s="29"/>
      <c r="O124" s="338"/>
      <c r="P124" s="338"/>
      <c r="Q124" s="338"/>
      <c r="R124" s="338"/>
      <c r="U124" s="12"/>
      <c r="V124" s="13"/>
      <c r="W124" s="22"/>
      <c r="X124" s="29"/>
      <c r="Y124" s="338"/>
      <c r="Z124" s="338"/>
      <c r="AA124" s="338"/>
      <c r="AB124" s="338"/>
    </row>
    <row r="125" spans="1:28">
      <c r="A125" s="12"/>
      <c r="B125" s="13"/>
      <c r="C125" s="22"/>
      <c r="D125" s="29"/>
      <c r="E125" s="338"/>
      <c r="F125" s="338"/>
      <c r="G125" s="338"/>
      <c r="H125" s="338"/>
      <c r="K125" s="12"/>
      <c r="L125" s="13"/>
      <c r="M125" s="22"/>
      <c r="N125" s="29"/>
      <c r="O125" s="338"/>
      <c r="P125" s="338"/>
      <c r="Q125" s="338"/>
      <c r="R125" s="338"/>
      <c r="U125" s="12"/>
      <c r="V125" s="13"/>
      <c r="W125" s="22"/>
      <c r="X125" s="29"/>
      <c r="Y125" s="338"/>
      <c r="Z125" s="338"/>
      <c r="AA125" s="338"/>
      <c r="AB125" s="338"/>
    </row>
    <row r="126" spans="1:28">
      <c r="A126" s="12"/>
      <c r="B126" s="13"/>
      <c r="C126" s="22"/>
      <c r="D126" s="29"/>
      <c r="E126" s="332"/>
      <c r="F126" s="332"/>
      <c r="G126" s="332"/>
      <c r="H126" s="332"/>
      <c r="K126" s="12"/>
      <c r="L126" s="13"/>
      <c r="M126" s="22"/>
      <c r="N126" s="29"/>
      <c r="O126" s="337"/>
      <c r="P126" s="337"/>
      <c r="Q126" s="337"/>
      <c r="R126" s="337"/>
      <c r="U126" s="12"/>
      <c r="V126" s="13"/>
      <c r="W126" s="22"/>
      <c r="X126" s="29"/>
      <c r="Y126" s="337"/>
      <c r="Z126" s="337"/>
      <c r="AA126" s="337"/>
      <c r="AB126" s="337"/>
    </row>
    <row r="127" spans="1:28">
      <c r="A127" s="12"/>
      <c r="B127" s="13"/>
      <c r="C127" s="26" t="s">
        <v>34</v>
      </c>
      <c r="D127" s="27">
        <f>SUM(D108:D111)</f>
        <v>0</v>
      </c>
      <c r="E127" s="27">
        <v>0</v>
      </c>
      <c r="F127" s="27">
        <v>0</v>
      </c>
      <c r="G127" s="27"/>
      <c r="H127" s="27"/>
      <c r="K127" s="12"/>
      <c r="L127" s="13"/>
      <c r="M127" s="26" t="s">
        <v>34</v>
      </c>
      <c r="N127" s="27">
        <f>SUM(N108:N111)</f>
        <v>0</v>
      </c>
      <c r="O127" s="27">
        <v>0</v>
      </c>
      <c r="P127" s="27">
        <v>0</v>
      </c>
      <c r="Q127" s="27"/>
      <c r="R127" s="27"/>
      <c r="U127" s="12"/>
      <c r="V127" s="13"/>
      <c r="W127" s="26" t="s">
        <v>34</v>
      </c>
      <c r="X127" s="27">
        <f>SUM(X108:X124)</f>
        <v>121796500</v>
      </c>
      <c r="Y127" s="27">
        <v>0</v>
      </c>
      <c r="Z127" s="27">
        <v>0</v>
      </c>
      <c r="AA127" s="27"/>
      <c r="AB127" s="27"/>
    </row>
    <row r="128" spans="1:28">
      <c r="A128" s="20"/>
      <c r="B128" s="19"/>
      <c r="C128" s="332" t="s">
        <v>21</v>
      </c>
      <c r="D128" s="10"/>
      <c r="E128" s="531">
        <f>D127</f>
        <v>0</v>
      </c>
      <c r="F128" s="532"/>
      <c r="G128" s="532"/>
      <c r="H128" s="533"/>
      <c r="K128" s="20"/>
      <c r="L128" s="19"/>
      <c r="M128" s="337" t="s">
        <v>21</v>
      </c>
      <c r="N128" s="10"/>
      <c r="O128" s="531">
        <f>N127</f>
        <v>0</v>
      </c>
      <c r="P128" s="532"/>
      <c r="Q128" s="532"/>
      <c r="R128" s="533"/>
      <c r="U128" s="20"/>
      <c r="V128" s="19"/>
      <c r="W128" s="337" t="s">
        <v>21</v>
      </c>
      <c r="X128" s="10"/>
      <c r="Y128" s="531">
        <f>X127</f>
        <v>121796500</v>
      </c>
      <c r="Z128" s="532"/>
      <c r="AA128" s="532"/>
      <c r="AB128" s="533"/>
    </row>
    <row r="129" spans="1:28">
      <c r="A129" s="525" t="s">
        <v>35</v>
      </c>
      <c r="B129" s="525"/>
      <c r="C129" s="525"/>
      <c r="D129" s="328"/>
      <c r="E129" s="526">
        <f>E50+E55+E106+E128+E86+E92+E63</f>
        <v>130137000</v>
      </c>
      <c r="F129" s="526"/>
      <c r="G129" s="526"/>
      <c r="H129" s="526"/>
      <c r="K129" s="525" t="s">
        <v>35</v>
      </c>
      <c r="L129" s="525"/>
      <c r="M129" s="525"/>
      <c r="N129" s="333"/>
      <c r="O129" s="526">
        <f>O50+O55+O106+O128+O86+O92+O63</f>
        <v>98958000</v>
      </c>
      <c r="P129" s="526"/>
      <c r="Q129" s="526"/>
      <c r="R129" s="526"/>
      <c r="U129" s="525" t="s">
        <v>35</v>
      </c>
      <c r="V129" s="525"/>
      <c r="W129" s="525"/>
      <c r="X129" s="333"/>
      <c r="Y129" s="526">
        <f>Y50+Y55+Y106+Y128+Y86+Y92+Y63</f>
        <v>227435500</v>
      </c>
      <c r="Z129" s="526"/>
      <c r="AA129" s="526"/>
      <c r="AB129" s="526"/>
    </row>
    <row r="130" spans="1:28">
      <c r="A130" s="522" t="s">
        <v>36</v>
      </c>
      <c r="B130" s="522"/>
      <c r="C130" s="522"/>
      <c r="D130" s="331"/>
      <c r="E130" s="523">
        <f>+E31+E129</f>
        <v>130537000</v>
      </c>
      <c r="F130" s="523"/>
      <c r="G130" s="523"/>
      <c r="H130" s="523"/>
      <c r="K130" s="522" t="s">
        <v>36</v>
      </c>
      <c r="L130" s="522"/>
      <c r="M130" s="522"/>
      <c r="N130" s="336"/>
      <c r="O130" s="523">
        <f>+O31+O129</f>
        <v>99358000</v>
      </c>
      <c r="P130" s="523"/>
      <c r="Q130" s="523"/>
      <c r="R130" s="523"/>
      <c r="U130" s="522" t="s">
        <v>36</v>
      </c>
      <c r="V130" s="522"/>
      <c r="W130" s="522"/>
      <c r="X130" s="336"/>
      <c r="Y130" s="523">
        <f>+Y31+Y129</f>
        <v>227860500</v>
      </c>
      <c r="Z130" s="523"/>
      <c r="AA130" s="523"/>
      <c r="AB130" s="523"/>
    </row>
    <row r="131" spans="1:28">
      <c r="A131" s="524" t="s">
        <v>32</v>
      </c>
      <c r="B131" s="524"/>
      <c r="C131" s="524"/>
      <c r="D131" s="524"/>
      <c r="E131" s="524"/>
      <c r="F131" s="524"/>
      <c r="G131" s="524"/>
      <c r="H131" s="524"/>
      <c r="K131" s="524" t="s">
        <v>32</v>
      </c>
      <c r="L131" s="524"/>
      <c r="M131" s="524"/>
      <c r="N131" s="524"/>
      <c r="O131" s="524"/>
      <c r="P131" s="524"/>
      <c r="Q131" s="524"/>
      <c r="R131" s="524"/>
      <c r="U131" s="524" t="s">
        <v>32</v>
      </c>
      <c r="V131" s="524"/>
      <c r="W131" s="524"/>
      <c r="X131" s="524"/>
      <c r="Y131" s="524"/>
      <c r="Z131" s="524"/>
      <c r="AA131" s="524"/>
      <c r="AB131" s="524"/>
    </row>
    <row r="132" spans="1:28">
      <c r="A132" s="33"/>
      <c r="B132" s="13"/>
      <c r="C132" s="22"/>
      <c r="D132" s="22"/>
      <c r="E132" s="22"/>
      <c r="F132" s="22"/>
      <c r="G132" s="16"/>
      <c r="H132" s="16"/>
      <c r="K132" s="33"/>
      <c r="L132" s="13"/>
      <c r="M132" s="22"/>
      <c r="N132" s="22"/>
      <c r="O132" s="22"/>
      <c r="P132" s="22"/>
      <c r="Q132" s="16"/>
      <c r="R132" s="16"/>
      <c r="U132" s="33"/>
      <c r="V132" s="13"/>
      <c r="W132" s="22"/>
      <c r="X132" s="22"/>
      <c r="Y132" s="22"/>
      <c r="Z132" s="22"/>
      <c r="AA132" s="16"/>
      <c r="AB132" s="16"/>
    </row>
    <row r="133" spans="1:28">
      <c r="A133" s="33"/>
      <c r="B133" s="13"/>
      <c r="C133" s="22"/>
      <c r="D133" s="22"/>
      <c r="E133" s="22"/>
      <c r="F133" s="22"/>
      <c r="G133" s="16"/>
      <c r="H133" s="16"/>
      <c r="K133" s="33"/>
      <c r="L133" s="13"/>
      <c r="M133" s="22"/>
      <c r="N133" s="22"/>
      <c r="O133" s="22"/>
      <c r="P133" s="22"/>
      <c r="Q133" s="16"/>
      <c r="R133" s="16"/>
      <c r="U133" s="33"/>
      <c r="V133" s="13"/>
      <c r="W133" s="22"/>
      <c r="X133" s="22"/>
      <c r="Y133" s="22"/>
      <c r="Z133" s="22"/>
      <c r="AA133" s="16"/>
      <c r="AB133" s="16"/>
    </row>
    <row r="134" spans="1:28">
      <c r="A134" s="33"/>
      <c r="B134" s="13"/>
      <c r="C134" s="22"/>
      <c r="D134" s="22"/>
      <c r="E134" s="22"/>
      <c r="F134" s="22"/>
      <c r="G134" s="16"/>
      <c r="H134" s="16"/>
      <c r="K134" s="33"/>
      <c r="L134" s="13"/>
      <c r="M134" s="22"/>
      <c r="N134" s="22"/>
      <c r="O134" s="22"/>
      <c r="P134" s="22"/>
      <c r="Q134" s="16"/>
      <c r="R134" s="16"/>
      <c r="U134" s="33"/>
      <c r="V134" s="13"/>
      <c r="W134" s="22"/>
      <c r="X134" s="22"/>
      <c r="Y134" s="22"/>
      <c r="Z134" s="22"/>
      <c r="AA134" s="16"/>
      <c r="AB134" s="16"/>
    </row>
    <row r="135" spans="1:28">
      <c r="A135" s="20"/>
      <c r="B135" s="13"/>
      <c r="C135" s="22"/>
      <c r="D135" s="22"/>
      <c r="E135" s="22"/>
      <c r="F135" s="16"/>
      <c r="G135" s="16"/>
      <c r="H135" s="16"/>
      <c r="K135" s="20"/>
      <c r="L135" s="13"/>
      <c r="M135" s="22"/>
      <c r="N135" s="22"/>
      <c r="O135" s="22"/>
      <c r="P135" s="16"/>
      <c r="Q135" s="16"/>
      <c r="R135" s="16"/>
      <c r="U135" s="20"/>
      <c r="V135" s="13"/>
      <c r="W135" s="22"/>
      <c r="X135" s="22"/>
      <c r="Y135" s="22"/>
      <c r="Z135" s="16"/>
      <c r="AA135" s="16"/>
      <c r="AB135" s="16"/>
    </row>
    <row r="136" spans="1:28">
      <c r="A136" s="20"/>
      <c r="B136" s="13"/>
      <c r="C136" s="22"/>
      <c r="D136" s="22"/>
      <c r="E136" s="22"/>
      <c r="F136" s="16"/>
      <c r="G136" s="16"/>
      <c r="H136" s="16"/>
      <c r="K136" s="20"/>
      <c r="L136" s="13"/>
      <c r="M136" s="22"/>
      <c r="N136" s="22"/>
      <c r="O136" s="22"/>
      <c r="P136" s="16"/>
      <c r="Q136" s="16"/>
      <c r="R136" s="16"/>
      <c r="U136" s="20"/>
      <c r="V136" s="13"/>
      <c r="W136" s="22"/>
      <c r="X136" s="22"/>
      <c r="Y136" s="22"/>
      <c r="Z136" s="16"/>
      <c r="AA136" s="16"/>
      <c r="AB136" s="16"/>
    </row>
    <row r="137" spans="1:28">
      <c r="A137" s="525" t="s">
        <v>37</v>
      </c>
      <c r="B137" s="525"/>
      <c r="C137" s="525"/>
      <c r="D137" s="328">
        <f>SUM(D132:D136)</f>
        <v>0</v>
      </c>
      <c r="E137" s="526"/>
      <c r="F137" s="526"/>
      <c r="G137" s="526"/>
      <c r="H137" s="526"/>
      <c r="K137" s="525" t="s">
        <v>37</v>
      </c>
      <c r="L137" s="525"/>
      <c r="M137" s="525"/>
      <c r="N137" s="333">
        <f>SUM(N132:N136)</f>
        <v>0</v>
      </c>
      <c r="O137" s="526"/>
      <c r="P137" s="526"/>
      <c r="Q137" s="526"/>
      <c r="R137" s="526"/>
      <c r="U137" s="525" t="s">
        <v>37</v>
      </c>
      <c r="V137" s="525"/>
      <c r="W137" s="525"/>
      <c r="X137" s="333">
        <f>SUM(X132:X136)</f>
        <v>0</v>
      </c>
      <c r="Y137" s="526"/>
      <c r="Z137" s="526"/>
      <c r="AA137" s="526"/>
      <c r="AB137" s="526"/>
    </row>
    <row r="138" spans="1:28">
      <c r="A138" s="34" t="s">
        <v>38</v>
      </c>
      <c r="B138" s="35"/>
      <c r="C138" s="328"/>
      <c r="D138" s="328"/>
      <c r="E138" s="329"/>
      <c r="F138" s="329"/>
      <c r="G138" s="526"/>
      <c r="H138" s="526"/>
      <c r="K138" s="34" t="s">
        <v>38</v>
      </c>
      <c r="L138" s="35"/>
      <c r="M138" s="333"/>
      <c r="N138" s="333"/>
      <c r="O138" s="334"/>
      <c r="P138" s="334"/>
      <c r="Q138" s="526"/>
      <c r="R138" s="526"/>
      <c r="U138" s="34" t="s">
        <v>38</v>
      </c>
      <c r="V138" s="35"/>
      <c r="W138" s="333"/>
      <c r="X138" s="333"/>
      <c r="Y138" s="334"/>
      <c r="Z138" s="334"/>
      <c r="AA138" s="526"/>
      <c r="AB138" s="526"/>
    </row>
    <row r="139" spans="1:28">
      <c r="A139" s="37"/>
      <c r="B139" s="38"/>
      <c r="C139" s="39"/>
      <c r="D139" s="39"/>
      <c r="E139" s="39"/>
      <c r="F139" s="39"/>
      <c r="G139" s="39"/>
      <c r="H139" s="39"/>
      <c r="K139" s="37"/>
      <c r="L139" s="38"/>
      <c r="M139" s="39"/>
      <c r="N139" s="39"/>
      <c r="O139" s="39"/>
      <c r="P139" s="39"/>
      <c r="Q139" s="39"/>
      <c r="R139" s="39"/>
      <c r="U139" s="37"/>
      <c r="V139" s="38"/>
      <c r="W139" s="39"/>
      <c r="X139" s="39"/>
      <c r="Y139" s="39"/>
      <c r="Z139" s="39"/>
      <c r="AA139" s="39"/>
      <c r="AB139" s="39"/>
    </row>
    <row r="140" spans="1:28">
      <c r="A140" s="519" t="s">
        <v>13</v>
      </c>
      <c r="B140" s="520"/>
      <c r="C140" s="520"/>
      <c r="D140" s="520"/>
      <c r="E140" s="521"/>
      <c r="F140" s="39"/>
      <c r="G140" s="39"/>
      <c r="H140" s="40"/>
      <c r="K140" s="519" t="s">
        <v>13</v>
      </c>
      <c r="L140" s="520"/>
      <c r="M140" s="520"/>
      <c r="N140" s="520"/>
      <c r="O140" s="521"/>
      <c r="P140" s="39"/>
      <c r="Q140" s="39"/>
      <c r="R140" s="40"/>
      <c r="U140" s="519" t="s">
        <v>13</v>
      </c>
      <c r="V140" s="520"/>
      <c r="W140" s="520"/>
      <c r="X140" s="520"/>
      <c r="Y140" s="521"/>
      <c r="Z140" s="39"/>
      <c r="AA140" s="39"/>
      <c r="AB140" s="40"/>
    </row>
    <row r="141" spans="1:28">
      <c r="A141" s="41" t="s">
        <v>39</v>
      </c>
      <c r="B141" s="42" t="s">
        <v>40</v>
      </c>
      <c r="C141" s="43" t="s">
        <v>980</v>
      </c>
      <c r="D141" s="43" t="s">
        <v>42</v>
      </c>
      <c r="E141" s="43" t="s">
        <v>43</v>
      </c>
      <c r="F141" s="39"/>
      <c r="G141" s="39"/>
      <c r="H141" s="39"/>
      <c r="K141" s="41" t="s">
        <v>39</v>
      </c>
      <c r="L141" s="42" t="s">
        <v>40</v>
      </c>
      <c r="M141" s="43" t="s">
        <v>980</v>
      </c>
      <c r="N141" s="43" t="s">
        <v>42</v>
      </c>
      <c r="O141" s="43" t="s">
        <v>43</v>
      </c>
      <c r="P141" s="39"/>
      <c r="Q141" s="39"/>
      <c r="R141" s="39"/>
      <c r="U141" s="41" t="s">
        <v>39</v>
      </c>
      <c r="V141" s="42" t="s">
        <v>40</v>
      </c>
      <c r="W141" s="43" t="s">
        <v>980</v>
      </c>
      <c r="X141" s="43" t="s">
        <v>42</v>
      </c>
      <c r="Y141" s="43" t="s">
        <v>43</v>
      </c>
      <c r="Z141" s="39"/>
      <c r="AA141" s="39"/>
      <c r="AB141" s="39"/>
    </row>
    <row r="142" spans="1:28">
      <c r="A142" s="41"/>
      <c r="B142" s="110">
        <v>46199</v>
      </c>
      <c r="C142" s="45" t="s">
        <v>981</v>
      </c>
      <c r="D142" s="46">
        <v>20000000</v>
      </c>
      <c r="E142" s="46"/>
      <c r="F142" s="39"/>
      <c r="G142" s="39"/>
      <c r="H142" s="39"/>
      <c r="K142" s="41"/>
      <c r="L142" s="110">
        <v>46199</v>
      </c>
      <c r="M142" s="45" t="s">
        <v>981</v>
      </c>
      <c r="N142" s="46">
        <v>20000000</v>
      </c>
      <c r="O142" s="46"/>
      <c r="P142" s="39"/>
      <c r="Q142" s="39"/>
      <c r="R142" s="39">
        <v>83730000</v>
      </c>
      <c r="U142" s="41"/>
      <c r="V142" s="110">
        <v>46199</v>
      </c>
      <c r="W142" s="45" t="s">
        <v>981</v>
      </c>
      <c r="X142" s="46">
        <v>20000000</v>
      </c>
      <c r="Y142" s="46"/>
      <c r="Z142" s="39"/>
      <c r="AA142" s="39"/>
      <c r="AB142" s="39"/>
    </row>
    <row r="143" spans="1:28">
      <c r="A143" s="41"/>
      <c r="B143" s="44"/>
      <c r="C143" s="45" t="s">
        <v>982</v>
      </c>
      <c r="D143" s="46">
        <v>10000000</v>
      </c>
      <c r="E143" s="46"/>
      <c r="F143" s="39"/>
      <c r="G143" s="39"/>
      <c r="H143" s="39"/>
      <c r="K143" s="41"/>
      <c r="L143" s="44"/>
      <c r="M143" s="45" t="s">
        <v>982</v>
      </c>
      <c r="N143" s="46">
        <v>10000000</v>
      </c>
      <c r="O143" s="46"/>
      <c r="P143" s="39"/>
      <c r="Q143" s="39"/>
      <c r="R143" s="40">
        <f>+R142-O130</f>
        <v>-15628000</v>
      </c>
      <c r="U143" s="41"/>
      <c r="V143" s="44"/>
      <c r="W143" s="45" t="s">
        <v>982</v>
      </c>
      <c r="X143" s="46">
        <v>10000000</v>
      </c>
      <c r="Y143" s="46"/>
      <c r="Z143" s="39"/>
      <c r="AA143" s="39"/>
      <c r="AB143" s="40"/>
    </row>
    <row r="144" spans="1:28">
      <c r="A144" s="41"/>
      <c r="B144" s="44"/>
      <c r="C144" s="45" t="s">
        <v>983</v>
      </c>
      <c r="D144" s="46">
        <v>65575000</v>
      </c>
      <c r="E144" s="46"/>
      <c r="F144" s="39"/>
      <c r="G144" s="39"/>
      <c r="H144" s="39"/>
      <c r="K144" s="41"/>
      <c r="L144" s="44"/>
      <c r="M144" s="45" t="s">
        <v>983</v>
      </c>
      <c r="N144" s="46">
        <v>57300000</v>
      </c>
      <c r="O144" s="46"/>
      <c r="P144" s="39"/>
      <c r="Q144" s="39"/>
      <c r="R144" s="39"/>
      <c r="U144" s="41"/>
      <c r="V144" s="44"/>
      <c r="W144" s="45" t="s">
        <v>983</v>
      </c>
      <c r="X144" s="46">
        <v>57300000</v>
      </c>
      <c r="Y144" s="46"/>
      <c r="Z144" s="39"/>
      <c r="AA144" s="39"/>
      <c r="AB144" s="39"/>
    </row>
    <row r="145" spans="1:28">
      <c r="A145" s="41"/>
      <c r="B145" s="44"/>
      <c r="C145" s="46"/>
      <c r="D145" s="46"/>
      <c r="E145" s="46"/>
      <c r="F145" s="39"/>
      <c r="G145" s="39"/>
      <c r="H145" s="39"/>
      <c r="K145" s="41"/>
      <c r="L145" s="44"/>
      <c r="M145" s="46" t="s">
        <v>984</v>
      </c>
      <c r="N145" s="46">
        <v>12058000</v>
      </c>
      <c r="O145" s="46"/>
      <c r="P145" s="39"/>
      <c r="Q145" s="39"/>
      <c r="R145" s="39"/>
      <c r="U145" s="41"/>
      <c r="V145" s="44"/>
      <c r="W145" s="46" t="s">
        <v>994</v>
      </c>
      <c r="X145" s="46">
        <v>150000000</v>
      </c>
      <c r="Y145" s="46"/>
      <c r="Z145" s="39"/>
      <c r="AA145" s="39"/>
      <c r="AB145" s="39"/>
    </row>
    <row r="146" spans="1:28">
      <c r="A146" s="41"/>
      <c r="B146" s="44"/>
      <c r="C146" s="46"/>
      <c r="D146" s="46"/>
      <c r="E146" s="46"/>
      <c r="F146" s="39"/>
      <c r="G146" s="39"/>
      <c r="H146" s="39"/>
      <c r="K146" s="41"/>
      <c r="L146" s="44"/>
      <c r="M146" s="46"/>
      <c r="N146" s="46"/>
      <c r="O146" s="46"/>
      <c r="P146" s="39"/>
      <c r="Q146" s="39"/>
      <c r="R146" s="40">
        <f>+N153+R143</f>
        <v>-15628000</v>
      </c>
      <c r="U146" s="41"/>
      <c r="V146" s="44"/>
      <c r="W146" s="46"/>
      <c r="X146" s="46"/>
      <c r="Y146" s="46"/>
      <c r="Z146" s="39"/>
      <c r="AA146" s="39"/>
      <c r="AB146" s="40"/>
    </row>
    <row r="147" spans="1:28" hidden="1">
      <c r="A147" s="41"/>
      <c r="B147" s="44"/>
      <c r="C147" s="46"/>
      <c r="D147" s="46"/>
      <c r="E147" s="46"/>
      <c r="F147" s="39"/>
      <c r="G147" s="39"/>
      <c r="H147" s="39"/>
      <c r="K147" s="41"/>
      <c r="L147" s="44"/>
      <c r="M147" s="46"/>
      <c r="N147" s="46"/>
      <c r="O147" s="46"/>
      <c r="P147" s="39"/>
      <c r="Q147" s="39"/>
      <c r="R147" s="39"/>
      <c r="U147" s="41"/>
      <c r="V147" s="44"/>
      <c r="W147" s="46"/>
      <c r="X147" s="46"/>
      <c r="Y147" s="46"/>
      <c r="Z147" s="39"/>
      <c r="AA147" s="39"/>
      <c r="AB147" s="39"/>
    </row>
    <row r="148" spans="1:28" hidden="1">
      <c r="A148" s="41"/>
      <c r="B148" s="44"/>
      <c r="C148" s="46"/>
      <c r="D148" s="46"/>
      <c r="E148" s="46"/>
      <c r="F148" s="39"/>
      <c r="G148" s="39"/>
      <c r="H148" s="39"/>
      <c r="K148" s="41"/>
      <c r="L148" s="44"/>
      <c r="M148" s="46"/>
      <c r="N148" s="46"/>
      <c r="O148" s="46"/>
      <c r="P148" s="39"/>
      <c r="Q148" s="39"/>
      <c r="R148" s="39"/>
      <c r="U148" s="41"/>
      <c r="V148" s="44"/>
      <c r="W148" s="46"/>
      <c r="X148" s="46"/>
      <c r="Y148" s="46"/>
      <c r="Z148" s="39"/>
      <c r="AA148" s="39"/>
      <c r="AB148" s="39"/>
    </row>
    <row r="149" spans="1:28" hidden="1">
      <c r="A149" s="41"/>
      <c r="B149" s="44"/>
      <c r="C149" s="46"/>
      <c r="D149" s="46"/>
      <c r="E149" s="46"/>
      <c r="F149" s="39"/>
      <c r="G149" s="39"/>
      <c r="H149" s="39"/>
      <c r="K149" s="41"/>
      <c r="L149" s="44"/>
      <c r="M149" s="46"/>
      <c r="N149" s="46"/>
      <c r="O149" s="46"/>
      <c r="P149" s="39"/>
      <c r="Q149" s="39"/>
      <c r="R149" s="39"/>
      <c r="U149" s="41"/>
      <c r="V149" s="44"/>
      <c r="W149" s="46"/>
      <c r="X149" s="46"/>
      <c r="Y149" s="46"/>
      <c r="Z149" s="39"/>
      <c r="AA149" s="39"/>
      <c r="AB149" s="39"/>
    </row>
    <row r="150" spans="1:28" hidden="1">
      <c r="A150" s="41"/>
      <c r="B150" s="44"/>
      <c r="C150" s="327"/>
      <c r="D150" s="46"/>
      <c r="E150" s="46"/>
      <c r="F150" s="39"/>
      <c r="G150" s="39"/>
      <c r="H150" s="39"/>
      <c r="K150" s="41"/>
      <c r="L150" s="44"/>
      <c r="M150" s="327"/>
      <c r="N150" s="46"/>
      <c r="O150" s="46"/>
      <c r="P150" s="39"/>
      <c r="Q150" s="39"/>
      <c r="R150" s="39"/>
      <c r="U150" s="41"/>
      <c r="V150" s="44"/>
      <c r="W150" s="327"/>
      <c r="X150" s="46"/>
      <c r="Y150" s="46"/>
      <c r="Z150" s="39"/>
      <c r="AA150" s="39"/>
      <c r="AB150" s="39"/>
    </row>
    <row r="151" spans="1:28" hidden="1">
      <c r="A151" s="41"/>
      <c r="B151" s="44"/>
      <c r="C151" s="46"/>
      <c r="D151" s="48"/>
      <c r="E151" s="46"/>
      <c r="F151" s="39"/>
      <c r="G151" s="39"/>
      <c r="H151" s="39"/>
      <c r="K151" s="41"/>
      <c r="L151" s="44"/>
      <c r="M151" s="46"/>
      <c r="N151" s="48"/>
      <c r="O151" s="46"/>
      <c r="P151" s="39"/>
      <c r="Q151" s="39"/>
      <c r="R151" s="39"/>
      <c r="U151" s="41"/>
      <c r="V151" s="44"/>
      <c r="W151" s="46"/>
      <c r="X151" s="48"/>
      <c r="Y151" s="46"/>
      <c r="Z151" s="39"/>
      <c r="AA151" s="39"/>
      <c r="AB151" s="39"/>
    </row>
    <row r="152" spans="1:28">
      <c r="A152" s="49"/>
      <c r="B152" s="50"/>
      <c r="C152" s="51" t="s">
        <v>44</v>
      </c>
      <c r="D152" s="51">
        <f>SUM(D142:D151)</f>
        <v>95575000</v>
      </c>
      <c r="E152" s="52"/>
      <c r="F152" s="39"/>
      <c r="G152" s="39"/>
      <c r="H152" s="39"/>
      <c r="K152" s="49"/>
      <c r="L152" s="50"/>
      <c r="M152" s="51" t="s">
        <v>44</v>
      </c>
      <c r="N152" s="51">
        <f>SUM(N142:N151)</f>
        <v>99358000</v>
      </c>
      <c r="O152" s="52"/>
      <c r="P152" s="39"/>
      <c r="Q152" s="39"/>
      <c r="R152" s="39"/>
      <c r="U152" s="49"/>
      <c r="V152" s="50"/>
      <c r="W152" s="51" t="s">
        <v>44</v>
      </c>
      <c r="X152" s="51">
        <f>SUM(X142:X151)</f>
        <v>237300000</v>
      </c>
      <c r="Y152" s="52"/>
      <c r="Z152" s="39"/>
      <c r="AA152" s="39"/>
      <c r="AB152" s="39"/>
    </row>
    <row r="153" spans="1:28">
      <c r="A153" s="53"/>
      <c r="B153" s="54"/>
      <c r="C153" s="55" t="s">
        <v>779</v>
      </c>
      <c r="D153" s="116">
        <f>+D152-E130</f>
        <v>-34962000</v>
      </c>
      <c r="E153" s="3"/>
      <c r="F153" s="39"/>
      <c r="G153" s="39"/>
      <c r="H153" s="39"/>
      <c r="K153" s="53"/>
      <c r="L153" s="54"/>
      <c r="M153" s="55" t="s">
        <v>779</v>
      </c>
      <c r="N153" s="116">
        <f>+N152-O130</f>
        <v>0</v>
      </c>
      <c r="O153" s="3"/>
      <c r="P153" s="39"/>
      <c r="Q153" s="39"/>
      <c r="R153" s="39"/>
      <c r="U153" s="53"/>
      <c r="V153" s="54"/>
      <c r="W153" s="55" t="s">
        <v>779</v>
      </c>
      <c r="X153" s="116">
        <f>+X152-Y130</f>
        <v>9439500</v>
      </c>
      <c r="Y153" s="3"/>
      <c r="Z153" s="39"/>
      <c r="AA153" s="39"/>
      <c r="AB153" s="39"/>
    </row>
    <row r="155" spans="1:28">
      <c r="X155" s="72">
        <f>+Y130-E130</f>
        <v>97323500</v>
      </c>
    </row>
  </sheetData>
  <mergeCells count="99">
    <mergeCell ref="U131:AB131"/>
    <mergeCell ref="U137:W137"/>
    <mergeCell ref="Y137:AB137"/>
    <mergeCell ref="AA138:AB138"/>
    <mergeCell ref="U140:Y140"/>
    <mergeCell ref="Y128:AB128"/>
    <mergeCell ref="U129:W129"/>
    <mergeCell ref="Y129:AB129"/>
    <mergeCell ref="U130:W130"/>
    <mergeCell ref="Y130:AB130"/>
    <mergeCell ref="U87:AB87"/>
    <mergeCell ref="Y92:AB92"/>
    <mergeCell ref="U93:AB93"/>
    <mergeCell ref="Y106:AB106"/>
    <mergeCell ref="U107:AB107"/>
    <mergeCell ref="Y55:AB55"/>
    <mergeCell ref="U56:AB56"/>
    <mergeCell ref="Y63:AB63"/>
    <mergeCell ref="U64:AB64"/>
    <mergeCell ref="Y86:AB86"/>
    <mergeCell ref="U31:X31"/>
    <mergeCell ref="Y31:AB31"/>
    <mergeCell ref="U32:AB32"/>
    <mergeCell ref="Y50:AB50"/>
    <mergeCell ref="U51:AB51"/>
    <mergeCell ref="U3:AB3"/>
    <mergeCell ref="U12:AA12"/>
    <mergeCell ref="U13:AB13"/>
    <mergeCell ref="U14:U15"/>
    <mergeCell ref="V14:V15"/>
    <mergeCell ref="W14:W15"/>
    <mergeCell ref="X14:X15"/>
    <mergeCell ref="Y14:AB14"/>
    <mergeCell ref="K131:R131"/>
    <mergeCell ref="K137:M137"/>
    <mergeCell ref="O137:R137"/>
    <mergeCell ref="Q138:R138"/>
    <mergeCell ref="K140:O140"/>
    <mergeCell ref="O128:R128"/>
    <mergeCell ref="K129:M129"/>
    <mergeCell ref="O129:R129"/>
    <mergeCell ref="K130:M130"/>
    <mergeCell ref="O130:R130"/>
    <mergeCell ref="K87:R87"/>
    <mergeCell ref="O92:R92"/>
    <mergeCell ref="K93:R93"/>
    <mergeCell ref="O106:R106"/>
    <mergeCell ref="K107:R107"/>
    <mergeCell ref="O55:R55"/>
    <mergeCell ref="K56:R56"/>
    <mergeCell ref="O63:R63"/>
    <mergeCell ref="K64:R64"/>
    <mergeCell ref="O86:R86"/>
    <mergeCell ref="K31:N31"/>
    <mergeCell ref="O31:R31"/>
    <mergeCell ref="K32:R32"/>
    <mergeCell ref="O50:R50"/>
    <mergeCell ref="K51:R51"/>
    <mergeCell ref="K3:R3"/>
    <mergeCell ref="K12:Q12"/>
    <mergeCell ref="K13:R13"/>
    <mergeCell ref="K14:K15"/>
    <mergeCell ref="L14:L15"/>
    <mergeCell ref="M14:M15"/>
    <mergeCell ref="N14:N15"/>
    <mergeCell ref="O14:R14"/>
    <mergeCell ref="A140:E140"/>
    <mergeCell ref="A130:C130"/>
    <mergeCell ref="E130:H130"/>
    <mergeCell ref="A131:H131"/>
    <mergeCell ref="A137:C137"/>
    <mergeCell ref="E137:H137"/>
    <mergeCell ref="G138:H138"/>
    <mergeCell ref="A93:H93"/>
    <mergeCell ref="E106:H106"/>
    <mergeCell ref="A107:H107"/>
    <mergeCell ref="E128:H128"/>
    <mergeCell ref="A129:C129"/>
    <mergeCell ref="E129:H129"/>
    <mergeCell ref="E92:H92"/>
    <mergeCell ref="A31:D31"/>
    <mergeCell ref="E31:H31"/>
    <mergeCell ref="A32:H32"/>
    <mergeCell ref="E50:H50"/>
    <mergeCell ref="A51:H51"/>
    <mergeCell ref="E55:H55"/>
    <mergeCell ref="A56:H56"/>
    <mergeCell ref="E63:H63"/>
    <mergeCell ref="A64:H64"/>
    <mergeCell ref="E86:H86"/>
    <mergeCell ref="A87:H87"/>
    <mergeCell ref="A3:H3"/>
    <mergeCell ref="A12:G12"/>
    <mergeCell ref="A13:H13"/>
    <mergeCell ref="A14:A15"/>
    <mergeCell ref="B14:B15"/>
    <mergeCell ref="C14:C15"/>
    <mergeCell ref="D14:D15"/>
    <mergeCell ref="E14:H14"/>
  </mergeCells>
  <pageMargins left="0.41" right="0.11811023622047245" top="0.35" bottom="0.49" header="0.11811023622047245" footer="0.11811023622047245"/>
  <pageSetup paperSize="9" scale="73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43"/>
  <sheetViews>
    <sheetView workbookViewId="0"/>
  </sheetViews>
  <sheetFormatPr defaultRowHeight="15"/>
  <cols>
    <col min="1" max="1" width="71.5703125" bestFit="1" customWidth="1"/>
    <col min="2" max="2" width="11.5703125" bestFit="1" customWidth="1"/>
    <col min="3" max="3" width="34.85546875" bestFit="1" customWidth="1"/>
    <col min="4" max="4" width="10.5703125" bestFit="1" customWidth="1"/>
    <col min="5" max="5" width="70.7109375" bestFit="1" customWidth="1"/>
    <col min="6" max="6" width="10.5703125" bestFit="1" customWidth="1"/>
    <col min="7" max="7" width="41.28515625" bestFit="1" customWidth="1"/>
    <col min="8" max="8" width="12.5703125" bestFit="1" customWidth="1"/>
    <col min="9" max="9" width="47.28515625" bestFit="1" customWidth="1"/>
    <col min="10" max="10" width="10.5703125" bestFit="1" customWidth="1"/>
    <col min="11" max="11" width="11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>
      <c r="A2" s="23" t="s">
        <v>731</v>
      </c>
      <c r="B2" s="23">
        <v>6075000</v>
      </c>
      <c r="C2" s="15" t="s">
        <v>961</v>
      </c>
      <c r="D2" s="23">
        <v>300000</v>
      </c>
      <c r="E2" s="15" t="s">
        <v>956</v>
      </c>
      <c r="F2" s="22">
        <v>556000</v>
      </c>
      <c r="G2" s="14" t="s">
        <v>953</v>
      </c>
      <c r="H2" s="15">
        <v>400000</v>
      </c>
      <c r="I2" s="14"/>
      <c r="J2" s="15"/>
    </row>
    <row r="3" spans="1:10">
      <c r="A3" s="23" t="s">
        <v>263</v>
      </c>
      <c r="B3" s="23">
        <v>1540000</v>
      </c>
      <c r="C3" s="23" t="s">
        <v>410</v>
      </c>
      <c r="D3" s="23">
        <v>750000</v>
      </c>
      <c r="E3" s="15" t="s">
        <v>960</v>
      </c>
      <c r="F3" s="22">
        <v>1307000</v>
      </c>
      <c r="G3" s="15" t="s">
        <v>958</v>
      </c>
      <c r="H3" s="22">
        <v>200000</v>
      </c>
      <c r="I3" s="14"/>
      <c r="J3" s="15"/>
    </row>
    <row r="4" spans="1:10">
      <c r="A4" s="23" t="s">
        <v>969</v>
      </c>
      <c r="B4" s="23">
        <v>300000</v>
      </c>
      <c r="C4" s="23" t="s">
        <v>975</v>
      </c>
      <c r="D4" s="23">
        <v>150000</v>
      </c>
      <c r="E4" s="23"/>
      <c r="F4" s="23"/>
      <c r="G4" s="23" t="s">
        <v>968</v>
      </c>
      <c r="H4" s="23">
        <v>30000000</v>
      </c>
      <c r="I4" s="183"/>
      <c r="J4" s="30"/>
    </row>
    <row r="5" spans="1:10">
      <c r="A5" s="23" t="s">
        <v>903</v>
      </c>
      <c r="B5" s="23">
        <v>2982000</v>
      </c>
      <c r="C5" s="24"/>
      <c r="D5" s="23"/>
      <c r="E5" s="15"/>
      <c r="F5" s="23"/>
      <c r="G5" s="23" t="s">
        <v>970</v>
      </c>
      <c r="H5" s="23">
        <v>40000000</v>
      </c>
      <c r="I5" s="183"/>
      <c r="J5" s="183"/>
    </row>
    <row r="6" spans="1:10">
      <c r="A6" s="22"/>
      <c r="B6" s="22"/>
      <c r="C6" s="186"/>
      <c r="D6" s="185"/>
      <c r="E6" s="23"/>
      <c r="F6" s="23"/>
      <c r="G6" s="24" t="s">
        <v>973</v>
      </c>
      <c r="H6" s="23">
        <v>400000</v>
      </c>
      <c r="I6" s="23"/>
      <c r="J6" s="23"/>
    </row>
    <row r="7" spans="1:10">
      <c r="A7" s="22"/>
      <c r="B7" s="22"/>
      <c r="C7" s="30"/>
      <c r="D7" s="188"/>
      <c r="E7" s="183"/>
      <c r="F7" s="30"/>
      <c r="G7" s="23"/>
      <c r="H7" s="23"/>
      <c r="I7" s="14"/>
      <c r="J7" s="15"/>
    </row>
    <row r="8" spans="1:10">
      <c r="A8" s="22"/>
      <c r="B8" s="29"/>
      <c r="C8" s="30"/>
      <c r="D8" s="188"/>
      <c r="E8" s="30"/>
      <c r="F8" s="188"/>
      <c r="G8" s="24"/>
      <c r="H8" s="23"/>
      <c r="I8" s="30"/>
      <c r="J8" s="188"/>
    </row>
    <row r="9" spans="1:10">
      <c r="A9" s="193"/>
      <c r="B9" s="194"/>
      <c r="C9" s="194"/>
      <c r="D9" s="194"/>
      <c r="E9" s="194"/>
      <c r="F9" s="194"/>
      <c r="G9" s="119"/>
      <c r="H9" s="120"/>
      <c r="I9" s="193"/>
      <c r="J9" s="194"/>
    </row>
    <row r="10" spans="1:10">
      <c r="A10" s="68"/>
      <c r="B10" s="69"/>
      <c r="C10" s="69"/>
      <c r="D10" s="69"/>
      <c r="E10" s="69"/>
      <c r="F10" s="69"/>
      <c r="G10" s="119"/>
      <c r="H10" s="120"/>
      <c r="I10" s="68"/>
      <c r="J10" s="69"/>
    </row>
    <row r="11" spans="1:10">
      <c r="A11" s="68"/>
      <c r="B11" s="69"/>
      <c r="C11" s="69"/>
      <c r="D11" s="69"/>
      <c r="E11" s="69"/>
      <c r="F11" s="69"/>
      <c r="G11" s="119"/>
      <c r="H11" s="120"/>
      <c r="I11" s="68"/>
      <c r="J11" s="69"/>
    </row>
    <row r="12" spans="1:10">
      <c r="A12" s="68"/>
      <c r="B12" s="69"/>
      <c r="C12" s="69"/>
      <c r="D12" s="69"/>
      <c r="E12" s="69"/>
      <c r="F12" s="69"/>
      <c r="G12" s="119"/>
      <c r="H12" s="120"/>
      <c r="I12" s="68"/>
      <c r="J12" s="69"/>
    </row>
    <row r="13" spans="1:10">
      <c r="A13" s="68"/>
      <c r="B13" s="69"/>
      <c r="C13" s="69"/>
      <c r="D13" s="69"/>
      <c r="E13" s="69"/>
      <c r="F13" s="69"/>
      <c r="G13" s="119"/>
      <c r="H13" s="120"/>
      <c r="I13" s="68"/>
      <c r="J13" s="69"/>
    </row>
    <row r="14" spans="1:10">
      <c r="A14" s="68"/>
      <c r="B14" s="69"/>
      <c r="C14" s="69"/>
      <c r="D14" s="69"/>
      <c r="E14" s="69"/>
      <c r="F14" s="69"/>
      <c r="G14" s="119"/>
      <c r="H14" s="120"/>
      <c r="I14" s="68"/>
      <c r="J14" s="69"/>
    </row>
    <row r="15" spans="1:10">
      <c r="A15" s="68"/>
      <c r="B15" s="69"/>
      <c r="C15" s="69"/>
      <c r="D15" s="69"/>
      <c r="E15" s="69"/>
      <c r="F15" s="69"/>
      <c r="G15" s="119"/>
      <c r="H15" s="120"/>
      <c r="I15" s="68"/>
      <c r="J15" s="69"/>
    </row>
    <row r="16" spans="1:10">
      <c r="A16" s="68"/>
      <c r="B16" s="69"/>
      <c r="C16" s="69"/>
      <c r="D16" s="69"/>
      <c r="E16" s="69"/>
      <c r="F16" s="69"/>
      <c r="G16" s="315"/>
      <c r="H16" s="316"/>
      <c r="I16" s="68"/>
      <c r="J16" s="69"/>
    </row>
    <row r="17" spans="1:11">
      <c r="A17" s="68"/>
      <c r="B17" s="69"/>
      <c r="C17" s="69"/>
      <c r="D17" s="69"/>
      <c r="E17" s="69"/>
      <c r="F17" s="69"/>
      <c r="G17" s="315"/>
      <c r="H17" s="316"/>
      <c r="I17" s="68"/>
      <c r="J17" s="69"/>
    </row>
    <row r="18" spans="1:11">
      <c r="A18" s="68"/>
      <c r="B18" s="69"/>
      <c r="C18" s="69"/>
      <c r="D18" s="69"/>
      <c r="E18" s="69"/>
      <c r="F18" s="69"/>
      <c r="G18" s="23"/>
      <c r="H18" s="23"/>
      <c r="I18" s="68"/>
      <c r="J18" s="69"/>
    </row>
    <row r="19" spans="1:11">
      <c r="A19" s="68"/>
      <c r="B19" s="69"/>
      <c r="C19" s="69"/>
      <c r="D19" s="69"/>
      <c r="E19" s="69"/>
      <c r="F19" s="69"/>
      <c r="G19" s="119"/>
      <c r="H19" s="120"/>
      <c r="I19" s="68"/>
      <c r="J19" s="69"/>
    </row>
    <row r="20" spans="1:11">
      <c r="A20" s="70"/>
      <c r="B20" s="71">
        <f>SUM(B2:B18)</f>
        <v>10897000</v>
      </c>
      <c r="C20" s="71">
        <f t="shared" ref="C20:J20" si="0">SUM(C2:C18)</f>
        <v>0</v>
      </c>
      <c r="D20" s="71">
        <f t="shared" si="0"/>
        <v>1200000</v>
      </c>
      <c r="E20" s="71">
        <f t="shared" si="0"/>
        <v>0</v>
      </c>
      <c r="F20" s="71">
        <f t="shared" si="0"/>
        <v>1863000</v>
      </c>
      <c r="G20" s="71">
        <f t="shared" si="0"/>
        <v>0</v>
      </c>
      <c r="H20" s="71">
        <f>SUM(H2:H18)</f>
        <v>71000000</v>
      </c>
      <c r="I20" s="71">
        <f t="shared" si="0"/>
        <v>0</v>
      </c>
      <c r="J20" s="71">
        <f t="shared" si="0"/>
        <v>0</v>
      </c>
      <c r="K20" s="72">
        <f>+J20+H20+F20+B20</f>
        <v>83760000</v>
      </c>
    </row>
    <row r="24" spans="1:11">
      <c r="A24" s="57" t="s">
        <v>47</v>
      </c>
      <c r="B24" s="58"/>
      <c r="J24" s="72"/>
    </row>
    <row r="25" spans="1:11">
      <c r="A25" s="23" t="s">
        <v>962</v>
      </c>
      <c r="B25" s="23">
        <f>3398000-2450000</f>
        <v>948000</v>
      </c>
    </row>
    <row r="26" spans="1:11">
      <c r="A26" s="23" t="s">
        <v>965</v>
      </c>
      <c r="B26" s="23">
        <v>5363000</v>
      </c>
    </row>
    <row r="27" spans="1:11">
      <c r="A27" s="23" t="s">
        <v>966</v>
      </c>
      <c r="B27" s="23">
        <v>586000</v>
      </c>
    </row>
    <row r="28" spans="1:11">
      <c r="A28" s="23"/>
      <c r="B28" s="23"/>
    </row>
    <row r="29" spans="1:11">
      <c r="A29" s="22"/>
      <c r="B29" s="22"/>
    </row>
    <row r="30" spans="1:11">
      <c r="A30" s="22"/>
      <c r="B30" s="22"/>
    </row>
    <row r="31" spans="1:11">
      <c r="A31" s="22"/>
      <c r="B31" s="29"/>
    </row>
    <row r="32" spans="1:11">
      <c r="A32" s="193"/>
      <c r="B32" s="194"/>
    </row>
    <row r="33" spans="1:2">
      <c r="A33" s="68"/>
      <c r="B33" s="69"/>
    </row>
    <row r="34" spans="1:2">
      <c r="A34" s="68"/>
      <c r="B34" s="69"/>
    </row>
    <row r="35" spans="1:2">
      <c r="A35" s="68"/>
      <c r="B35" s="69"/>
    </row>
    <row r="36" spans="1:2">
      <c r="A36" s="68"/>
      <c r="B36" s="69"/>
    </row>
    <row r="37" spans="1:2">
      <c r="A37" s="68"/>
      <c r="B37" s="69"/>
    </row>
    <row r="38" spans="1:2">
      <c r="A38" s="68"/>
      <c r="B38" s="69"/>
    </row>
    <row r="39" spans="1:2">
      <c r="A39" s="68"/>
      <c r="B39" s="69"/>
    </row>
    <row r="40" spans="1:2">
      <c r="A40" s="68"/>
      <c r="B40" s="69"/>
    </row>
    <row r="41" spans="1:2">
      <c r="A41" s="68"/>
      <c r="B41" s="69"/>
    </row>
    <row r="42" spans="1:2">
      <c r="A42" s="68"/>
      <c r="B42" s="69"/>
    </row>
    <row r="43" spans="1:2">
      <c r="A43" s="70"/>
      <c r="B43" s="71">
        <f>SUM(B25:B41)</f>
        <v>6897000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S132"/>
  <sheetViews>
    <sheetView workbookViewId="0"/>
  </sheetViews>
  <sheetFormatPr defaultRowHeight="15"/>
  <cols>
    <col min="1" max="1" width="7.42578125" customWidth="1"/>
    <col min="2" max="2" width="9.7109375" bestFit="1" customWidth="1"/>
    <col min="3" max="3" width="57.42578125" customWidth="1"/>
    <col min="4" max="4" width="12" bestFit="1" customWidth="1"/>
    <col min="5" max="5" width="7.5703125" bestFit="1" customWidth="1"/>
    <col min="6" max="6" width="6.28515625" bestFit="1" customWidth="1"/>
    <col min="7" max="7" width="6" bestFit="1" customWidth="1"/>
    <col min="8" max="8" width="11.5703125" customWidth="1"/>
    <col min="10" max="10" width="7.42578125" customWidth="1"/>
    <col min="11" max="11" width="9.7109375" bestFit="1" customWidth="1"/>
    <col min="12" max="12" width="57.42578125" customWidth="1"/>
    <col min="13" max="13" width="12" bestFit="1" customWidth="1"/>
    <col min="14" max="14" width="7.5703125" bestFit="1" customWidth="1"/>
    <col min="15" max="15" width="6.28515625" bestFit="1" customWidth="1"/>
    <col min="16" max="16" width="6" bestFit="1" customWidth="1"/>
    <col min="17" max="17" width="11.5703125" customWidth="1"/>
    <col min="21" max="21" width="59" bestFit="1" customWidth="1"/>
    <col min="22" max="22" width="12" bestFit="1" customWidth="1"/>
    <col min="26" max="26" width="11" bestFit="1" customWidth="1"/>
    <col min="27" max="27" width="11.5703125" bestFit="1" customWidth="1"/>
    <col min="28" max="28" width="7.42578125" customWidth="1"/>
    <col min="29" max="29" width="10.42578125" bestFit="1" customWidth="1"/>
    <col min="30" max="30" width="57.42578125" customWidth="1"/>
    <col min="31" max="31" width="12" bestFit="1" customWidth="1"/>
    <col min="32" max="32" width="7.5703125" bestFit="1" customWidth="1"/>
    <col min="33" max="33" width="6.28515625" bestFit="1" customWidth="1"/>
    <col min="34" max="34" width="6" bestFit="1" customWidth="1"/>
    <col min="35" max="35" width="11.5703125" customWidth="1"/>
    <col min="37" max="37" width="12.5703125" bestFit="1" customWidth="1"/>
    <col min="38" max="38" width="7.42578125" customWidth="1"/>
    <col min="39" max="39" width="9.7109375" bestFit="1" customWidth="1"/>
    <col min="40" max="40" width="57.42578125" customWidth="1"/>
    <col min="41" max="41" width="12" bestFit="1" customWidth="1"/>
    <col min="42" max="42" width="7.5703125" bestFit="1" customWidth="1"/>
    <col min="43" max="43" width="6.28515625" bestFit="1" customWidth="1"/>
    <col min="44" max="44" width="6" bestFit="1" customWidth="1"/>
    <col min="45" max="45" width="11.5703125" customWidth="1"/>
  </cols>
  <sheetData>
    <row r="1" spans="1:45" ht="15.75">
      <c r="A1" s="347" t="s">
        <v>0</v>
      </c>
      <c r="B1" s="2"/>
      <c r="C1" s="3"/>
      <c r="D1" s="3"/>
      <c r="E1" s="3"/>
      <c r="F1" s="3"/>
      <c r="G1" s="3"/>
      <c r="H1" s="3"/>
      <c r="J1" s="347" t="s">
        <v>0</v>
      </c>
      <c r="K1" s="2"/>
      <c r="L1" s="3"/>
      <c r="M1" s="3"/>
      <c r="N1" s="3"/>
      <c r="O1" s="3"/>
      <c r="P1" s="3"/>
      <c r="Q1" s="3"/>
      <c r="S1" s="347" t="s">
        <v>0</v>
      </c>
      <c r="T1" s="2"/>
      <c r="U1" s="3"/>
      <c r="V1" s="3"/>
      <c r="W1" s="3"/>
      <c r="X1" s="3"/>
      <c r="Y1" s="3"/>
      <c r="Z1" s="3"/>
      <c r="AB1" s="347" t="s">
        <v>0</v>
      </c>
      <c r="AC1" s="2"/>
      <c r="AD1" s="3"/>
      <c r="AE1" s="3"/>
      <c r="AF1" s="3"/>
      <c r="AG1" s="3"/>
      <c r="AH1" s="3"/>
      <c r="AI1" s="3"/>
      <c r="AL1" s="347" t="s">
        <v>0</v>
      </c>
      <c r="AM1" s="2"/>
      <c r="AN1" s="3"/>
      <c r="AO1" s="3"/>
      <c r="AP1" s="3"/>
      <c r="AQ1" s="3"/>
      <c r="AR1" s="3"/>
      <c r="AS1" s="3"/>
    </row>
    <row r="2" spans="1:45" ht="15.75">
      <c r="A2" s="347" t="s">
        <v>1000</v>
      </c>
      <c r="B2" s="2"/>
      <c r="C2" s="3"/>
      <c r="D2" s="3"/>
      <c r="E2" s="3"/>
      <c r="F2" s="3"/>
      <c r="G2" s="3"/>
      <c r="H2" s="3"/>
      <c r="J2" s="347" t="s">
        <v>1080</v>
      </c>
      <c r="K2" s="2"/>
      <c r="L2" s="3"/>
      <c r="M2" s="3"/>
      <c r="N2" s="3"/>
      <c r="O2" s="3"/>
      <c r="P2" s="3"/>
      <c r="Q2" s="3"/>
      <c r="S2" s="347" t="s">
        <v>1077</v>
      </c>
      <c r="T2" s="2"/>
      <c r="U2" s="3"/>
      <c r="V2" s="3"/>
      <c r="W2" s="3"/>
      <c r="X2" s="3"/>
      <c r="Y2" s="3"/>
      <c r="Z2" s="3"/>
      <c r="AB2" s="347" t="s">
        <v>1081</v>
      </c>
      <c r="AC2" s="2"/>
      <c r="AD2" s="3"/>
      <c r="AE2" s="3"/>
      <c r="AF2" s="3"/>
      <c r="AG2" s="3"/>
      <c r="AH2" s="3"/>
      <c r="AI2" s="3"/>
      <c r="AL2" s="347" t="s">
        <v>1080</v>
      </c>
      <c r="AM2" s="2"/>
      <c r="AN2" s="3"/>
      <c r="AO2" s="3"/>
      <c r="AP2" s="3"/>
      <c r="AQ2" s="3"/>
      <c r="AR2" s="3"/>
      <c r="AS2" s="3"/>
    </row>
    <row r="3" spans="1:45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  <c r="S3" s="534" t="s">
        <v>1</v>
      </c>
      <c r="T3" s="534"/>
      <c r="U3" s="534"/>
      <c r="V3" s="534"/>
      <c r="W3" s="534"/>
      <c r="X3" s="534"/>
      <c r="Y3" s="534"/>
      <c r="Z3" s="534"/>
      <c r="AB3" s="534" t="s">
        <v>1</v>
      </c>
      <c r="AC3" s="534"/>
      <c r="AD3" s="534"/>
      <c r="AE3" s="534"/>
      <c r="AF3" s="534"/>
      <c r="AG3" s="534"/>
      <c r="AH3" s="534"/>
      <c r="AI3" s="534"/>
      <c r="AL3" s="534" t="s">
        <v>1</v>
      </c>
      <c r="AM3" s="534"/>
      <c r="AN3" s="534"/>
      <c r="AO3" s="534"/>
      <c r="AP3" s="534"/>
      <c r="AQ3" s="534"/>
      <c r="AR3" s="534"/>
      <c r="AS3" s="534"/>
    </row>
    <row r="4" spans="1:45">
      <c r="A4" s="4"/>
      <c r="B4" s="5"/>
      <c r="C4" s="6" t="s">
        <v>2</v>
      </c>
      <c r="D4" s="7">
        <v>2165000</v>
      </c>
      <c r="E4" s="6"/>
      <c r="F4" s="6"/>
      <c r="G4" s="6"/>
      <c r="H4" s="6"/>
      <c r="J4" s="4"/>
      <c r="K4" s="5"/>
      <c r="L4" s="6" t="s">
        <v>2</v>
      </c>
      <c r="M4" s="7">
        <v>2165000</v>
      </c>
      <c r="N4" s="6"/>
      <c r="O4" s="6"/>
      <c r="P4" s="6"/>
      <c r="Q4" s="6"/>
      <c r="S4" s="4"/>
      <c r="T4" s="5"/>
      <c r="U4" s="6" t="s">
        <v>2</v>
      </c>
      <c r="V4" s="7">
        <v>2165000</v>
      </c>
      <c r="W4" s="6"/>
      <c r="X4" s="6"/>
      <c r="Y4" s="6"/>
      <c r="Z4" s="6"/>
      <c r="AB4" s="4"/>
      <c r="AC4" s="5"/>
      <c r="AD4" s="6" t="s">
        <v>2</v>
      </c>
      <c r="AE4" s="7">
        <v>2165000</v>
      </c>
      <c r="AF4" s="6"/>
      <c r="AG4" s="6"/>
      <c r="AH4" s="6"/>
      <c r="AI4" s="6"/>
      <c r="AL4" s="4"/>
      <c r="AM4" s="5"/>
      <c r="AN4" s="6" t="s">
        <v>2</v>
      </c>
      <c r="AO4" s="7">
        <v>2165000</v>
      </c>
      <c r="AP4" s="6"/>
      <c r="AQ4" s="6"/>
      <c r="AR4" s="6"/>
      <c r="AS4" s="6"/>
    </row>
    <row r="5" spans="1:45">
      <c r="A5" s="4"/>
      <c r="B5" s="5"/>
      <c r="C5" s="6" t="s">
        <v>590</v>
      </c>
      <c r="D5" s="7" t="s">
        <v>849</v>
      </c>
      <c r="E5" s="6"/>
      <c r="F5" s="6"/>
      <c r="G5" s="6"/>
      <c r="H5" s="6"/>
      <c r="J5" s="4"/>
      <c r="K5" s="5"/>
      <c r="L5" s="6" t="s">
        <v>590</v>
      </c>
      <c r="M5" s="7" t="s">
        <v>849</v>
      </c>
      <c r="N5" s="6"/>
      <c r="O5" s="6"/>
      <c r="P5" s="6"/>
      <c r="Q5" s="6"/>
      <c r="S5" s="4"/>
      <c r="T5" s="5"/>
      <c r="U5" s="6" t="s">
        <v>590</v>
      </c>
      <c r="V5" s="7" t="s">
        <v>849</v>
      </c>
      <c r="W5" s="6"/>
      <c r="X5" s="6"/>
      <c r="Y5" s="6"/>
      <c r="Z5" s="6"/>
      <c r="AB5" s="4"/>
      <c r="AC5" s="5"/>
      <c r="AD5" s="6" t="s">
        <v>590</v>
      </c>
      <c r="AE5" s="7" t="s">
        <v>849</v>
      </c>
      <c r="AF5" s="6"/>
      <c r="AG5" s="6"/>
      <c r="AH5" s="6"/>
      <c r="AI5" s="6"/>
      <c r="AL5" s="4"/>
      <c r="AM5" s="5"/>
      <c r="AN5" s="6" t="s">
        <v>590</v>
      </c>
      <c r="AO5" s="7" t="s">
        <v>849</v>
      </c>
      <c r="AP5" s="6"/>
      <c r="AQ5" s="6"/>
      <c r="AR5" s="6"/>
      <c r="AS5" s="6"/>
    </row>
    <row r="6" spans="1:45">
      <c r="A6" s="4"/>
      <c r="B6" s="5"/>
      <c r="C6" s="6" t="s">
        <v>3</v>
      </c>
      <c r="D6" s="8">
        <v>1172815</v>
      </c>
      <c r="E6" s="6"/>
      <c r="F6" s="6"/>
      <c r="G6" s="6"/>
      <c r="H6" s="6"/>
      <c r="J6" s="4"/>
      <c r="K6" s="5"/>
      <c r="L6" s="6" t="s">
        <v>3</v>
      </c>
      <c r="M6" s="8">
        <v>1172815</v>
      </c>
      <c r="N6" s="6"/>
      <c r="O6" s="6"/>
      <c r="P6" s="6"/>
      <c r="Q6" s="6"/>
      <c r="S6" s="4"/>
      <c r="T6" s="5"/>
      <c r="U6" s="6" t="s">
        <v>3</v>
      </c>
      <c r="V6" s="8">
        <v>1172815</v>
      </c>
      <c r="W6" s="6"/>
      <c r="X6" s="6"/>
      <c r="Y6" s="6"/>
      <c r="Z6" s="6"/>
      <c r="AB6" s="4"/>
      <c r="AC6" s="5"/>
      <c r="AD6" s="6" t="s">
        <v>3</v>
      </c>
      <c r="AE6" s="8">
        <v>1172815</v>
      </c>
      <c r="AF6" s="6"/>
      <c r="AG6" s="6"/>
      <c r="AH6" s="6"/>
      <c r="AI6" s="6"/>
      <c r="AL6" s="4"/>
      <c r="AM6" s="5"/>
      <c r="AN6" s="6" t="s">
        <v>3</v>
      </c>
      <c r="AO6" s="8">
        <v>1172815</v>
      </c>
      <c r="AP6" s="6"/>
      <c r="AQ6" s="6"/>
      <c r="AR6" s="6"/>
      <c r="AS6" s="6"/>
    </row>
    <row r="7" spans="1:45">
      <c r="A7" s="4"/>
      <c r="B7" s="5"/>
      <c r="C7" s="6" t="s">
        <v>4</v>
      </c>
      <c r="D7" s="115">
        <v>1139810</v>
      </c>
      <c r="E7" s="6"/>
      <c r="F7" s="6"/>
      <c r="G7" s="6"/>
      <c r="H7" s="6"/>
      <c r="J7" s="4"/>
      <c r="K7" s="5"/>
      <c r="L7" s="6" t="s">
        <v>4</v>
      </c>
      <c r="M7" s="115">
        <v>1139810</v>
      </c>
      <c r="N7" s="6"/>
      <c r="O7" s="6"/>
      <c r="P7" s="6"/>
      <c r="Q7" s="6"/>
      <c r="S7" s="4"/>
      <c r="T7" s="5"/>
      <c r="U7" s="6" t="s">
        <v>4</v>
      </c>
      <c r="V7" s="115">
        <v>1139810</v>
      </c>
      <c r="W7" s="6"/>
      <c r="X7" s="6"/>
      <c r="Y7" s="6"/>
      <c r="Z7" s="6"/>
      <c r="AB7" s="4"/>
      <c r="AC7" s="5"/>
      <c r="AD7" s="6" t="s">
        <v>4</v>
      </c>
      <c r="AE7" s="115">
        <v>1139810</v>
      </c>
      <c r="AF7" s="6"/>
      <c r="AG7" s="6"/>
      <c r="AH7" s="6"/>
      <c r="AI7" s="6"/>
      <c r="AL7" s="4"/>
      <c r="AM7" s="5"/>
      <c r="AN7" s="6" t="s">
        <v>4</v>
      </c>
      <c r="AO7" s="115">
        <v>1139810</v>
      </c>
      <c r="AP7" s="6"/>
      <c r="AQ7" s="6"/>
      <c r="AR7" s="6"/>
      <c r="AS7" s="6"/>
    </row>
    <row r="8" spans="1:45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  <c r="S8" s="4"/>
      <c r="T8" s="5"/>
      <c r="U8" s="6" t="s">
        <v>5</v>
      </c>
      <c r="V8" s="6">
        <v>1146153</v>
      </c>
      <c r="W8" s="6"/>
      <c r="X8" s="6"/>
      <c r="Y8" s="6"/>
      <c r="Z8" s="6"/>
      <c r="AB8" s="4"/>
      <c r="AC8" s="5"/>
      <c r="AD8" s="6" t="s">
        <v>5</v>
      </c>
      <c r="AE8" s="6">
        <v>1146153</v>
      </c>
      <c r="AF8" s="6"/>
      <c r="AG8" s="6"/>
      <c r="AH8" s="6"/>
      <c r="AI8" s="6"/>
      <c r="AL8" s="4"/>
      <c r="AM8" s="5"/>
      <c r="AN8" s="6" t="s">
        <v>5</v>
      </c>
      <c r="AO8" s="6">
        <v>1146153</v>
      </c>
      <c r="AP8" s="6"/>
      <c r="AQ8" s="6"/>
      <c r="AR8" s="6"/>
      <c r="AS8" s="6"/>
    </row>
    <row r="9" spans="1:45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  <c r="S9" s="4"/>
      <c r="T9" s="5"/>
      <c r="U9" s="6" t="s">
        <v>6</v>
      </c>
      <c r="V9" s="6">
        <v>3297735.5133333281</v>
      </c>
      <c r="W9" s="6"/>
      <c r="X9" s="6"/>
      <c r="Y9" s="6"/>
      <c r="Z9" s="6"/>
      <c r="AB9" s="4"/>
      <c r="AC9" s="5"/>
      <c r="AD9" s="6" t="s">
        <v>6</v>
      </c>
      <c r="AE9" s="6">
        <v>3297735.5133333281</v>
      </c>
      <c r="AF9" s="6"/>
      <c r="AG9" s="6"/>
      <c r="AH9" s="6"/>
      <c r="AI9" s="6"/>
      <c r="AL9" s="4"/>
      <c r="AM9" s="5"/>
      <c r="AN9" s="6" t="s">
        <v>6</v>
      </c>
      <c r="AO9" s="6">
        <v>3297735.5133333281</v>
      </c>
      <c r="AP9" s="6"/>
      <c r="AQ9" s="6"/>
      <c r="AR9" s="6"/>
      <c r="AS9" s="6"/>
    </row>
    <row r="10" spans="1:45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J10" s="4"/>
      <c r="K10" s="5"/>
      <c r="L10" s="6" t="s">
        <v>7</v>
      </c>
      <c r="M10" s="6">
        <v>2363662</v>
      </c>
      <c r="N10" s="6"/>
      <c r="O10" s="6"/>
      <c r="P10" s="6"/>
      <c r="Q10" s="6"/>
      <c r="S10" s="4"/>
      <c r="T10" s="5"/>
      <c r="U10" s="6" t="s">
        <v>7</v>
      </c>
      <c r="V10" s="6">
        <v>2363662</v>
      </c>
      <c r="W10" s="6"/>
      <c r="X10" s="6"/>
      <c r="Y10" s="6"/>
      <c r="Z10" s="6"/>
      <c r="AB10" s="4"/>
      <c r="AC10" s="5"/>
      <c r="AD10" s="6" t="s">
        <v>7</v>
      </c>
      <c r="AE10" s="6">
        <v>2363662</v>
      </c>
      <c r="AF10" s="6"/>
      <c r="AG10" s="6"/>
      <c r="AH10" s="6"/>
      <c r="AI10" s="6"/>
      <c r="AL10" s="4"/>
      <c r="AM10" s="5"/>
      <c r="AN10" s="6" t="s">
        <v>7</v>
      </c>
      <c r="AO10" s="6">
        <v>2363662</v>
      </c>
      <c r="AP10" s="6"/>
      <c r="AQ10" s="6"/>
      <c r="AR10" s="6"/>
      <c r="AS10" s="6"/>
    </row>
    <row r="11" spans="1:45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  <c r="S11" s="4"/>
      <c r="T11" s="5"/>
      <c r="U11" s="6"/>
      <c r="V11" s="6"/>
      <c r="W11" s="6"/>
      <c r="X11" s="6"/>
      <c r="Y11" s="6"/>
      <c r="Z11" s="6"/>
      <c r="AB11" s="4"/>
      <c r="AC11" s="5"/>
      <c r="AD11" s="6"/>
      <c r="AE11" s="6"/>
      <c r="AF11" s="6"/>
      <c r="AG11" s="6"/>
      <c r="AH11" s="6"/>
      <c r="AI11" s="6"/>
      <c r="AL11" s="4"/>
      <c r="AM11" s="5"/>
      <c r="AN11" s="6"/>
      <c r="AO11" s="6"/>
      <c r="AP11" s="6"/>
      <c r="AQ11" s="6"/>
      <c r="AR11" s="6"/>
      <c r="AS11" s="6"/>
    </row>
    <row r="12" spans="1:45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11285175.513333328</v>
      </c>
      <c r="J12" s="531" t="s">
        <v>1071</v>
      </c>
      <c r="K12" s="532"/>
      <c r="L12" s="532"/>
      <c r="M12" s="532"/>
      <c r="N12" s="532"/>
      <c r="O12" s="532"/>
      <c r="P12" s="533"/>
      <c r="Q12" s="10">
        <f>SUM(M4:M10)</f>
        <v>11285175.513333328</v>
      </c>
      <c r="S12" s="531" t="s">
        <v>1071</v>
      </c>
      <c r="T12" s="532"/>
      <c r="U12" s="532"/>
      <c r="V12" s="532"/>
      <c r="W12" s="532"/>
      <c r="X12" s="532"/>
      <c r="Y12" s="533"/>
      <c r="Z12" s="10">
        <f>SUM(V4:V10)</f>
        <v>11285175.513333328</v>
      </c>
      <c r="AB12" s="531" t="s">
        <v>1071</v>
      </c>
      <c r="AC12" s="532"/>
      <c r="AD12" s="532"/>
      <c r="AE12" s="532"/>
      <c r="AF12" s="532"/>
      <c r="AG12" s="532"/>
      <c r="AH12" s="533"/>
      <c r="AI12" s="10">
        <f>SUM(AE4:AE10)</f>
        <v>11285175.513333328</v>
      </c>
      <c r="AL12" s="531" t="s">
        <v>1071</v>
      </c>
      <c r="AM12" s="532"/>
      <c r="AN12" s="532"/>
      <c r="AO12" s="532"/>
      <c r="AP12" s="532"/>
      <c r="AQ12" s="532"/>
      <c r="AR12" s="533"/>
      <c r="AS12" s="10">
        <f>SUM(AO4:AO10)</f>
        <v>11285175.513333328</v>
      </c>
    </row>
    <row r="13" spans="1:45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  <c r="S13" s="535" t="s">
        <v>8</v>
      </c>
      <c r="T13" s="535"/>
      <c r="U13" s="535"/>
      <c r="V13" s="535"/>
      <c r="W13" s="535"/>
      <c r="X13" s="535"/>
      <c r="Y13" s="535"/>
      <c r="Z13" s="535"/>
      <c r="AB13" s="535" t="s">
        <v>8</v>
      </c>
      <c r="AC13" s="535"/>
      <c r="AD13" s="535"/>
      <c r="AE13" s="535"/>
      <c r="AF13" s="535"/>
      <c r="AG13" s="535"/>
      <c r="AH13" s="535"/>
      <c r="AI13" s="535"/>
      <c r="AL13" s="535" t="s">
        <v>8</v>
      </c>
      <c r="AM13" s="535"/>
      <c r="AN13" s="535"/>
      <c r="AO13" s="535"/>
      <c r="AP13" s="535"/>
      <c r="AQ13" s="535"/>
      <c r="AR13" s="535"/>
      <c r="AS13" s="535"/>
    </row>
    <row r="14" spans="1:45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  <c r="S14" s="536" t="s">
        <v>9</v>
      </c>
      <c r="T14" s="537" t="s">
        <v>10</v>
      </c>
      <c r="U14" s="538" t="s">
        <v>11</v>
      </c>
      <c r="V14" s="538" t="s">
        <v>12</v>
      </c>
      <c r="W14" s="530" t="s">
        <v>13</v>
      </c>
      <c r="X14" s="530"/>
      <c r="Y14" s="530"/>
      <c r="Z14" s="530"/>
      <c r="AB14" s="536" t="s">
        <v>9</v>
      </c>
      <c r="AC14" s="537" t="s">
        <v>10</v>
      </c>
      <c r="AD14" s="538" t="s">
        <v>11</v>
      </c>
      <c r="AE14" s="538" t="s">
        <v>12</v>
      </c>
      <c r="AF14" s="530" t="s">
        <v>13</v>
      </c>
      <c r="AG14" s="530"/>
      <c r="AH14" s="530"/>
      <c r="AI14" s="530"/>
      <c r="AL14" s="536" t="s">
        <v>9</v>
      </c>
      <c r="AM14" s="537" t="s">
        <v>10</v>
      </c>
      <c r="AN14" s="538" t="s">
        <v>11</v>
      </c>
      <c r="AO14" s="538" t="s">
        <v>12</v>
      </c>
      <c r="AP14" s="530" t="s">
        <v>13</v>
      </c>
      <c r="AQ14" s="530"/>
      <c r="AR14" s="530"/>
      <c r="AS14" s="530"/>
    </row>
    <row r="15" spans="1:45">
      <c r="A15" s="536"/>
      <c r="B15" s="537"/>
      <c r="C15" s="538"/>
      <c r="D15" s="538"/>
      <c r="E15" s="342" t="s">
        <v>14</v>
      </c>
      <c r="F15" s="342" t="s">
        <v>15</v>
      </c>
      <c r="G15" s="342" t="s">
        <v>16</v>
      </c>
      <c r="H15" s="342" t="s">
        <v>17</v>
      </c>
      <c r="J15" s="536"/>
      <c r="K15" s="537"/>
      <c r="L15" s="538"/>
      <c r="M15" s="538"/>
      <c r="N15" s="350" t="s">
        <v>14</v>
      </c>
      <c r="O15" s="350" t="s">
        <v>15</v>
      </c>
      <c r="P15" s="350" t="s">
        <v>16</v>
      </c>
      <c r="Q15" s="350" t="s">
        <v>17</v>
      </c>
      <c r="S15" s="536"/>
      <c r="T15" s="537"/>
      <c r="U15" s="538"/>
      <c r="V15" s="538"/>
      <c r="W15" s="345" t="s">
        <v>14</v>
      </c>
      <c r="X15" s="345" t="s">
        <v>15</v>
      </c>
      <c r="Y15" s="345" t="s">
        <v>16</v>
      </c>
      <c r="Z15" s="345" t="s">
        <v>17</v>
      </c>
      <c r="AB15" s="536"/>
      <c r="AC15" s="537"/>
      <c r="AD15" s="538"/>
      <c r="AE15" s="538"/>
      <c r="AF15" s="355" t="s">
        <v>14</v>
      </c>
      <c r="AG15" s="355" t="s">
        <v>15</v>
      </c>
      <c r="AH15" s="355" t="s">
        <v>16</v>
      </c>
      <c r="AI15" s="355" t="s">
        <v>17</v>
      </c>
      <c r="AL15" s="536"/>
      <c r="AM15" s="537"/>
      <c r="AN15" s="538"/>
      <c r="AO15" s="538"/>
      <c r="AP15" s="355" t="s">
        <v>14</v>
      </c>
      <c r="AQ15" s="355" t="s">
        <v>15</v>
      </c>
      <c r="AR15" s="355" t="s">
        <v>16</v>
      </c>
      <c r="AS15" s="355" t="s">
        <v>17</v>
      </c>
    </row>
    <row r="16" spans="1:45">
      <c r="A16" s="12"/>
      <c r="B16" s="19" t="s">
        <v>1062</v>
      </c>
      <c r="C16" s="14" t="s">
        <v>1059</v>
      </c>
      <c r="D16" s="15">
        <v>450000</v>
      </c>
      <c r="E16" s="168"/>
      <c r="F16" s="168"/>
      <c r="G16" s="168"/>
      <c r="H16" s="168"/>
      <c r="J16" s="12"/>
      <c r="K16" s="19" t="s">
        <v>1062</v>
      </c>
      <c r="L16" s="14" t="s">
        <v>1059</v>
      </c>
      <c r="M16" s="15">
        <v>450000</v>
      </c>
      <c r="N16" s="168"/>
      <c r="O16" s="168"/>
      <c r="P16" s="168"/>
      <c r="Q16" s="168"/>
      <c r="S16" s="12"/>
      <c r="T16" s="19"/>
      <c r="U16" s="14"/>
      <c r="V16" s="15"/>
      <c r="W16" s="168"/>
      <c r="X16" s="168"/>
      <c r="Y16" s="168"/>
      <c r="Z16" s="168"/>
      <c r="AB16" s="12"/>
      <c r="AC16" s="19"/>
      <c r="AD16" s="14"/>
      <c r="AE16" s="15"/>
      <c r="AF16" s="168"/>
      <c r="AG16" s="168"/>
      <c r="AH16" s="168"/>
      <c r="AI16" s="168"/>
      <c r="AL16" s="12"/>
      <c r="AM16" s="19" t="s">
        <v>1062</v>
      </c>
      <c r="AN16" s="14" t="s">
        <v>1059</v>
      </c>
      <c r="AO16" s="15">
        <v>450000</v>
      </c>
      <c r="AP16" s="168"/>
      <c r="AQ16" s="168"/>
      <c r="AR16" s="168"/>
      <c r="AS16" s="168"/>
    </row>
    <row r="17" spans="1:45">
      <c r="A17" s="12"/>
      <c r="B17" s="19" t="s">
        <v>1062</v>
      </c>
      <c r="C17" s="14" t="s">
        <v>1001</v>
      </c>
      <c r="D17" s="15">
        <v>503000</v>
      </c>
      <c r="E17" s="16"/>
      <c r="F17" s="16"/>
      <c r="G17" s="16"/>
      <c r="H17" s="16"/>
      <c r="J17" s="12"/>
      <c r="K17" s="19" t="s">
        <v>1062</v>
      </c>
      <c r="L17" s="14" t="s">
        <v>1001</v>
      </c>
      <c r="M17" s="15"/>
      <c r="N17" s="16"/>
      <c r="O17" s="16"/>
      <c r="P17" s="16"/>
      <c r="Q17" s="16"/>
      <c r="S17" s="12"/>
      <c r="T17" s="19"/>
      <c r="U17" s="14"/>
      <c r="V17" s="15"/>
      <c r="W17" s="16"/>
      <c r="X17" s="16"/>
      <c r="Y17" s="16"/>
      <c r="Z17" s="16"/>
      <c r="AB17" s="12"/>
      <c r="AC17" s="19"/>
      <c r="AD17" s="14"/>
      <c r="AE17" s="15"/>
      <c r="AF17" s="16"/>
      <c r="AG17" s="16"/>
      <c r="AH17" s="16"/>
      <c r="AI17" s="16"/>
      <c r="AL17" s="12"/>
      <c r="AM17" s="19"/>
      <c r="AN17" s="14"/>
      <c r="AO17" s="15"/>
      <c r="AP17" s="16"/>
      <c r="AQ17" s="16"/>
      <c r="AR17" s="16"/>
      <c r="AS17" s="16"/>
    </row>
    <row r="18" spans="1:45">
      <c r="A18" s="12"/>
      <c r="B18" s="19" t="s">
        <v>1062</v>
      </c>
      <c r="C18" s="14" t="s">
        <v>1002</v>
      </c>
      <c r="D18" s="15">
        <v>503000</v>
      </c>
      <c r="E18" s="16"/>
      <c r="F18" s="16"/>
      <c r="G18" s="16"/>
      <c r="H18" s="16"/>
      <c r="J18" s="12"/>
      <c r="K18" s="19" t="s">
        <v>1062</v>
      </c>
      <c r="L18" s="14" t="s">
        <v>1002</v>
      </c>
      <c r="M18" s="15"/>
      <c r="N18" s="16"/>
      <c r="O18" s="16"/>
      <c r="P18" s="16"/>
      <c r="Q18" s="16"/>
      <c r="S18" s="12"/>
      <c r="T18" s="19"/>
      <c r="U18" s="14"/>
      <c r="V18" s="15"/>
      <c r="W18" s="16"/>
      <c r="X18" s="16"/>
      <c r="Y18" s="16"/>
      <c r="Z18" s="16"/>
      <c r="AB18" s="12"/>
      <c r="AC18" s="19"/>
      <c r="AD18" s="14"/>
      <c r="AE18" s="15"/>
      <c r="AF18" s="16"/>
      <c r="AG18" s="16"/>
      <c r="AH18" s="16"/>
      <c r="AI18" s="16"/>
      <c r="AL18" s="12"/>
      <c r="AM18" s="19"/>
      <c r="AN18" s="14"/>
      <c r="AO18" s="15"/>
      <c r="AP18" s="16"/>
      <c r="AQ18" s="16"/>
      <c r="AR18" s="16"/>
      <c r="AS18" s="16"/>
    </row>
    <row r="19" spans="1:45">
      <c r="A19" s="12"/>
      <c r="B19" s="19" t="s">
        <v>1062</v>
      </c>
      <c r="C19" s="14" t="s">
        <v>802</v>
      </c>
      <c r="D19" s="15">
        <v>185000</v>
      </c>
      <c r="E19" s="16"/>
      <c r="F19" s="16"/>
      <c r="G19" s="16"/>
      <c r="H19" s="16"/>
      <c r="J19" s="12"/>
      <c r="K19" s="19" t="s">
        <v>1062</v>
      </c>
      <c r="L19" s="14" t="s">
        <v>802</v>
      </c>
      <c r="M19" s="15"/>
      <c r="N19" s="16"/>
      <c r="O19" s="16"/>
      <c r="P19" s="16"/>
      <c r="Q19" s="16"/>
      <c r="S19" s="12"/>
      <c r="T19" s="19"/>
      <c r="U19" s="14"/>
      <c r="V19" s="15"/>
      <c r="W19" s="16"/>
      <c r="X19" s="16"/>
      <c r="Y19" s="16"/>
      <c r="Z19" s="16"/>
      <c r="AB19" s="12"/>
      <c r="AC19" s="19"/>
      <c r="AD19" s="14"/>
      <c r="AE19" s="15"/>
      <c r="AF19" s="16"/>
      <c r="AG19" s="16"/>
      <c r="AH19" s="16"/>
      <c r="AI19" s="16"/>
      <c r="AL19" s="12"/>
      <c r="AM19" s="19"/>
      <c r="AN19" s="14"/>
      <c r="AO19" s="15"/>
      <c r="AP19" s="16"/>
      <c r="AQ19" s="16"/>
      <c r="AR19" s="16"/>
      <c r="AS19" s="16"/>
    </row>
    <row r="20" spans="1:45">
      <c r="A20" s="12"/>
      <c r="B20" s="19" t="s">
        <v>1062</v>
      </c>
      <c r="C20" s="14" t="s">
        <v>1003</v>
      </c>
      <c r="D20" s="15">
        <v>450500</v>
      </c>
      <c r="E20" s="16"/>
      <c r="F20" s="16"/>
      <c r="G20" s="16"/>
      <c r="H20" s="16"/>
      <c r="J20" s="12"/>
      <c r="K20" s="19" t="s">
        <v>1062</v>
      </c>
      <c r="L20" s="14" t="s">
        <v>1003</v>
      </c>
      <c r="M20" s="15"/>
      <c r="N20" s="16"/>
      <c r="O20" s="16"/>
      <c r="P20" s="16"/>
      <c r="Q20" s="16"/>
      <c r="S20" s="12"/>
      <c r="T20" s="19"/>
      <c r="U20" s="14"/>
      <c r="V20" s="15"/>
      <c r="W20" s="16"/>
      <c r="X20" s="16"/>
      <c r="Y20" s="16"/>
      <c r="Z20" s="16"/>
      <c r="AB20" s="12"/>
      <c r="AC20" s="19"/>
      <c r="AD20" s="14"/>
      <c r="AE20" s="15"/>
      <c r="AF20" s="16"/>
      <c r="AG20" s="16"/>
      <c r="AH20" s="16"/>
      <c r="AI20" s="16"/>
      <c r="AL20" s="12"/>
      <c r="AM20" s="19"/>
      <c r="AN20" s="14"/>
      <c r="AO20" s="15"/>
      <c r="AP20" s="16"/>
      <c r="AQ20" s="16"/>
      <c r="AR20" s="16"/>
      <c r="AS20" s="16"/>
    </row>
    <row r="21" spans="1:45">
      <c r="A21" s="12"/>
      <c r="B21" s="19" t="s">
        <v>1062</v>
      </c>
      <c r="C21" s="14" t="s">
        <v>180</v>
      </c>
      <c r="D21" s="15">
        <v>1194000</v>
      </c>
      <c r="E21" s="16"/>
      <c r="F21" s="16"/>
      <c r="G21" s="16"/>
      <c r="H21" s="16"/>
      <c r="J21" s="12"/>
      <c r="K21" s="19" t="s">
        <v>1062</v>
      </c>
      <c r="L21" s="14" t="s">
        <v>180</v>
      </c>
      <c r="M21" s="15"/>
      <c r="N21" s="16"/>
      <c r="O21" s="16"/>
      <c r="P21" s="16"/>
      <c r="Q21" s="16"/>
      <c r="S21" s="12"/>
      <c r="T21" s="19"/>
      <c r="U21" s="14"/>
      <c r="V21" s="15"/>
      <c r="W21" s="16"/>
      <c r="X21" s="16"/>
      <c r="Y21" s="16"/>
      <c r="Z21" s="16"/>
      <c r="AB21" s="12"/>
      <c r="AC21" s="19"/>
      <c r="AD21" s="14"/>
      <c r="AE21" s="15"/>
      <c r="AF21" s="16"/>
      <c r="AG21" s="16"/>
      <c r="AH21" s="16"/>
      <c r="AI21" s="16"/>
      <c r="AL21" s="12"/>
      <c r="AM21" s="19"/>
      <c r="AN21" s="14"/>
      <c r="AO21" s="15"/>
      <c r="AP21" s="16"/>
      <c r="AQ21" s="16"/>
      <c r="AR21" s="16"/>
      <c r="AS21" s="16"/>
    </row>
    <row r="22" spans="1:45">
      <c r="A22" s="12"/>
      <c r="B22" s="19" t="s">
        <v>1062</v>
      </c>
      <c r="C22" s="14" t="s">
        <v>1005</v>
      </c>
      <c r="D22" s="15">
        <v>202500</v>
      </c>
      <c r="E22" s="16"/>
      <c r="F22" s="16"/>
      <c r="G22" s="16"/>
      <c r="H22" s="16"/>
      <c r="J22" s="12"/>
      <c r="K22" s="19" t="s">
        <v>1062</v>
      </c>
      <c r="L22" s="14" t="s">
        <v>1005</v>
      </c>
      <c r="M22" s="15"/>
      <c r="N22" s="16"/>
      <c r="O22" s="16"/>
      <c r="P22" s="16"/>
      <c r="Q22" s="16"/>
      <c r="S22" s="12"/>
      <c r="T22" s="19"/>
      <c r="U22" s="14"/>
      <c r="V22" s="15"/>
      <c r="W22" s="16"/>
      <c r="X22" s="16"/>
      <c r="Y22" s="16"/>
      <c r="Z22" s="16"/>
      <c r="AB22" s="12"/>
      <c r="AC22" s="19"/>
      <c r="AD22" s="14"/>
      <c r="AE22" s="15"/>
      <c r="AF22" s="16"/>
      <c r="AG22" s="16"/>
      <c r="AH22" s="16"/>
      <c r="AI22" s="16"/>
      <c r="AL22" s="12"/>
      <c r="AM22" s="19"/>
      <c r="AN22" s="14"/>
      <c r="AO22" s="15"/>
      <c r="AP22" s="16"/>
      <c r="AQ22" s="16"/>
      <c r="AR22" s="16"/>
      <c r="AS22" s="16"/>
    </row>
    <row r="23" spans="1:45">
      <c r="A23" s="12"/>
      <c r="B23" s="19" t="s">
        <v>1062</v>
      </c>
      <c r="C23" s="14" t="s">
        <v>1006</v>
      </c>
      <c r="D23" s="15">
        <v>100000</v>
      </c>
      <c r="E23" s="16"/>
      <c r="F23" s="16"/>
      <c r="G23" s="16"/>
      <c r="H23" s="16"/>
      <c r="J23" s="12"/>
      <c r="K23" s="19" t="s">
        <v>1062</v>
      </c>
      <c r="L23" s="14" t="s">
        <v>1006</v>
      </c>
      <c r="M23" s="15">
        <v>100000</v>
      </c>
      <c r="N23" s="16"/>
      <c r="O23" s="16"/>
      <c r="P23" s="16"/>
      <c r="Q23" s="16"/>
      <c r="S23" s="12"/>
      <c r="T23" s="19"/>
      <c r="U23" s="14"/>
      <c r="V23" s="15"/>
      <c r="W23" s="16"/>
      <c r="X23" s="16"/>
      <c r="Y23" s="16"/>
      <c r="Z23" s="16"/>
      <c r="AB23" s="12"/>
      <c r="AC23" s="19"/>
      <c r="AD23" s="14"/>
      <c r="AE23" s="15"/>
      <c r="AF23" s="16"/>
      <c r="AG23" s="16"/>
      <c r="AH23" s="16"/>
      <c r="AI23" s="16"/>
      <c r="AL23" s="12"/>
      <c r="AM23" s="19" t="s">
        <v>1062</v>
      </c>
      <c r="AN23" s="14" t="s">
        <v>1006</v>
      </c>
      <c r="AO23" s="15">
        <v>100000</v>
      </c>
      <c r="AP23" s="16"/>
      <c r="AQ23" s="16"/>
      <c r="AR23" s="16"/>
      <c r="AS23" s="16"/>
    </row>
    <row r="24" spans="1:45">
      <c r="A24" s="12"/>
      <c r="B24" s="19" t="s">
        <v>883</v>
      </c>
      <c r="C24" s="14" t="s">
        <v>1004</v>
      </c>
      <c r="D24" s="15">
        <v>270000</v>
      </c>
      <c r="E24" s="16"/>
      <c r="F24" s="16"/>
      <c r="G24" s="16"/>
      <c r="H24" s="16"/>
      <c r="J24" s="12"/>
      <c r="K24" s="19" t="s">
        <v>883</v>
      </c>
      <c r="L24" s="14" t="s">
        <v>1004</v>
      </c>
      <c r="M24" s="15">
        <v>270000</v>
      </c>
      <c r="N24" s="16"/>
      <c r="O24" s="16"/>
      <c r="P24" s="16"/>
      <c r="Q24" s="16"/>
      <c r="S24" s="12"/>
      <c r="T24" s="19" t="s">
        <v>883</v>
      </c>
      <c r="U24" s="356" t="s">
        <v>1004</v>
      </c>
      <c r="V24" s="155">
        <v>270000</v>
      </c>
      <c r="W24" s="16"/>
      <c r="X24" s="16"/>
      <c r="Y24" s="16"/>
      <c r="Z24" s="16"/>
      <c r="AB24" s="12"/>
      <c r="AC24" s="19"/>
      <c r="AD24" s="14"/>
      <c r="AE24" s="15"/>
      <c r="AF24" s="16"/>
      <c r="AG24" s="16"/>
      <c r="AH24" s="16"/>
      <c r="AI24" s="16"/>
      <c r="AL24" s="12"/>
      <c r="AM24" s="19"/>
      <c r="AN24" s="14"/>
      <c r="AO24" s="15"/>
      <c r="AP24" s="16"/>
      <c r="AQ24" s="16"/>
      <c r="AR24" s="16"/>
      <c r="AS24" s="16"/>
    </row>
    <row r="25" spans="1:45">
      <c r="A25" s="18"/>
      <c r="B25" s="19"/>
      <c r="C25" s="342" t="s">
        <v>20</v>
      </c>
      <c r="D25" s="10">
        <f>SUM(D16:D24)</f>
        <v>3858000</v>
      </c>
      <c r="E25" s="10"/>
      <c r="F25" s="10"/>
      <c r="G25" s="10"/>
      <c r="H25" s="10"/>
      <c r="J25" s="18"/>
      <c r="K25" s="19"/>
      <c r="L25" s="350" t="s">
        <v>20</v>
      </c>
      <c r="M25" s="10">
        <f>SUM(M16:M24)</f>
        <v>820000</v>
      </c>
      <c r="N25" s="10"/>
      <c r="O25" s="10"/>
      <c r="P25" s="10"/>
      <c r="Q25" s="10"/>
      <c r="S25" s="18"/>
      <c r="T25" s="19"/>
      <c r="U25" s="345" t="s">
        <v>20</v>
      </c>
      <c r="V25" s="10">
        <f>SUM(V16:V24)</f>
        <v>270000</v>
      </c>
      <c r="W25" s="10"/>
      <c r="X25" s="10"/>
      <c r="Y25" s="10"/>
      <c r="Z25" s="10"/>
      <c r="AB25" s="18"/>
      <c r="AC25" s="19"/>
      <c r="AD25" s="355" t="s">
        <v>20</v>
      </c>
      <c r="AE25" s="10">
        <f>SUM(AE16:AE24)</f>
        <v>0</v>
      </c>
      <c r="AF25" s="10"/>
      <c r="AG25" s="10"/>
      <c r="AH25" s="10"/>
      <c r="AI25" s="10"/>
      <c r="AL25" s="18"/>
      <c r="AM25" s="19"/>
      <c r="AN25" s="355" t="s">
        <v>20</v>
      </c>
      <c r="AO25" s="10">
        <f>SUM(AO16:AO24)</f>
        <v>550000</v>
      </c>
      <c r="AP25" s="10"/>
      <c r="AQ25" s="10"/>
      <c r="AR25" s="10"/>
      <c r="AS25" s="10"/>
    </row>
    <row r="26" spans="1:45">
      <c r="A26" s="20"/>
      <c r="B26" s="340"/>
      <c r="C26" s="152" t="s">
        <v>21</v>
      </c>
      <c r="D26" s="150"/>
      <c r="E26" s="150"/>
      <c r="F26" s="150"/>
      <c r="G26" s="151"/>
      <c r="H26" s="21">
        <f>+D25</f>
        <v>3858000</v>
      </c>
      <c r="J26" s="20"/>
      <c r="K26" s="351"/>
      <c r="L26" s="152" t="s">
        <v>21</v>
      </c>
      <c r="M26" s="150"/>
      <c r="N26" s="150"/>
      <c r="O26" s="150"/>
      <c r="P26" s="151"/>
      <c r="Q26" s="21">
        <f>+M25</f>
        <v>820000</v>
      </c>
      <c r="S26" s="20"/>
      <c r="T26" s="346"/>
      <c r="U26" s="152" t="s">
        <v>21</v>
      </c>
      <c r="V26" s="150"/>
      <c r="W26" s="150"/>
      <c r="X26" s="150"/>
      <c r="Y26" s="151"/>
      <c r="Z26" s="21">
        <f>+V25</f>
        <v>270000</v>
      </c>
      <c r="AB26" s="20"/>
      <c r="AC26" s="353"/>
      <c r="AD26" s="152" t="s">
        <v>21</v>
      </c>
      <c r="AE26" s="150"/>
      <c r="AF26" s="150"/>
      <c r="AG26" s="150"/>
      <c r="AH26" s="151"/>
      <c r="AI26" s="21">
        <f>+AE25</f>
        <v>0</v>
      </c>
      <c r="AL26" s="20"/>
      <c r="AM26" s="353"/>
      <c r="AN26" s="152" t="s">
        <v>21</v>
      </c>
      <c r="AO26" s="150"/>
      <c r="AP26" s="150"/>
      <c r="AQ26" s="150"/>
      <c r="AR26" s="151"/>
      <c r="AS26" s="21">
        <f>+AO25</f>
        <v>550000</v>
      </c>
    </row>
    <row r="27" spans="1:45">
      <c r="A27" s="526" t="s">
        <v>22</v>
      </c>
      <c r="B27" s="526"/>
      <c r="C27" s="526"/>
      <c r="D27" s="526"/>
      <c r="E27" s="526">
        <f>+H26</f>
        <v>3858000</v>
      </c>
      <c r="F27" s="526"/>
      <c r="G27" s="526"/>
      <c r="H27" s="526"/>
      <c r="J27" s="526" t="s">
        <v>22</v>
      </c>
      <c r="K27" s="526"/>
      <c r="L27" s="526"/>
      <c r="M27" s="526"/>
      <c r="N27" s="526">
        <f>+Q26</f>
        <v>820000</v>
      </c>
      <c r="O27" s="526"/>
      <c r="P27" s="526"/>
      <c r="Q27" s="526"/>
      <c r="S27" s="526" t="s">
        <v>22</v>
      </c>
      <c r="T27" s="526"/>
      <c r="U27" s="526"/>
      <c r="V27" s="526"/>
      <c r="W27" s="526">
        <f>+Z26</f>
        <v>270000</v>
      </c>
      <c r="X27" s="526"/>
      <c r="Y27" s="526"/>
      <c r="Z27" s="526"/>
      <c r="AB27" s="526" t="s">
        <v>22</v>
      </c>
      <c r="AC27" s="526"/>
      <c r="AD27" s="526"/>
      <c r="AE27" s="526"/>
      <c r="AF27" s="526">
        <f>+AI26</f>
        <v>0</v>
      </c>
      <c r="AG27" s="526"/>
      <c r="AH27" s="526"/>
      <c r="AI27" s="526"/>
      <c r="AL27" s="526" t="s">
        <v>22</v>
      </c>
      <c r="AM27" s="526"/>
      <c r="AN27" s="526"/>
      <c r="AO27" s="526"/>
      <c r="AP27" s="526">
        <f>+AS26</f>
        <v>550000</v>
      </c>
      <c r="AQ27" s="526"/>
      <c r="AR27" s="526"/>
      <c r="AS27" s="526"/>
    </row>
    <row r="28" spans="1:45">
      <c r="A28" s="524" t="s">
        <v>23</v>
      </c>
      <c r="B28" s="524"/>
      <c r="C28" s="524"/>
      <c r="D28" s="524"/>
      <c r="E28" s="524"/>
      <c r="F28" s="524"/>
      <c r="G28" s="524"/>
      <c r="H28" s="524"/>
      <c r="J28" s="524" t="s">
        <v>23</v>
      </c>
      <c r="K28" s="524"/>
      <c r="L28" s="524"/>
      <c r="M28" s="524"/>
      <c r="N28" s="524"/>
      <c r="O28" s="524"/>
      <c r="P28" s="524"/>
      <c r="Q28" s="524"/>
      <c r="S28" s="524" t="s">
        <v>23</v>
      </c>
      <c r="T28" s="524"/>
      <c r="U28" s="524"/>
      <c r="V28" s="524"/>
      <c r="W28" s="524"/>
      <c r="X28" s="524"/>
      <c r="Y28" s="524"/>
      <c r="Z28" s="524"/>
      <c r="AB28" s="524" t="s">
        <v>23</v>
      </c>
      <c r="AC28" s="524"/>
      <c r="AD28" s="524"/>
      <c r="AE28" s="524"/>
      <c r="AF28" s="524"/>
      <c r="AG28" s="524"/>
      <c r="AH28" s="524"/>
      <c r="AI28" s="524"/>
      <c r="AL28" s="524" t="s">
        <v>23</v>
      </c>
      <c r="AM28" s="524"/>
      <c r="AN28" s="524"/>
      <c r="AO28" s="524"/>
      <c r="AP28" s="524"/>
      <c r="AQ28" s="524"/>
      <c r="AR28" s="524"/>
      <c r="AS28" s="524"/>
    </row>
    <row r="29" spans="1:45">
      <c r="A29" s="12"/>
      <c r="B29" s="19" t="s">
        <v>957</v>
      </c>
      <c r="C29" s="15" t="s">
        <v>1060</v>
      </c>
      <c r="D29" s="22">
        <v>65000</v>
      </c>
      <c r="E29" s="22"/>
      <c r="F29" s="22"/>
      <c r="G29" s="16"/>
      <c r="H29" s="16"/>
      <c r="J29" s="12"/>
      <c r="K29" s="19" t="s">
        <v>957</v>
      </c>
      <c r="L29" s="15" t="s">
        <v>1060</v>
      </c>
      <c r="M29" s="22">
        <v>65000</v>
      </c>
      <c r="N29" s="22"/>
      <c r="O29" s="22"/>
      <c r="P29" s="16"/>
      <c r="Q29" s="16"/>
      <c r="S29" s="12"/>
      <c r="T29" s="19" t="s">
        <v>957</v>
      </c>
      <c r="U29" s="155" t="s">
        <v>1060</v>
      </c>
      <c r="V29" s="156">
        <v>65000</v>
      </c>
      <c r="W29" s="22"/>
      <c r="X29" s="22"/>
      <c r="Y29" s="16"/>
      <c r="Z29" s="16"/>
      <c r="AB29" s="12"/>
      <c r="AC29" s="19"/>
      <c r="AD29" s="15"/>
      <c r="AE29" s="22"/>
      <c r="AF29" s="22"/>
      <c r="AG29" s="22"/>
      <c r="AH29" s="16"/>
      <c r="AI29" s="16"/>
      <c r="AL29" s="12"/>
      <c r="AM29" s="19"/>
      <c r="AN29" s="15"/>
      <c r="AO29" s="22"/>
      <c r="AP29" s="22"/>
      <c r="AQ29" s="22"/>
      <c r="AR29" s="16"/>
      <c r="AS29" s="16"/>
    </row>
    <row r="30" spans="1:45">
      <c r="A30" s="12"/>
      <c r="B30" s="19" t="s">
        <v>1010</v>
      </c>
      <c r="C30" s="15" t="s">
        <v>1007</v>
      </c>
      <c r="D30" s="22">
        <v>750000</v>
      </c>
      <c r="E30" s="22"/>
      <c r="F30" s="22"/>
      <c r="G30" s="16"/>
      <c r="H30" s="16"/>
      <c r="J30" s="12"/>
      <c r="K30" s="19" t="s">
        <v>1010</v>
      </c>
      <c r="L30" s="15" t="s">
        <v>1007</v>
      </c>
      <c r="M30" s="22">
        <v>750000</v>
      </c>
      <c r="N30" s="22"/>
      <c r="O30" s="22"/>
      <c r="P30" s="16"/>
      <c r="Q30" s="16"/>
      <c r="S30" s="12"/>
      <c r="T30" s="19" t="s">
        <v>1010</v>
      </c>
      <c r="U30" s="155" t="s">
        <v>1007</v>
      </c>
      <c r="V30" s="156">
        <v>750000</v>
      </c>
      <c r="W30" s="22"/>
      <c r="X30" s="22"/>
      <c r="Y30" s="16"/>
      <c r="Z30" s="16"/>
      <c r="AB30" s="12"/>
      <c r="AC30" s="19"/>
      <c r="AD30" s="15"/>
      <c r="AE30" s="22"/>
      <c r="AF30" s="22"/>
      <c r="AG30" s="22"/>
      <c r="AH30" s="16"/>
      <c r="AI30" s="16"/>
      <c r="AL30" s="12"/>
      <c r="AM30" s="19"/>
      <c r="AN30" s="15"/>
      <c r="AO30" s="22"/>
      <c r="AP30" s="22"/>
      <c r="AQ30" s="22"/>
      <c r="AR30" s="16"/>
      <c r="AS30" s="16"/>
    </row>
    <row r="31" spans="1:45">
      <c r="A31" s="12"/>
      <c r="B31" s="19" t="s">
        <v>1010</v>
      </c>
      <c r="C31" s="15" t="s">
        <v>1009</v>
      </c>
      <c r="D31" s="22">
        <v>100000</v>
      </c>
      <c r="E31" s="22"/>
      <c r="F31" s="22"/>
      <c r="G31" s="16"/>
      <c r="H31" s="16"/>
      <c r="J31" s="12"/>
      <c r="K31" s="19" t="s">
        <v>1010</v>
      </c>
      <c r="L31" s="15" t="s">
        <v>1009</v>
      </c>
      <c r="M31" s="22">
        <v>100000</v>
      </c>
      <c r="N31" s="22"/>
      <c r="O31" s="22"/>
      <c r="P31" s="16"/>
      <c r="Q31" s="16"/>
      <c r="S31" s="12"/>
      <c r="T31" s="19" t="s">
        <v>1010</v>
      </c>
      <c r="U31" s="155" t="s">
        <v>1009</v>
      </c>
      <c r="V31" s="156">
        <v>100000</v>
      </c>
      <c r="W31" s="22"/>
      <c r="X31" s="22"/>
      <c r="Y31" s="16"/>
      <c r="Z31" s="16"/>
      <c r="AB31" s="12"/>
      <c r="AC31" s="19"/>
      <c r="AD31" s="15"/>
      <c r="AE31" s="22"/>
      <c r="AF31" s="22"/>
      <c r="AG31" s="22"/>
      <c r="AH31" s="16"/>
      <c r="AI31" s="16"/>
      <c r="AL31" s="12"/>
      <c r="AM31" s="19"/>
      <c r="AN31" s="15"/>
      <c r="AO31" s="22"/>
      <c r="AP31" s="22"/>
      <c r="AQ31" s="22"/>
      <c r="AR31" s="16"/>
      <c r="AS31" s="16"/>
    </row>
    <row r="32" spans="1:45">
      <c r="A32" s="12"/>
      <c r="B32" s="19" t="s">
        <v>1010</v>
      </c>
      <c r="C32" s="15" t="s">
        <v>1008</v>
      </c>
      <c r="D32" s="23">
        <v>150000</v>
      </c>
      <c r="E32" s="22"/>
      <c r="F32" s="22"/>
      <c r="G32" s="16"/>
      <c r="H32" s="16"/>
      <c r="J32" s="12"/>
      <c r="K32" s="19" t="s">
        <v>1010</v>
      </c>
      <c r="L32" s="15" t="s">
        <v>1008</v>
      </c>
      <c r="M32" s="23">
        <v>150000</v>
      </c>
      <c r="N32" s="22"/>
      <c r="O32" s="22"/>
      <c r="P32" s="16"/>
      <c r="Q32" s="16"/>
      <c r="S32" s="12"/>
      <c r="T32" s="19" t="s">
        <v>1010</v>
      </c>
      <c r="U32" s="155" t="s">
        <v>1008</v>
      </c>
      <c r="V32" s="154">
        <v>150000</v>
      </c>
      <c r="W32" s="22"/>
      <c r="X32" s="22"/>
      <c r="Y32" s="16"/>
      <c r="Z32" s="16"/>
      <c r="AB32" s="12"/>
      <c r="AC32" s="19"/>
      <c r="AD32" s="15"/>
      <c r="AE32" s="23"/>
      <c r="AF32" s="22"/>
      <c r="AG32" s="22"/>
      <c r="AH32" s="16"/>
      <c r="AI32" s="16"/>
      <c r="AL32" s="12"/>
      <c r="AM32" s="19"/>
      <c r="AN32" s="15"/>
      <c r="AO32" s="23"/>
      <c r="AP32" s="22"/>
      <c r="AQ32" s="22"/>
      <c r="AR32" s="16"/>
      <c r="AS32" s="16"/>
    </row>
    <row r="33" spans="1:45">
      <c r="A33" s="12"/>
      <c r="B33" s="19" t="s">
        <v>1011</v>
      </c>
      <c r="C33" s="15" t="s">
        <v>1013</v>
      </c>
      <c r="D33" s="23">
        <v>1196000</v>
      </c>
      <c r="E33" s="22"/>
      <c r="F33" s="22"/>
      <c r="G33" s="16"/>
      <c r="H33" s="16"/>
      <c r="J33" s="12"/>
      <c r="K33" s="19" t="s">
        <v>1011</v>
      </c>
      <c r="L33" s="15" t="s">
        <v>1013</v>
      </c>
      <c r="M33" s="23">
        <v>1196000</v>
      </c>
      <c r="N33" s="22"/>
      <c r="O33" s="22"/>
      <c r="P33" s="16"/>
      <c r="Q33" s="16"/>
      <c r="S33" s="12"/>
      <c r="T33" s="19" t="s">
        <v>1011</v>
      </c>
      <c r="U33" s="155" t="s">
        <v>1013</v>
      </c>
      <c r="V33" s="154">
        <v>1196000</v>
      </c>
      <c r="W33" s="22"/>
      <c r="X33" s="22"/>
      <c r="Y33" s="16"/>
      <c r="Z33" s="16"/>
      <c r="AB33" s="12"/>
      <c r="AC33" s="19"/>
      <c r="AD33" s="15"/>
      <c r="AE33" s="23"/>
      <c r="AF33" s="22"/>
      <c r="AG33" s="22"/>
      <c r="AH33" s="16"/>
      <c r="AI33" s="16"/>
      <c r="AL33" s="12"/>
      <c r="AM33" s="19" t="s">
        <v>1011</v>
      </c>
      <c r="AN33" s="15" t="s">
        <v>1013</v>
      </c>
      <c r="AO33" s="23">
        <v>1196000</v>
      </c>
      <c r="AP33" s="22"/>
      <c r="AQ33" s="22"/>
      <c r="AR33" s="16"/>
      <c r="AS33" s="16"/>
    </row>
    <row r="34" spans="1:45">
      <c r="A34" s="12"/>
      <c r="B34" s="19" t="s">
        <v>1015</v>
      </c>
      <c r="C34" s="15" t="s">
        <v>1012</v>
      </c>
      <c r="D34" s="23">
        <v>10000</v>
      </c>
      <c r="E34" s="22"/>
      <c r="F34" s="22"/>
      <c r="G34" s="16"/>
      <c r="H34" s="16"/>
      <c r="J34" s="12"/>
      <c r="K34" s="19" t="s">
        <v>1015</v>
      </c>
      <c r="L34" s="15" t="s">
        <v>1012</v>
      </c>
      <c r="M34" s="23">
        <v>10000</v>
      </c>
      <c r="N34" s="22"/>
      <c r="O34" s="22"/>
      <c r="P34" s="16"/>
      <c r="Q34" s="16"/>
      <c r="S34" s="12"/>
      <c r="T34" s="19" t="s">
        <v>1015</v>
      </c>
      <c r="U34" s="155" t="s">
        <v>1012</v>
      </c>
      <c r="V34" s="154">
        <v>10000</v>
      </c>
      <c r="W34" s="22"/>
      <c r="X34" s="22"/>
      <c r="Y34" s="16"/>
      <c r="Z34" s="16"/>
      <c r="AB34" s="12"/>
      <c r="AC34" s="19"/>
      <c r="AD34" s="15"/>
      <c r="AE34" s="23"/>
      <c r="AF34" s="22"/>
      <c r="AG34" s="22"/>
      <c r="AH34" s="16"/>
      <c r="AI34" s="16"/>
      <c r="AL34" s="12"/>
      <c r="AM34" s="19" t="s">
        <v>1015</v>
      </c>
      <c r="AN34" s="15" t="s">
        <v>1012</v>
      </c>
      <c r="AO34" s="23">
        <v>10000</v>
      </c>
      <c r="AP34" s="22"/>
      <c r="AQ34" s="22"/>
      <c r="AR34" s="16"/>
      <c r="AS34" s="16"/>
    </row>
    <row r="35" spans="1:45">
      <c r="A35" s="12"/>
      <c r="B35" s="19" t="s">
        <v>1015</v>
      </c>
      <c r="C35" s="15" t="s">
        <v>1014</v>
      </c>
      <c r="D35" s="23">
        <v>4096500</v>
      </c>
      <c r="E35" s="22"/>
      <c r="F35" s="22"/>
      <c r="G35" s="16"/>
      <c r="H35" s="16"/>
      <c r="J35" s="12"/>
      <c r="K35" s="19" t="s">
        <v>1015</v>
      </c>
      <c r="L35" s="15" t="s">
        <v>1014</v>
      </c>
      <c r="M35" s="23">
        <v>4096500</v>
      </c>
      <c r="N35" s="22"/>
      <c r="O35" s="22"/>
      <c r="P35" s="16"/>
      <c r="Q35" s="16"/>
      <c r="S35" s="12"/>
      <c r="T35" s="19" t="s">
        <v>1015</v>
      </c>
      <c r="U35" s="155" t="s">
        <v>1014</v>
      </c>
      <c r="V35" s="154">
        <v>4096500</v>
      </c>
      <c r="W35" s="22"/>
      <c r="X35" s="22"/>
      <c r="Y35" s="16"/>
      <c r="Z35" s="16"/>
      <c r="AB35" s="12"/>
      <c r="AC35" s="19"/>
      <c r="AD35" s="15"/>
      <c r="AE35" s="23"/>
      <c r="AF35" s="22"/>
      <c r="AG35" s="22"/>
      <c r="AH35" s="16"/>
      <c r="AI35" s="16"/>
      <c r="AL35" s="12"/>
      <c r="AM35" s="19"/>
      <c r="AN35" s="15"/>
      <c r="AO35" s="23"/>
      <c r="AP35" s="22"/>
      <c r="AQ35" s="22"/>
      <c r="AR35" s="16"/>
      <c r="AS35" s="16"/>
    </row>
    <row r="36" spans="1:45">
      <c r="A36" s="12"/>
      <c r="B36" s="19" t="s">
        <v>1015</v>
      </c>
      <c r="C36" s="15" t="s">
        <v>1016</v>
      </c>
      <c r="D36" s="23">
        <v>150000</v>
      </c>
      <c r="E36" s="22"/>
      <c r="F36" s="22"/>
      <c r="G36" s="16"/>
      <c r="H36" s="16"/>
      <c r="J36" s="12"/>
      <c r="K36" s="19" t="s">
        <v>1015</v>
      </c>
      <c r="L36" s="15" t="s">
        <v>1016</v>
      </c>
      <c r="M36" s="23">
        <v>150000</v>
      </c>
      <c r="N36" s="22"/>
      <c r="O36" s="22"/>
      <c r="P36" s="16"/>
      <c r="Q36" s="16"/>
      <c r="S36" s="12"/>
      <c r="T36" s="19" t="s">
        <v>1015</v>
      </c>
      <c r="U36" s="155" t="s">
        <v>1016</v>
      </c>
      <c r="V36" s="154">
        <v>150000</v>
      </c>
      <c r="W36" s="22"/>
      <c r="X36" s="22"/>
      <c r="Y36" s="16"/>
      <c r="Z36" s="16"/>
      <c r="AB36" s="12"/>
      <c r="AC36" s="19"/>
      <c r="AD36" s="15"/>
      <c r="AE36" s="23"/>
      <c r="AF36" s="22"/>
      <c r="AG36" s="22"/>
      <c r="AH36" s="16"/>
      <c r="AI36" s="16"/>
      <c r="AL36" s="12"/>
      <c r="AM36" s="19"/>
      <c r="AN36" s="15"/>
      <c r="AO36" s="23"/>
      <c r="AP36" s="22"/>
      <c r="AQ36" s="22"/>
      <c r="AR36" s="16"/>
      <c r="AS36" s="16"/>
    </row>
    <row r="37" spans="1:45">
      <c r="A37" s="12"/>
      <c r="B37" s="13" t="s">
        <v>1017</v>
      </c>
      <c r="C37" s="15" t="s">
        <v>1018</v>
      </c>
      <c r="D37" s="23">
        <v>1140000</v>
      </c>
      <c r="E37" s="22"/>
      <c r="F37" s="22"/>
      <c r="G37" s="16"/>
      <c r="H37" s="16"/>
      <c r="J37" s="12"/>
      <c r="K37" s="13" t="s">
        <v>1017</v>
      </c>
      <c r="L37" s="15" t="s">
        <v>1018</v>
      </c>
      <c r="M37" s="23">
        <v>1140000</v>
      </c>
      <c r="N37" s="22"/>
      <c r="O37" s="22"/>
      <c r="P37" s="16"/>
      <c r="Q37" s="16"/>
      <c r="S37" s="12"/>
      <c r="T37" s="13" t="s">
        <v>1017</v>
      </c>
      <c r="U37" s="155" t="s">
        <v>1018</v>
      </c>
      <c r="V37" s="154">
        <v>1140000</v>
      </c>
      <c r="W37" s="22"/>
      <c r="X37" s="22"/>
      <c r="Y37" s="16"/>
      <c r="Z37" s="16"/>
      <c r="AB37" s="12"/>
      <c r="AC37" s="13"/>
      <c r="AD37" s="15"/>
      <c r="AE37" s="23"/>
      <c r="AF37" s="22"/>
      <c r="AG37" s="22"/>
      <c r="AH37" s="16"/>
      <c r="AI37" s="16"/>
      <c r="AL37" s="12"/>
      <c r="AM37" s="13"/>
      <c r="AN37" s="15"/>
      <c r="AO37" s="23"/>
      <c r="AP37" s="22"/>
      <c r="AQ37" s="22"/>
      <c r="AR37" s="16"/>
      <c r="AS37" s="16"/>
    </row>
    <row r="38" spans="1:45">
      <c r="A38" s="12"/>
      <c r="B38" s="13" t="s">
        <v>1019</v>
      </c>
      <c r="C38" s="15" t="s">
        <v>1020</v>
      </c>
      <c r="D38" s="23">
        <v>875000</v>
      </c>
      <c r="E38" s="22"/>
      <c r="F38" s="22"/>
      <c r="G38" s="16"/>
      <c r="H38" s="16"/>
      <c r="J38" s="12"/>
      <c r="K38" s="13" t="s">
        <v>1019</v>
      </c>
      <c r="L38" s="15" t="s">
        <v>1020</v>
      </c>
      <c r="M38" s="23">
        <v>875000</v>
      </c>
      <c r="N38" s="22"/>
      <c r="O38" s="22"/>
      <c r="P38" s="16"/>
      <c r="Q38" s="16"/>
      <c r="S38" s="12"/>
      <c r="T38" s="13" t="s">
        <v>1019</v>
      </c>
      <c r="U38" s="155" t="s">
        <v>1020</v>
      </c>
      <c r="V38" s="154">
        <v>875000</v>
      </c>
      <c r="W38" s="22"/>
      <c r="X38" s="22"/>
      <c r="Y38" s="16"/>
      <c r="Z38" s="16"/>
      <c r="AB38" s="12"/>
      <c r="AC38" s="13"/>
      <c r="AD38" s="15"/>
      <c r="AE38" s="23"/>
      <c r="AF38" s="22"/>
      <c r="AG38" s="22"/>
      <c r="AH38" s="16"/>
      <c r="AI38" s="16"/>
      <c r="AL38" s="12"/>
      <c r="AM38" s="13"/>
      <c r="AN38" s="15"/>
      <c r="AO38" s="23"/>
      <c r="AP38" s="22"/>
      <c r="AQ38" s="22"/>
      <c r="AR38" s="16"/>
      <c r="AS38" s="16"/>
    </row>
    <row r="39" spans="1:45">
      <c r="A39" s="12"/>
      <c r="B39" s="13" t="s">
        <v>1021</v>
      </c>
      <c r="C39" s="15" t="s">
        <v>1024</v>
      </c>
      <c r="D39" s="23">
        <v>4256000</v>
      </c>
      <c r="E39" s="22"/>
      <c r="F39" s="22"/>
      <c r="G39" s="16"/>
      <c r="H39" s="16"/>
      <c r="J39" s="12"/>
      <c r="K39" s="13" t="s">
        <v>1021</v>
      </c>
      <c r="L39" s="15" t="s">
        <v>1024</v>
      </c>
      <c r="M39" s="23"/>
      <c r="N39" s="22"/>
      <c r="O39" s="22"/>
      <c r="P39" s="16"/>
      <c r="Q39" s="16"/>
      <c r="S39" s="12"/>
      <c r="T39" s="13"/>
      <c r="U39" s="15"/>
      <c r="V39" s="23"/>
      <c r="W39" s="22"/>
      <c r="X39" s="22"/>
      <c r="Y39" s="16"/>
      <c r="Z39" s="16"/>
      <c r="AB39" s="12"/>
      <c r="AC39" s="13"/>
      <c r="AD39" s="15"/>
      <c r="AE39" s="23"/>
      <c r="AF39" s="22"/>
      <c r="AG39" s="22"/>
      <c r="AH39" s="16"/>
      <c r="AI39" s="16"/>
      <c r="AL39" s="12"/>
      <c r="AM39" s="13"/>
      <c r="AN39" s="15"/>
      <c r="AO39" s="23"/>
      <c r="AP39" s="22"/>
      <c r="AQ39" s="22"/>
      <c r="AR39" s="16"/>
      <c r="AS39" s="16"/>
    </row>
    <row r="40" spans="1:45">
      <c r="A40" s="12"/>
      <c r="B40" s="13" t="s">
        <v>1022</v>
      </c>
      <c r="C40" s="15" t="s">
        <v>1023</v>
      </c>
      <c r="D40" s="23">
        <v>6121000</v>
      </c>
      <c r="E40" s="22"/>
      <c r="F40" s="22"/>
      <c r="G40" s="16"/>
      <c r="H40" s="16"/>
      <c r="J40" s="12"/>
      <c r="K40" s="13" t="s">
        <v>1022</v>
      </c>
      <c r="L40" s="15" t="s">
        <v>1023</v>
      </c>
      <c r="M40" s="23">
        <v>6121000</v>
      </c>
      <c r="N40" s="22"/>
      <c r="O40" s="22"/>
      <c r="P40" s="16"/>
      <c r="Q40" s="16"/>
      <c r="S40" s="12"/>
      <c r="T40" s="13" t="s">
        <v>1022</v>
      </c>
      <c r="U40" s="155" t="s">
        <v>1023</v>
      </c>
      <c r="V40" s="154">
        <v>6121000</v>
      </c>
      <c r="W40" s="22"/>
      <c r="X40" s="22"/>
      <c r="Y40" s="16"/>
      <c r="Z40" s="16"/>
      <c r="AB40" s="12"/>
      <c r="AC40" s="13"/>
      <c r="AD40" s="15"/>
      <c r="AE40" s="23"/>
      <c r="AF40" s="22"/>
      <c r="AG40" s="22"/>
      <c r="AH40" s="16"/>
      <c r="AI40" s="16"/>
      <c r="AL40" s="12"/>
      <c r="AM40" s="13"/>
      <c r="AN40" s="15"/>
      <c r="AO40" s="23"/>
      <c r="AP40" s="22"/>
      <c r="AQ40" s="22"/>
      <c r="AR40" s="16"/>
      <c r="AS40" s="16"/>
    </row>
    <row r="41" spans="1:45">
      <c r="A41" s="12"/>
      <c r="B41" s="13" t="s">
        <v>1022</v>
      </c>
      <c r="C41" s="15" t="s">
        <v>961</v>
      </c>
      <c r="D41" s="23">
        <v>150000</v>
      </c>
      <c r="E41" s="22"/>
      <c r="F41" s="22"/>
      <c r="G41" s="16"/>
      <c r="H41" s="16"/>
      <c r="J41" s="12"/>
      <c r="K41" s="13" t="s">
        <v>1022</v>
      </c>
      <c r="L41" s="15" t="s">
        <v>961</v>
      </c>
      <c r="M41" s="23">
        <v>150000</v>
      </c>
      <c r="N41" s="22"/>
      <c r="O41" s="22"/>
      <c r="P41" s="16"/>
      <c r="Q41" s="16"/>
      <c r="S41" s="12"/>
      <c r="T41" s="13" t="s">
        <v>1022</v>
      </c>
      <c r="U41" s="155" t="s">
        <v>961</v>
      </c>
      <c r="V41" s="154">
        <v>150000</v>
      </c>
      <c r="W41" s="22"/>
      <c r="X41" s="22"/>
      <c r="Y41" s="16"/>
      <c r="Z41" s="16"/>
      <c r="AB41" s="12"/>
      <c r="AC41" s="13"/>
      <c r="AD41" s="15"/>
      <c r="AE41" s="23"/>
      <c r="AF41" s="22"/>
      <c r="AG41" s="22"/>
      <c r="AH41" s="16"/>
      <c r="AI41" s="16"/>
      <c r="AL41" s="12"/>
      <c r="AM41" s="13"/>
      <c r="AN41" s="15"/>
      <c r="AO41" s="23"/>
      <c r="AP41" s="22"/>
      <c r="AQ41" s="22"/>
      <c r="AR41" s="16"/>
      <c r="AS41" s="16"/>
    </row>
    <row r="42" spans="1:45">
      <c r="A42" s="12"/>
      <c r="B42" s="13" t="s">
        <v>1022</v>
      </c>
      <c r="C42" s="15" t="s">
        <v>1025</v>
      </c>
      <c r="D42" s="23">
        <v>138000</v>
      </c>
      <c r="E42" s="22"/>
      <c r="F42" s="22"/>
      <c r="G42" s="16"/>
      <c r="H42" s="16"/>
      <c r="J42" s="12"/>
      <c r="K42" s="13" t="s">
        <v>1022</v>
      </c>
      <c r="L42" s="15" t="s">
        <v>1025</v>
      </c>
      <c r="M42" s="23">
        <v>138000</v>
      </c>
      <c r="N42" s="22"/>
      <c r="O42" s="22"/>
      <c r="P42" s="16"/>
      <c r="Q42" s="16"/>
      <c r="S42" s="12"/>
      <c r="T42" s="13"/>
      <c r="U42" s="15"/>
      <c r="V42" s="23"/>
      <c r="W42" s="22"/>
      <c r="X42" s="22"/>
      <c r="Y42" s="16"/>
      <c r="Z42" s="16"/>
      <c r="AB42" s="12"/>
      <c r="AC42" s="13"/>
      <c r="AD42" s="15"/>
      <c r="AE42" s="23"/>
      <c r="AF42" s="22"/>
      <c r="AG42" s="22"/>
      <c r="AH42" s="16"/>
      <c r="AI42" s="16"/>
      <c r="AL42" s="12"/>
      <c r="AM42" s="13" t="s">
        <v>1022</v>
      </c>
      <c r="AN42" s="15" t="s">
        <v>1025</v>
      </c>
      <c r="AO42" s="23">
        <v>138000</v>
      </c>
      <c r="AP42" s="22"/>
      <c r="AQ42" s="22"/>
      <c r="AR42" s="16"/>
      <c r="AS42" s="16"/>
    </row>
    <row r="43" spans="1:45">
      <c r="A43" s="12"/>
      <c r="B43" s="13" t="s">
        <v>1064</v>
      </c>
      <c r="C43" s="22" t="s">
        <v>1063</v>
      </c>
      <c r="D43" s="22">
        <v>450000</v>
      </c>
      <c r="E43" s="345"/>
      <c r="F43" s="345"/>
      <c r="G43" s="345"/>
      <c r="H43" s="345"/>
      <c r="J43" s="12"/>
      <c r="K43" s="13" t="s">
        <v>1064</v>
      </c>
      <c r="L43" s="22" t="s">
        <v>1063</v>
      </c>
      <c r="M43" s="22">
        <v>450000</v>
      </c>
      <c r="N43" s="350"/>
      <c r="O43" s="350"/>
      <c r="P43" s="350"/>
      <c r="Q43" s="350"/>
      <c r="S43" s="12"/>
      <c r="T43" s="13" t="s">
        <v>1064</v>
      </c>
      <c r="U43" s="156" t="s">
        <v>1063</v>
      </c>
      <c r="V43" s="156">
        <v>450000</v>
      </c>
      <c r="W43" s="345"/>
      <c r="X43" s="345"/>
      <c r="Y43" s="345"/>
      <c r="Z43" s="345"/>
      <c r="AB43" s="12"/>
      <c r="AC43" s="13"/>
      <c r="AD43" s="22"/>
      <c r="AE43" s="22"/>
      <c r="AF43" s="355"/>
      <c r="AG43" s="355"/>
      <c r="AH43" s="355"/>
      <c r="AI43" s="355"/>
      <c r="AL43" s="12"/>
      <c r="AM43" s="13"/>
      <c r="AN43" s="22"/>
      <c r="AO43" s="22"/>
      <c r="AP43" s="355"/>
      <c r="AQ43" s="355"/>
      <c r="AR43" s="355"/>
      <c r="AS43" s="355"/>
    </row>
    <row r="44" spans="1:45">
      <c r="A44" s="12"/>
      <c r="B44" s="13"/>
      <c r="C44" s="15"/>
      <c r="D44" s="23"/>
      <c r="E44" s="22"/>
      <c r="F44" s="22"/>
      <c r="G44" s="16"/>
      <c r="H44" s="16"/>
      <c r="J44" s="12"/>
      <c r="K44" s="13"/>
      <c r="L44" s="15"/>
      <c r="M44" s="23"/>
      <c r="N44" s="22"/>
      <c r="O44" s="22"/>
      <c r="P44" s="16"/>
      <c r="Q44" s="16"/>
      <c r="S44" s="12"/>
      <c r="T44" s="13"/>
      <c r="U44" s="15"/>
      <c r="V44" s="23"/>
      <c r="W44" s="22"/>
      <c r="X44" s="22"/>
      <c r="Y44" s="16"/>
      <c r="Z44" s="16"/>
      <c r="AB44" s="12"/>
      <c r="AC44" s="13"/>
      <c r="AD44" s="15"/>
      <c r="AE44" s="23"/>
      <c r="AF44" s="22"/>
      <c r="AG44" s="22"/>
      <c r="AH44" s="16"/>
      <c r="AI44" s="16"/>
      <c r="AL44" s="12"/>
      <c r="AM44" s="13"/>
      <c r="AN44" s="15"/>
      <c r="AO44" s="23"/>
      <c r="AP44" s="22"/>
      <c r="AQ44" s="22"/>
      <c r="AR44" s="16"/>
      <c r="AS44" s="16"/>
    </row>
    <row r="45" spans="1:45">
      <c r="A45" s="25"/>
      <c r="B45" s="19"/>
      <c r="C45" s="26" t="s">
        <v>24</v>
      </c>
      <c r="D45" s="27">
        <f>SUM(D29:D44)</f>
        <v>19647500</v>
      </c>
      <c r="E45" s="27"/>
      <c r="F45" s="27"/>
      <c r="G45" s="27"/>
      <c r="H45" s="27"/>
      <c r="J45" s="25"/>
      <c r="K45" s="19"/>
      <c r="L45" s="26" t="s">
        <v>24</v>
      </c>
      <c r="M45" s="27">
        <f>SUM(M29:M44)</f>
        <v>15391500</v>
      </c>
      <c r="N45" s="27"/>
      <c r="O45" s="27"/>
      <c r="P45" s="27"/>
      <c r="Q45" s="27"/>
      <c r="S45" s="25"/>
      <c r="T45" s="19"/>
      <c r="U45" s="26" t="s">
        <v>24</v>
      </c>
      <c r="V45" s="27">
        <f>SUM(V29:V44)</f>
        <v>15253500</v>
      </c>
      <c r="W45" s="27"/>
      <c r="X45" s="27"/>
      <c r="Y45" s="27"/>
      <c r="Z45" s="27"/>
      <c r="AB45" s="25"/>
      <c r="AC45" s="19"/>
      <c r="AD45" s="26" t="s">
        <v>24</v>
      </c>
      <c r="AE45" s="27">
        <f>SUM(AE29:AE44)</f>
        <v>0</v>
      </c>
      <c r="AF45" s="27"/>
      <c r="AG45" s="27"/>
      <c r="AH45" s="27"/>
      <c r="AI45" s="27"/>
      <c r="AL45" s="25"/>
      <c r="AM45" s="19"/>
      <c r="AN45" s="26" t="s">
        <v>24</v>
      </c>
      <c r="AO45" s="27">
        <f>SUM(AO29:AO44)</f>
        <v>1344000</v>
      </c>
      <c r="AP45" s="27"/>
      <c r="AQ45" s="27"/>
      <c r="AR45" s="27"/>
      <c r="AS45" s="27"/>
    </row>
    <row r="46" spans="1:45">
      <c r="A46" s="20"/>
      <c r="B46" s="19"/>
      <c r="C46" s="342" t="s">
        <v>21</v>
      </c>
      <c r="D46" s="10"/>
      <c r="E46" s="530">
        <f>D45</f>
        <v>19647500</v>
      </c>
      <c r="F46" s="530"/>
      <c r="G46" s="530"/>
      <c r="H46" s="530"/>
      <c r="J46" s="20"/>
      <c r="K46" s="19"/>
      <c r="L46" s="350" t="s">
        <v>21</v>
      </c>
      <c r="M46" s="10"/>
      <c r="N46" s="530">
        <f>M45</f>
        <v>15391500</v>
      </c>
      <c r="O46" s="530"/>
      <c r="P46" s="530"/>
      <c r="Q46" s="530"/>
      <c r="S46" s="20"/>
      <c r="T46" s="19"/>
      <c r="U46" s="345" t="s">
        <v>21</v>
      </c>
      <c r="V46" s="10"/>
      <c r="W46" s="530">
        <f>V45</f>
        <v>15253500</v>
      </c>
      <c r="X46" s="530"/>
      <c r="Y46" s="530"/>
      <c r="Z46" s="530"/>
      <c r="AB46" s="20"/>
      <c r="AC46" s="19"/>
      <c r="AD46" s="355" t="s">
        <v>21</v>
      </c>
      <c r="AE46" s="10"/>
      <c r="AF46" s="530">
        <f>AE45</f>
        <v>0</v>
      </c>
      <c r="AG46" s="530"/>
      <c r="AH46" s="530"/>
      <c r="AI46" s="530"/>
      <c r="AL46" s="20"/>
      <c r="AM46" s="19"/>
      <c r="AN46" s="355" t="s">
        <v>21</v>
      </c>
      <c r="AO46" s="10"/>
      <c r="AP46" s="530">
        <f>AO45</f>
        <v>1344000</v>
      </c>
      <c r="AQ46" s="530"/>
      <c r="AR46" s="530"/>
      <c r="AS46" s="530"/>
    </row>
    <row r="47" spans="1:45">
      <c r="A47" s="524" t="s">
        <v>1029</v>
      </c>
      <c r="B47" s="524"/>
      <c r="C47" s="524"/>
      <c r="D47" s="524"/>
      <c r="E47" s="524"/>
      <c r="F47" s="524"/>
      <c r="G47" s="524"/>
      <c r="H47" s="524"/>
      <c r="J47" s="524" t="s">
        <v>1029</v>
      </c>
      <c r="K47" s="524"/>
      <c r="L47" s="524"/>
      <c r="M47" s="524"/>
      <c r="N47" s="524"/>
      <c r="O47" s="524"/>
      <c r="P47" s="524"/>
      <c r="Q47" s="524"/>
      <c r="S47" s="524" t="s">
        <v>1029</v>
      </c>
      <c r="T47" s="524"/>
      <c r="U47" s="524"/>
      <c r="V47" s="524"/>
      <c r="W47" s="524"/>
      <c r="X47" s="524"/>
      <c r="Y47" s="524"/>
      <c r="Z47" s="524"/>
      <c r="AB47" s="524" t="s">
        <v>1029</v>
      </c>
      <c r="AC47" s="524"/>
      <c r="AD47" s="524"/>
      <c r="AE47" s="524"/>
      <c r="AF47" s="524"/>
      <c r="AG47" s="524"/>
      <c r="AH47" s="524"/>
      <c r="AI47" s="524"/>
      <c r="AL47" s="524" t="s">
        <v>1029</v>
      </c>
      <c r="AM47" s="524"/>
      <c r="AN47" s="524"/>
      <c r="AO47" s="524"/>
      <c r="AP47" s="524"/>
      <c r="AQ47" s="524"/>
      <c r="AR47" s="524"/>
      <c r="AS47" s="524"/>
    </row>
    <row r="48" spans="1:45">
      <c r="A48" s="28"/>
      <c r="B48" s="23" t="s">
        <v>1026</v>
      </c>
      <c r="C48" s="23" t="s">
        <v>1027</v>
      </c>
      <c r="D48" s="23">
        <v>960000</v>
      </c>
      <c r="E48" s="28"/>
      <c r="F48" s="28"/>
      <c r="G48" s="28"/>
      <c r="H48" s="28"/>
      <c r="J48" s="28"/>
      <c r="K48" s="23" t="s">
        <v>1026</v>
      </c>
      <c r="L48" s="23" t="s">
        <v>1027</v>
      </c>
      <c r="M48" s="23">
        <v>960000</v>
      </c>
      <c r="N48" s="28"/>
      <c r="O48" s="28"/>
      <c r="P48" s="28"/>
      <c r="Q48" s="28"/>
      <c r="S48" s="28"/>
      <c r="T48" s="23" t="s">
        <v>1026</v>
      </c>
      <c r="U48" s="154" t="s">
        <v>1073</v>
      </c>
      <c r="V48" s="154">
        <v>960000</v>
      </c>
      <c r="W48" s="28"/>
      <c r="X48" s="28"/>
      <c r="Y48" s="28"/>
      <c r="Z48" s="28"/>
      <c r="AB48" s="28"/>
      <c r="AC48" s="23"/>
      <c r="AD48" s="23"/>
      <c r="AE48" s="23"/>
      <c r="AF48" s="28"/>
      <c r="AG48" s="28"/>
      <c r="AH48" s="28"/>
      <c r="AI48" s="28"/>
      <c r="AL48" s="28"/>
      <c r="AM48" s="23"/>
      <c r="AN48" s="23"/>
      <c r="AO48" s="23"/>
      <c r="AP48" s="28"/>
      <c r="AQ48" s="28"/>
      <c r="AR48" s="28"/>
      <c r="AS48" s="28"/>
    </row>
    <row r="49" spans="1:45">
      <c r="A49" s="28"/>
      <c r="B49" s="23" t="s">
        <v>1026</v>
      </c>
      <c r="C49" s="23" t="s">
        <v>1028</v>
      </c>
      <c r="D49" s="23">
        <v>400000</v>
      </c>
      <c r="E49" s="28"/>
      <c r="F49" s="28"/>
      <c r="G49" s="28"/>
      <c r="H49" s="28"/>
      <c r="J49" s="28"/>
      <c r="K49" s="23" t="s">
        <v>1026</v>
      </c>
      <c r="L49" s="23" t="s">
        <v>1028</v>
      </c>
      <c r="M49" s="23">
        <v>400000</v>
      </c>
      <c r="N49" s="28"/>
      <c r="O49" s="28"/>
      <c r="P49" s="28"/>
      <c r="Q49" s="28"/>
      <c r="S49" s="28"/>
      <c r="T49" s="23" t="s">
        <v>1026</v>
      </c>
      <c r="U49" s="154" t="s">
        <v>1072</v>
      </c>
      <c r="V49" s="154">
        <v>400000</v>
      </c>
      <c r="W49" s="28"/>
      <c r="X49" s="28"/>
      <c r="Y49" s="28"/>
      <c r="Z49" s="28"/>
      <c r="AB49" s="28"/>
      <c r="AC49" s="23"/>
      <c r="AD49" s="23"/>
      <c r="AE49" s="23"/>
      <c r="AF49" s="28"/>
      <c r="AG49" s="28"/>
      <c r="AH49" s="28"/>
      <c r="AI49" s="28"/>
      <c r="AL49" s="28"/>
      <c r="AM49" s="23"/>
      <c r="AN49" s="23"/>
      <c r="AO49" s="23"/>
      <c r="AP49" s="28"/>
      <c r="AQ49" s="28"/>
      <c r="AR49" s="28"/>
      <c r="AS49" s="28"/>
    </row>
    <row r="50" spans="1:45">
      <c r="A50" s="28"/>
      <c r="B50" s="188" t="s">
        <v>1030</v>
      </c>
      <c r="C50" s="23" t="s">
        <v>1031</v>
      </c>
      <c r="D50" s="23">
        <v>117000</v>
      </c>
      <c r="E50" s="28"/>
      <c r="F50" s="28"/>
      <c r="G50" s="28"/>
      <c r="H50" s="28"/>
      <c r="J50" s="28"/>
      <c r="K50" s="188" t="s">
        <v>1030</v>
      </c>
      <c r="L50" s="23" t="s">
        <v>1031</v>
      </c>
      <c r="M50" s="23">
        <v>117000</v>
      </c>
      <c r="N50" s="28"/>
      <c r="O50" s="28"/>
      <c r="P50" s="28"/>
      <c r="Q50" s="28"/>
      <c r="S50" s="28"/>
      <c r="T50" s="188"/>
      <c r="U50" s="23"/>
      <c r="V50" s="23"/>
      <c r="W50" s="28"/>
      <c r="X50" s="28"/>
      <c r="Y50" s="28"/>
      <c r="Z50" s="28"/>
      <c r="AB50" s="28"/>
      <c r="AC50" s="188"/>
      <c r="AD50" s="23"/>
      <c r="AE50" s="23"/>
      <c r="AF50" s="28"/>
      <c r="AG50" s="28"/>
      <c r="AH50" s="28"/>
      <c r="AI50" s="28"/>
      <c r="AL50" s="28"/>
      <c r="AM50" s="188" t="s">
        <v>1030</v>
      </c>
      <c r="AN50" s="23" t="s">
        <v>1031</v>
      </c>
      <c r="AO50" s="23">
        <v>117000</v>
      </c>
      <c r="AP50" s="28"/>
      <c r="AQ50" s="28"/>
      <c r="AR50" s="28"/>
      <c r="AS50" s="28"/>
    </row>
    <row r="51" spans="1:45">
      <c r="A51" s="12"/>
      <c r="B51" s="13"/>
      <c r="C51" s="26" t="s">
        <v>448</v>
      </c>
      <c r="D51" s="27">
        <f>SUM(D48:D50)</f>
        <v>1477000</v>
      </c>
      <c r="E51" s="27">
        <v>0</v>
      </c>
      <c r="F51" s="27">
        <v>0</v>
      </c>
      <c r="G51" s="27"/>
      <c r="H51" s="27"/>
      <c r="J51" s="12"/>
      <c r="K51" s="13"/>
      <c r="L51" s="26" t="s">
        <v>448</v>
      </c>
      <c r="M51" s="27">
        <f>SUM(M48:M50)</f>
        <v>1477000</v>
      </c>
      <c r="N51" s="27">
        <v>0</v>
      </c>
      <c r="O51" s="27">
        <v>0</v>
      </c>
      <c r="P51" s="27"/>
      <c r="Q51" s="27"/>
      <c r="S51" s="12"/>
      <c r="T51" s="13"/>
      <c r="U51" s="26" t="s">
        <v>448</v>
      </c>
      <c r="V51" s="27">
        <f>SUM(V48:V50)</f>
        <v>1360000</v>
      </c>
      <c r="W51" s="27">
        <v>0</v>
      </c>
      <c r="X51" s="27">
        <v>0</v>
      </c>
      <c r="Y51" s="27"/>
      <c r="Z51" s="27"/>
      <c r="AB51" s="12"/>
      <c r="AC51" s="13"/>
      <c r="AD51" s="26" t="s">
        <v>448</v>
      </c>
      <c r="AE51" s="27">
        <f>SUM(AE48:AE50)</f>
        <v>0</v>
      </c>
      <c r="AF51" s="27">
        <v>0</v>
      </c>
      <c r="AG51" s="27">
        <v>0</v>
      </c>
      <c r="AH51" s="27"/>
      <c r="AI51" s="27"/>
      <c r="AL51" s="12"/>
      <c r="AM51" s="13"/>
      <c r="AN51" s="26" t="s">
        <v>448</v>
      </c>
      <c r="AO51" s="27">
        <f>SUM(AO48:AO50)</f>
        <v>117000</v>
      </c>
      <c r="AP51" s="27">
        <v>0</v>
      </c>
      <c r="AQ51" s="27">
        <v>0</v>
      </c>
      <c r="AR51" s="27"/>
      <c r="AS51" s="27"/>
    </row>
    <row r="52" spans="1:45">
      <c r="A52" s="20"/>
      <c r="B52" s="19"/>
      <c r="C52" s="342" t="s">
        <v>21</v>
      </c>
      <c r="D52" s="10"/>
      <c r="E52" s="530">
        <f>D51</f>
        <v>1477000</v>
      </c>
      <c r="F52" s="530"/>
      <c r="G52" s="530"/>
      <c r="H52" s="530"/>
      <c r="J52" s="20"/>
      <c r="K52" s="19"/>
      <c r="L52" s="350" t="s">
        <v>21</v>
      </c>
      <c r="M52" s="10"/>
      <c r="N52" s="530">
        <f>M51</f>
        <v>1477000</v>
      </c>
      <c r="O52" s="530"/>
      <c r="P52" s="530"/>
      <c r="Q52" s="530"/>
      <c r="S52" s="20"/>
      <c r="T52" s="19"/>
      <c r="U52" s="345" t="s">
        <v>21</v>
      </c>
      <c r="V52" s="10"/>
      <c r="W52" s="530">
        <f>V51</f>
        <v>1360000</v>
      </c>
      <c r="X52" s="530"/>
      <c r="Y52" s="530"/>
      <c r="Z52" s="530"/>
      <c r="AB52" s="20"/>
      <c r="AC52" s="19"/>
      <c r="AD52" s="355" t="s">
        <v>21</v>
      </c>
      <c r="AE52" s="10"/>
      <c r="AF52" s="530">
        <f>AE51</f>
        <v>0</v>
      </c>
      <c r="AG52" s="530"/>
      <c r="AH52" s="530"/>
      <c r="AI52" s="530"/>
      <c r="AL52" s="20"/>
      <c r="AM52" s="19"/>
      <c r="AN52" s="355" t="s">
        <v>21</v>
      </c>
      <c r="AO52" s="10"/>
      <c r="AP52" s="530">
        <f>AO51</f>
        <v>117000</v>
      </c>
      <c r="AQ52" s="530"/>
      <c r="AR52" s="530"/>
      <c r="AS52" s="530"/>
    </row>
    <row r="53" spans="1:45" ht="15" hidden="1" customHeight="1">
      <c r="A53" s="524" t="s">
        <v>895</v>
      </c>
      <c r="B53" s="524"/>
      <c r="C53" s="524"/>
      <c r="D53" s="524"/>
      <c r="E53" s="524"/>
      <c r="F53" s="524"/>
      <c r="G53" s="524"/>
      <c r="H53" s="524"/>
      <c r="J53" s="524" t="s">
        <v>895</v>
      </c>
      <c r="K53" s="524"/>
      <c r="L53" s="524"/>
      <c r="M53" s="524"/>
      <c r="N53" s="524"/>
      <c r="O53" s="524"/>
      <c r="P53" s="524"/>
      <c r="Q53" s="524"/>
      <c r="S53" s="524" t="s">
        <v>895</v>
      </c>
      <c r="T53" s="524"/>
      <c r="U53" s="524"/>
      <c r="V53" s="524"/>
      <c r="W53" s="524"/>
      <c r="X53" s="524"/>
      <c r="Y53" s="524"/>
      <c r="Z53" s="524"/>
      <c r="AB53" s="524" t="s">
        <v>895</v>
      </c>
      <c r="AC53" s="524"/>
      <c r="AD53" s="524"/>
      <c r="AE53" s="524"/>
      <c r="AF53" s="524"/>
      <c r="AG53" s="524"/>
      <c r="AH53" s="524"/>
      <c r="AI53" s="524"/>
      <c r="AL53" s="524" t="s">
        <v>895</v>
      </c>
      <c r="AM53" s="524"/>
      <c r="AN53" s="524"/>
      <c r="AO53" s="524"/>
      <c r="AP53" s="524"/>
      <c r="AQ53" s="524"/>
      <c r="AR53" s="524"/>
      <c r="AS53" s="524"/>
    </row>
    <row r="54" spans="1:45" ht="15" hidden="1" customHeight="1">
      <c r="A54" s="28"/>
      <c r="B54" s="19"/>
      <c r="C54" s="23"/>
      <c r="D54" s="23"/>
      <c r="E54" s="28"/>
      <c r="F54" s="28"/>
      <c r="G54" s="28"/>
      <c r="H54" s="28"/>
      <c r="J54" s="28"/>
      <c r="K54" s="19"/>
      <c r="L54" s="23"/>
      <c r="M54" s="23"/>
      <c r="N54" s="28"/>
      <c r="O54" s="28"/>
      <c r="P54" s="28"/>
      <c r="Q54" s="28"/>
      <c r="S54" s="28"/>
      <c r="T54" s="19"/>
      <c r="U54" s="23"/>
      <c r="V54" s="23"/>
      <c r="W54" s="28"/>
      <c r="X54" s="28"/>
      <c r="Y54" s="28"/>
      <c r="Z54" s="28"/>
      <c r="AB54" s="28"/>
      <c r="AC54" s="19"/>
      <c r="AD54" s="23"/>
      <c r="AE54" s="23"/>
      <c r="AF54" s="28"/>
      <c r="AG54" s="28"/>
      <c r="AH54" s="28"/>
      <c r="AI54" s="28"/>
      <c r="AL54" s="28"/>
      <c r="AM54" s="19"/>
      <c r="AN54" s="23"/>
      <c r="AO54" s="23"/>
      <c r="AP54" s="28"/>
      <c r="AQ54" s="28"/>
      <c r="AR54" s="28"/>
      <c r="AS54" s="28"/>
    </row>
    <row r="55" spans="1:45" ht="15" hidden="1" customHeight="1">
      <c r="A55" s="28"/>
      <c r="B55" s="19"/>
      <c r="C55" s="23"/>
      <c r="D55" s="23"/>
      <c r="E55" s="28"/>
      <c r="F55" s="28"/>
      <c r="G55" s="28"/>
      <c r="H55" s="28"/>
      <c r="J55" s="28"/>
      <c r="K55" s="19"/>
      <c r="L55" s="23"/>
      <c r="M55" s="23"/>
      <c r="N55" s="28"/>
      <c r="O55" s="28"/>
      <c r="P55" s="28"/>
      <c r="Q55" s="28"/>
      <c r="S55" s="28"/>
      <c r="T55" s="19"/>
      <c r="U55" s="23"/>
      <c r="V55" s="23"/>
      <c r="W55" s="28"/>
      <c r="X55" s="28"/>
      <c r="Y55" s="28"/>
      <c r="Z55" s="28"/>
      <c r="AB55" s="28"/>
      <c r="AC55" s="19"/>
      <c r="AD55" s="23"/>
      <c r="AE55" s="23"/>
      <c r="AF55" s="28"/>
      <c r="AG55" s="28"/>
      <c r="AH55" s="28"/>
      <c r="AI55" s="28"/>
      <c r="AL55" s="28"/>
      <c r="AM55" s="19"/>
      <c r="AN55" s="23"/>
      <c r="AO55" s="23"/>
      <c r="AP55" s="28"/>
      <c r="AQ55" s="28"/>
      <c r="AR55" s="28"/>
      <c r="AS55" s="28"/>
    </row>
    <row r="56" spans="1:45" ht="15" hidden="1" customHeight="1">
      <c r="A56" s="28"/>
      <c r="B56" s="19"/>
      <c r="C56" s="23"/>
      <c r="D56" s="23"/>
      <c r="E56" s="28"/>
      <c r="F56" s="28"/>
      <c r="G56" s="28"/>
      <c r="H56" s="28"/>
      <c r="J56" s="28"/>
      <c r="K56" s="19"/>
      <c r="L56" s="23"/>
      <c r="M56" s="23"/>
      <c r="N56" s="28"/>
      <c r="O56" s="28"/>
      <c r="P56" s="28"/>
      <c r="Q56" s="28"/>
      <c r="S56" s="28"/>
      <c r="T56" s="19"/>
      <c r="U56" s="23"/>
      <c r="V56" s="23"/>
      <c r="W56" s="28"/>
      <c r="X56" s="28"/>
      <c r="Y56" s="28"/>
      <c r="Z56" s="28"/>
      <c r="AB56" s="28"/>
      <c r="AC56" s="19"/>
      <c r="AD56" s="23"/>
      <c r="AE56" s="23"/>
      <c r="AF56" s="28"/>
      <c r="AG56" s="28"/>
      <c r="AH56" s="28"/>
      <c r="AI56" s="28"/>
      <c r="AL56" s="28"/>
      <c r="AM56" s="19"/>
      <c r="AN56" s="23"/>
      <c r="AO56" s="23"/>
      <c r="AP56" s="28"/>
      <c r="AQ56" s="28"/>
      <c r="AR56" s="28"/>
      <c r="AS56" s="28"/>
    </row>
    <row r="57" spans="1:45" ht="15" hidden="1" customHeight="1">
      <c r="A57" s="28"/>
      <c r="B57" s="23"/>
      <c r="C57" s="23"/>
      <c r="D57" s="23"/>
      <c r="E57" s="28"/>
      <c r="F57" s="28"/>
      <c r="G57" s="28"/>
      <c r="H57" s="28"/>
      <c r="J57" s="28"/>
      <c r="K57" s="23"/>
      <c r="L57" s="23"/>
      <c r="M57" s="23"/>
      <c r="N57" s="28"/>
      <c r="O57" s="28"/>
      <c r="P57" s="28"/>
      <c r="Q57" s="28"/>
      <c r="S57" s="28"/>
      <c r="T57" s="23"/>
      <c r="U57" s="23"/>
      <c r="V57" s="23"/>
      <c r="W57" s="28"/>
      <c r="X57" s="28"/>
      <c r="Y57" s="28"/>
      <c r="Z57" s="28"/>
      <c r="AB57" s="28"/>
      <c r="AC57" s="23"/>
      <c r="AD57" s="23"/>
      <c r="AE57" s="23"/>
      <c r="AF57" s="28"/>
      <c r="AG57" s="28"/>
      <c r="AH57" s="28"/>
      <c r="AI57" s="28"/>
      <c r="AL57" s="28"/>
      <c r="AM57" s="23"/>
      <c r="AN57" s="23"/>
      <c r="AO57" s="23"/>
      <c r="AP57" s="28"/>
      <c r="AQ57" s="28"/>
      <c r="AR57" s="28"/>
      <c r="AS57" s="28"/>
    </row>
    <row r="58" spans="1:45" ht="15" hidden="1" customHeight="1">
      <c r="A58" s="28"/>
      <c r="B58" s="23"/>
      <c r="C58" s="23"/>
      <c r="D58" s="23"/>
      <c r="E58" s="28"/>
      <c r="F58" s="28"/>
      <c r="G58" s="28"/>
      <c r="H58" s="28"/>
      <c r="J58" s="28"/>
      <c r="K58" s="23"/>
      <c r="L58" s="23"/>
      <c r="M58" s="23"/>
      <c r="N58" s="28"/>
      <c r="O58" s="28"/>
      <c r="P58" s="28"/>
      <c r="Q58" s="28"/>
      <c r="S58" s="28"/>
      <c r="T58" s="23"/>
      <c r="U58" s="23"/>
      <c r="V58" s="23"/>
      <c r="W58" s="28"/>
      <c r="X58" s="28"/>
      <c r="Y58" s="28"/>
      <c r="Z58" s="28"/>
      <c r="AB58" s="28"/>
      <c r="AC58" s="23"/>
      <c r="AD58" s="23"/>
      <c r="AE58" s="23"/>
      <c r="AF58" s="28"/>
      <c r="AG58" s="28"/>
      <c r="AH58" s="28"/>
      <c r="AI58" s="28"/>
      <c r="AL58" s="28"/>
      <c r="AM58" s="23"/>
      <c r="AN58" s="23"/>
      <c r="AO58" s="23"/>
      <c r="AP58" s="28"/>
      <c r="AQ58" s="28"/>
      <c r="AR58" s="28"/>
      <c r="AS58" s="28"/>
    </row>
    <row r="59" spans="1:45" ht="15" hidden="1" customHeight="1">
      <c r="A59" s="12"/>
      <c r="B59" s="13"/>
      <c r="C59" s="26" t="s">
        <v>896</v>
      </c>
      <c r="D59" s="27">
        <f>SUM(D54:D57)</f>
        <v>0</v>
      </c>
      <c r="E59" s="27">
        <v>0</v>
      </c>
      <c r="F59" s="27">
        <v>0</v>
      </c>
      <c r="G59" s="27"/>
      <c r="H59" s="27"/>
      <c r="J59" s="12"/>
      <c r="K59" s="13"/>
      <c r="L59" s="26" t="s">
        <v>896</v>
      </c>
      <c r="M59" s="27">
        <f>SUM(M54:M57)</f>
        <v>0</v>
      </c>
      <c r="N59" s="27">
        <v>0</v>
      </c>
      <c r="O59" s="27">
        <v>0</v>
      </c>
      <c r="P59" s="27"/>
      <c r="Q59" s="27"/>
      <c r="S59" s="12"/>
      <c r="T59" s="13"/>
      <c r="U59" s="26" t="s">
        <v>896</v>
      </c>
      <c r="V59" s="27">
        <f>SUM(V54:V57)</f>
        <v>0</v>
      </c>
      <c r="W59" s="27">
        <v>0</v>
      </c>
      <c r="X59" s="27">
        <v>0</v>
      </c>
      <c r="Y59" s="27"/>
      <c r="Z59" s="27"/>
      <c r="AB59" s="12"/>
      <c r="AC59" s="13"/>
      <c r="AD59" s="26" t="s">
        <v>896</v>
      </c>
      <c r="AE59" s="27">
        <f>SUM(AE54:AE57)</f>
        <v>0</v>
      </c>
      <c r="AF59" s="27">
        <v>0</v>
      </c>
      <c r="AG59" s="27">
        <v>0</v>
      </c>
      <c r="AH59" s="27"/>
      <c r="AI59" s="27"/>
      <c r="AL59" s="12"/>
      <c r="AM59" s="13"/>
      <c r="AN59" s="26" t="s">
        <v>896</v>
      </c>
      <c r="AO59" s="27">
        <f>SUM(AO54:AO57)</f>
        <v>0</v>
      </c>
      <c r="AP59" s="27">
        <v>0</v>
      </c>
      <c r="AQ59" s="27">
        <v>0</v>
      </c>
      <c r="AR59" s="27"/>
      <c r="AS59" s="27"/>
    </row>
    <row r="60" spans="1:45" ht="15" hidden="1" customHeight="1">
      <c r="A60" s="20"/>
      <c r="B60" s="19"/>
      <c r="C60" s="342" t="s">
        <v>21</v>
      </c>
      <c r="D60" s="10"/>
      <c r="E60" s="530">
        <f>D59</f>
        <v>0</v>
      </c>
      <c r="F60" s="530"/>
      <c r="G60" s="530"/>
      <c r="H60" s="530"/>
      <c r="J60" s="20"/>
      <c r="K60" s="19"/>
      <c r="L60" s="350" t="s">
        <v>21</v>
      </c>
      <c r="M60" s="10"/>
      <c r="N60" s="530">
        <f>M59</f>
        <v>0</v>
      </c>
      <c r="O60" s="530"/>
      <c r="P60" s="530"/>
      <c r="Q60" s="530"/>
      <c r="S60" s="20"/>
      <c r="T60" s="19"/>
      <c r="U60" s="345" t="s">
        <v>21</v>
      </c>
      <c r="V60" s="10"/>
      <c r="W60" s="530">
        <f>V59</f>
        <v>0</v>
      </c>
      <c r="X60" s="530"/>
      <c r="Y60" s="530"/>
      <c r="Z60" s="530"/>
      <c r="AB60" s="20"/>
      <c r="AC60" s="19"/>
      <c r="AD60" s="355" t="s">
        <v>21</v>
      </c>
      <c r="AE60" s="10"/>
      <c r="AF60" s="530">
        <f>AE59</f>
        <v>0</v>
      </c>
      <c r="AG60" s="530"/>
      <c r="AH60" s="530"/>
      <c r="AI60" s="530"/>
      <c r="AL60" s="20"/>
      <c r="AM60" s="19"/>
      <c r="AN60" s="355" t="s">
        <v>21</v>
      </c>
      <c r="AO60" s="10"/>
      <c r="AP60" s="530">
        <f>AO59</f>
        <v>0</v>
      </c>
      <c r="AQ60" s="530"/>
      <c r="AR60" s="530"/>
      <c r="AS60" s="530"/>
    </row>
    <row r="61" spans="1:45">
      <c r="A61" s="524" t="s">
        <v>54</v>
      </c>
      <c r="B61" s="524"/>
      <c r="C61" s="524"/>
      <c r="D61" s="524"/>
      <c r="E61" s="524"/>
      <c r="F61" s="524"/>
      <c r="G61" s="524"/>
      <c r="H61" s="524"/>
      <c r="J61" s="524" t="s">
        <v>54</v>
      </c>
      <c r="K61" s="524"/>
      <c r="L61" s="524"/>
      <c r="M61" s="524"/>
      <c r="N61" s="524"/>
      <c r="O61" s="524"/>
      <c r="P61" s="524"/>
      <c r="Q61" s="524"/>
      <c r="S61" s="524" t="s">
        <v>54</v>
      </c>
      <c r="T61" s="524"/>
      <c r="U61" s="524"/>
      <c r="V61" s="524"/>
      <c r="W61" s="524"/>
      <c r="X61" s="524"/>
      <c r="Y61" s="524"/>
      <c r="Z61" s="524"/>
      <c r="AB61" s="524" t="s">
        <v>54</v>
      </c>
      <c r="AC61" s="524"/>
      <c r="AD61" s="524"/>
      <c r="AE61" s="524"/>
      <c r="AF61" s="524"/>
      <c r="AG61" s="524"/>
      <c r="AH61" s="524"/>
      <c r="AI61" s="524"/>
      <c r="AL61" s="524" t="s">
        <v>54</v>
      </c>
      <c r="AM61" s="524"/>
      <c r="AN61" s="524"/>
      <c r="AO61" s="524"/>
      <c r="AP61" s="524"/>
      <c r="AQ61" s="524"/>
      <c r="AR61" s="524"/>
      <c r="AS61" s="524"/>
    </row>
    <row r="62" spans="1:45">
      <c r="A62" s="28"/>
      <c r="B62" s="23" t="s">
        <v>967</v>
      </c>
      <c r="C62" s="23" t="s">
        <v>1038</v>
      </c>
      <c r="D62" s="23">
        <v>20000000</v>
      </c>
      <c r="E62" s="28"/>
      <c r="F62" s="28"/>
      <c r="G62" s="28"/>
      <c r="H62" s="28"/>
      <c r="J62" s="28"/>
      <c r="K62" s="23" t="s">
        <v>967</v>
      </c>
      <c r="L62" s="23" t="s">
        <v>1038</v>
      </c>
      <c r="M62" s="23"/>
      <c r="N62" s="28"/>
      <c r="O62" s="28"/>
      <c r="P62" s="28"/>
      <c r="Q62" s="28"/>
      <c r="S62" s="28"/>
      <c r="T62" s="23"/>
      <c r="U62" s="23"/>
      <c r="V62" s="23"/>
      <c r="W62" s="28"/>
      <c r="X62" s="28"/>
      <c r="Y62" s="28"/>
      <c r="Z62" s="28"/>
      <c r="AB62" s="28"/>
      <c r="AC62" s="23"/>
      <c r="AD62" s="23"/>
      <c r="AE62" s="23"/>
      <c r="AF62" s="28"/>
      <c r="AG62" s="28"/>
      <c r="AH62" s="28"/>
      <c r="AI62" s="28"/>
      <c r="AL62" s="28"/>
      <c r="AM62" s="23"/>
      <c r="AN62" s="23"/>
      <c r="AO62" s="23"/>
      <c r="AP62" s="28"/>
      <c r="AQ62" s="28"/>
      <c r="AR62" s="28"/>
      <c r="AS62" s="28"/>
    </row>
    <row r="63" spans="1:45">
      <c r="A63" s="28"/>
      <c r="B63" s="23" t="s">
        <v>1032</v>
      </c>
      <c r="C63" s="23" t="s">
        <v>1033</v>
      </c>
      <c r="D63" s="23">
        <v>5936000</v>
      </c>
      <c r="E63" s="23"/>
      <c r="F63" s="28"/>
      <c r="G63" s="28"/>
      <c r="H63" s="280"/>
      <c r="J63" s="28"/>
      <c r="K63" s="23" t="s">
        <v>1032</v>
      </c>
      <c r="L63" s="23" t="s">
        <v>1033</v>
      </c>
      <c r="M63" s="23">
        <v>5936000</v>
      </c>
      <c r="N63" s="23"/>
      <c r="O63" s="28"/>
      <c r="P63" s="28"/>
      <c r="Q63" s="280"/>
      <c r="S63" s="28"/>
      <c r="T63" s="23"/>
      <c r="U63" s="23"/>
      <c r="V63" s="23"/>
      <c r="W63" s="23"/>
      <c r="X63" s="28"/>
      <c r="Y63" s="28"/>
      <c r="Z63" s="280"/>
      <c r="AB63" s="28"/>
      <c r="AC63" s="23"/>
      <c r="AD63" s="23"/>
      <c r="AE63" s="23"/>
      <c r="AF63" s="23"/>
      <c r="AG63" s="28"/>
      <c r="AH63" s="28"/>
      <c r="AI63" s="280"/>
      <c r="AL63" s="28"/>
      <c r="AM63" s="23" t="s">
        <v>1032</v>
      </c>
      <c r="AN63" s="23" t="s">
        <v>1033</v>
      </c>
      <c r="AO63" s="23">
        <v>5936000</v>
      </c>
      <c r="AP63" s="23"/>
      <c r="AQ63" s="28"/>
      <c r="AR63" s="28"/>
      <c r="AS63" s="280"/>
    </row>
    <row r="64" spans="1:45">
      <c r="A64" s="28"/>
      <c r="B64" s="23" t="s">
        <v>1032</v>
      </c>
      <c r="C64" s="23" t="s">
        <v>1034</v>
      </c>
      <c r="D64" s="23">
        <v>1524000</v>
      </c>
      <c r="E64" s="28"/>
      <c r="F64" s="28"/>
      <c r="G64" s="28"/>
      <c r="H64" s="28"/>
      <c r="J64" s="28"/>
      <c r="K64" s="23" t="s">
        <v>1032</v>
      </c>
      <c r="L64" s="23" t="s">
        <v>1034</v>
      </c>
      <c r="M64" s="23">
        <v>1524000</v>
      </c>
      <c r="N64" s="28"/>
      <c r="O64" s="28"/>
      <c r="P64" s="28"/>
      <c r="Q64" s="28"/>
      <c r="S64" s="28"/>
      <c r="T64" s="23"/>
      <c r="U64" s="23"/>
      <c r="V64" s="23"/>
      <c r="W64" s="28"/>
      <c r="X64" s="28"/>
      <c r="Y64" s="28"/>
      <c r="Z64" s="28"/>
      <c r="AB64" s="28"/>
      <c r="AC64" s="23"/>
      <c r="AD64" s="23"/>
      <c r="AE64" s="23"/>
      <c r="AF64" s="28"/>
      <c r="AG64" s="28"/>
      <c r="AH64" s="28"/>
      <c r="AI64" s="28"/>
      <c r="AL64" s="28"/>
      <c r="AM64" s="23" t="s">
        <v>1032</v>
      </c>
      <c r="AN64" s="23" t="s">
        <v>1034</v>
      </c>
      <c r="AO64" s="23">
        <v>1524000</v>
      </c>
      <c r="AP64" s="28"/>
      <c r="AQ64" s="28"/>
      <c r="AR64" s="28"/>
      <c r="AS64" s="28"/>
    </row>
    <row r="65" spans="1:45">
      <c r="A65" s="28"/>
      <c r="B65" s="23" t="s">
        <v>1035</v>
      </c>
      <c r="C65" s="23" t="s">
        <v>1037</v>
      </c>
      <c r="D65" s="23">
        <v>11226000</v>
      </c>
      <c r="E65" s="28"/>
      <c r="F65" s="28"/>
      <c r="G65" s="28"/>
      <c r="H65" s="28"/>
      <c r="J65" s="28"/>
      <c r="K65" s="23" t="s">
        <v>1035</v>
      </c>
      <c r="L65" s="23" t="s">
        <v>1037</v>
      </c>
      <c r="M65" s="23">
        <v>11226000</v>
      </c>
      <c r="N65" s="28"/>
      <c r="O65" s="28"/>
      <c r="P65" s="28"/>
      <c r="Q65" s="28"/>
      <c r="S65" s="28"/>
      <c r="T65" s="23"/>
      <c r="U65" s="23"/>
      <c r="V65" s="23"/>
      <c r="W65" s="28"/>
      <c r="X65" s="28"/>
      <c r="Y65" s="28"/>
      <c r="Z65" s="28"/>
      <c r="AB65" s="28"/>
      <c r="AC65" s="23"/>
      <c r="AD65" s="23"/>
      <c r="AE65" s="23"/>
      <c r="AF65" s="28"/>
      <c r="AG65" s="28"/>
      <c r="AH65" s="28"/>
      <c r="AI65" s="28"/>
      <c r="AL65" s="28"/>
      <c r="AM65" s="23" t="s">
        <v>1035</v>
      </c>
      <c r="AN65" s="23" t="s">
        <v>1037</v>
      </c>
      <c r="AO65" s="23">
        <v>11226000</v>
      </c>
      <c r="AP65" s="28"/>
      <c r="AQ65" s="28"/>
      <c r="AR65" s="28"/>
      <c r="AS65" s="28"/>
    </row>
    <row r="66" spans="1:45">
      <c r="A66" s="28"/>
      <c r="B66" s="23" t="s">
        <v>1035</v>
      </c>
      <c r="C66" s="23" t="s">
        <v>1036</v>
      </c>
      <c r="D66" s="23">
        <v>810000</v>
      </c>
      <c r="E66" s="28"/>
      <c r="F66" s="28"/>
      <c r="G66" s="28"/>
      <c r="H66" s="28"/>
      <c r="J66" s="28"/>
      <c r="K66" s="23" t="s">
        <v>1035</v>
      </c>
      <c r="L66" s="23" t="s">
        <v>1036</v>
      </c>
      <c r="M66" s="23">
        <v>810000</v>
      </c>
      <c r="N66" s="28"/>
      <c r="O66" s="28"/>
      <c r="P66" s="28"/>
      <c r="Q66" s="28"/>
      <c r="S66" s="28"/>
      <c r="T66" s="23"/>
      <c r="U66" s="23"/>
      <c r="V66" s="23"/>
      <c r="W66" s="28"/>
      <c r="X66" s="28"/>
      <c r="Y66" s="28"/>
      <c r="Z66" s="28"/>
      <c r="AB66" s="28"/>
      <c r="AC66" s="23"/>
      <c r="AD66" s="23"/>
      <c r="AE66" s="23"/>
      <c r="AF66" s="28"/>
      <c r="AG66" s="28"/>
      <c r="AH66" s="28"/>
      <c r="AI66" s="28"/>
      <c r="AL66" s="28"/>
      <c r="AM66" s="23" t="s">
        <v>1035</v>
      </c>
      <c r="AN66" s="23" t="s">
        <v>1036</v>
      </c>
      <c r="AO66" s="23">
        <v>810000</v>
      </c>
      <c r="AP66" s="28"/>
      <c r="AQ66" s="28"/>
      <c r="AR66" s="28"/>
      <c r="AS66" s="28"/>
    </row>
    <row r="67" spans="1:45">
      <c r="A67" s="28"/>
      <c r="B67" s="23" t="s">
        <v>1039</v>
      </c>
      <c r="C67" s="23" t="s">
        <v>1043</v>
      </c>
      <c r="D67" s="23">
        <v>5105000</v>
      </c>
      <c r="E67" s="28"/>
      <c r="F67" s="28"/>
      <c r="G67" s="28"/>
      <c r="H67" s="28"/>
      <c r="J67" s="28"/>
      <c r="K67" s="23" t="s">
        <v>1039</v>
      </c>
      <c r="L67" s="23" t="s">
        <v>1043</v>
      </c>
      <c r="M67" s="23">
        <v>5105000</v>
      </c>
      <c r="N67" s="28"/>
      <c r="O67" s="28"/>
      <c r="P67" s="28"/>
      <c r="Q67" s="28"/>
      <c r="S67" s="28"/>
      <c r="T67" s="23" t="s">
        <v>1039</v>
      </c>
      <c r="U67" s="154" t="s">
        <v>1043</v>
      </c>
      <c r="V67" s="154">
        <v>5105000</v>
      </c>
      <c r="W67" s="28"/>
      <c r="X67" s="28"/>
      <c r="Y67" s="28"/>
      <c r="Z67" s="28"/>
      <c r="AB67" s="28"/>
      <c r="AC67" s="23"/>
      <c r="AD67" s="23"/>
      <c r="AE67" s="23"/>
      <c r="AF67" s="28"/>
      <c r="AG67" s="28"/>
      <c r="AH67" s="28"/>
      <c r="AI67" s="28"/>
      <c r="AL67" s="28"/>
      <c r="AM67" s="23"/>
      <c r="AN67" s="23"/>
      <c r="AO67" s="23"/>
      <c r="AP67" s="28"/>
      <c r="AQ67" s="28"/>
      <c r="AR67" s="28"/>
      <c r="AS67" s="28"/>
    </row>
    <row r="68" spans="1:45">
      <c r="A68" s="28"/>
      <c r="B68" s="23" t="s">
        <v>1039</v>
      </c>
      <c r="C68" s="23" t="s">
        <v>1042</v>
      </c>
      <c r="D68" s="23">
        <v>50000000</v>
      </c>
      <c r="E68" s="28"/>
      <c r="F68" s="28"/>
      <c r="G68" s="28"/>
      <c r="H68" s="28"/>
      <c r="J68" s="28"/>
      <c r="K68" s="23" t="s">
        <v>1039</v>
      </c>
      <c r="L68" s="23" t="s">
        <v>1042</v>
      </c>
      <c r="M68" s="23">
        <v>50000000</v>
      </c>
      <c r="N68" s="28"/>
      <c r="O68" s="28"/>
      <c r="P68" s="28"/>
      <c r="Q68" s="28"/>
      <c r="S68" s="28"/>
      <c r="T68" s="23" t="s">
        <v>1039</v>
      </c>
      <c r="U68" s="154" t="s">
        <v>1042</v>
      </c>
      <c r="V68" s="154">
        <v>40000000</v>
      </c>
      <c r="W68" s="28"/>
      <c r="X68" s="28"/>
      <c r="Y68" s="28"/>
      <c r="Z68" s="28"/>
      <c r="AB68" s="28"/>
      <c r="AC68" s="23" t="s">
        <v>1039</v>
      </c>
      <c r="AD68" s="154" t="s">
        <v>1042</v>
      </c>
      <c r="AE68" s="154">
        <v>10000000</v>
      </c>
      <c r="AF68" s="28"/>
      <c r="AG68" s="28"/>
      <c r="AH68" s="28"/>
      <c r="AI68" s="28"/>
      <c r="AL68" s="28"/>
      <c r="AM68" s="23"/>
      <c r="AN68" s="23"/>
      <c r="AO68" s="23"/>
      <c r="AP68" s="28"/>
      <c r="AQ68" s="28"/>
      <c r="AR68" s="28"/>
      <c r="AS68" s="28"/>
    </row>
    <row r="69" spans="1:45">
      <c r="A69" s="12"/>
      <c r="B69" s="23" t="s">
        <v>1039</v>
      </c>
      <c r="C69" s="23" t="s">
        <v>1041</v>
      </c>
      <c r="D69" s="23">
        <v>1540000</v>
      </c>
      <c r="E69" s="342"/>
      <c r="F69" s="342"/>
      <c r="G69" s="342"/>
      <c r="H69" s="342"/>
      <c r="J69" s="12"/>
      <c r="K69" s="23" t="s">
        <v>1039</v>
      </c>
      <c r="L69" s="23" t="s">
        <v>1041</v>
      </c>
      <c r="M69" s="23">
        <v>1540000</v>
      </c>
      <c r="N69" s="350"/>
      <c r="O69" s="350"/>
      <c r="P69" s="350"/>
      <c r="Q69" s="350"/>
      <c r="S69" s="12"/>
      <c r="T69" s="23" t="s">
        <v>1039</v>
      </c>
      <c r="U69" s="154" t="s">
        <v>1041</v>
      </c>
      <c r="V69" s="154">
        <v>1540000</v>
      </c>
      <c r="W69" s="345"/>
      <c r="X69" s="345"/>
      <c r="Y69" s="345"/>
      <c r="Z69" s="345"/>
      <c r="AB69" s="12"/>
      <c r="AC69" s="23"/>
      <c r="AD69" s="23"/>
      <c r="AE69" s="23"/>
      <c r="AF69" s="355"/>
      <c r="AG69" s="355"/>
      <c r="AH69" s="355"/>
      <c r="AI69" s="355"/>
      <c r="AL69" s="12"/>
      <c r="AM69" s="23"/>
      <c r="AN69" s="23"/>
      <c r="AO69" s="23"/>
      <c r="AP69" s="355"/>
      <c r="AQ69" s="355"/>
      <c r="AR69" s="355"/>
      <c r="AS69" s="355"/>
    </row>
    <row r="70" spans="1:45">
      <c r="A70" s="12"/>
      <c r="B70" s="23" t="s">
        <v>1039</v>
      </c>
      <c r="C70" s="23" t="s">
        <v>1040</v>
      </c>
      <c r="D70" s="23">
        <v>400000</v>
      </c>
      <c r="E70" s="342"/>
      <c r="F70" s="342"/>
      <c r="G70" s="342"/>
      <c r="H70" s="342"/>
      <c r="J70" s="12"/>
      <c r="K70" s="23" t="s">
        <v>1039</v>
      </c>
      <c r="L70" s="23" t="s">
        <v>1040</v>
      </c>
      <c r="M70" s="23">
        <v>400000</v>
      </c>
      <c r="N70" s="350"/>
      <c r="O70" s="350"/>
      <c r="P70" s="350"/>
      <c r="Q70" s="350"/>
      <c r="S70" s="12"/>
      <c r="T70" s="23" t="s">
        <v>1039</v>
      </c>
      <c r="U70" s="154" t="s">
        <v>1040</v>
      </c>
      <c r="V70" s="154">
        <v>400000</v>
      </c>
      <c r="W70" s="345"/>
      <c r="X70" s="345"/>
      <c r="Y70" s="345"/>
      <c r="Z70" s="345"/>
      <c r="AB70" s="12"/>
      <c r="AC70" s="23"/>
      <c r="AD70" s="23"/>
      <c r="AE70" s="23"/>
      <c r="AF70" s="355"/>
      <c r="AG70" s="355"/>
      <c r="AH70" s="355"/>
      <c r="AI70" s="355"/>
      <c r="AL70" s="12"/>
      <c r="AM70" s="23"/>
      <c r="AN70" s="23"/>
      <c r="AO70" s="23"/>
      <c r="AP70" s="355"/>
      <c r="AQ70" s="355"/>
      <c r="AR70" s="355"/>
      <c r="AS70" s="355"/>
    </row>
    <row r="71" spans="1:45">
      <c r="A71" s="12"/>
      <c r="B71" s="23" t="s">
        <v>1039</v>
      </c>
      <c r="C71" s="23" t="s">
        <v>1044</v>
      </c>
      <c r="D71" s="23">
        <v>300000</v>
      </c>
      <c r="E71" s="342"/>
      <c r="F71" s="342"/>
      <c r="G71" s="342"/>
      <c r="H71" s="342"/>
      <c r="J71" s="12"/>
      <c r="K71" s="23" t="s">
        <v>1039</v>
      </c>
      <c r="L71" s="23" t="s">
        <v>1044</v>
      </c>
      <c r="M71" s="23">
        <v>300000</v>
      </c>
      <c r="N71" s="350"/>
      <c r="O71" s="350"/>
      <c r="P71" s="350"/>
      <c r="Q71" s="350"/>
      <c r="S71" s="12"/>
      <c r="T71" s="23"/>
      <c r="U71" s="23"/>
      <c r="V71" s="23"/>
      <c r="W71" s="345"/>
      <c r="X71" s="345"/>
      <c r="Y71" s="345"/>
      <c r="Z71" s="345"/>
      <c r="AB71" s="12"/>
      <c r="AC71" s="23"/>
      <c r="AD71" s="23"/>
      <c r="AE71" s="23"/>
      <c r="AF71" s="355"/>
      <c r="AG71" s="355"/>
      <c r="AH71" s="355"/>
      <c r="AI71" s="355"/>
      <c r="AL71" s="12"/>
      <c r="AM71" s="23" t="s">
        <v>1039</v>
      </c>
      <c r="AN71" s="23" t="s">
        <v>1044</v>
      </c>
      <c r="AO71" s="23">
        <v>300000</v>
      </c>
      <c r="AP71" s="355"/>
      <c r="AQ71" s="355"/>
      <c r="AR71" s="355"/>
      <c r="AS71" s="355"/>
    </row>
    <row r="72" spans="1:45">
      <c r="A72" s="12"/>
      <c r="B72" s="23" t="s">
        <v>1039</v>
      </c>
      <c r="C72" s="23" t="s">
        <v>1045</v>
      </c>
      <c r="D72" s="23">
        <v>4566000</v>
      </c>
      <c r="E72" s="342"/>
      <c r="F72" s="342"/>
      <c r="G72" s="342"/>
      <c r="H72" s="342"/>
      <c r="J72" s="12"/>
      <c r="K72" s="23" t="s">
        <v>1039</v>
      </c>
      <c r="L72" s="23" t="s">
        <v>1045</v>
      </c>
      <c r="M72" s="23">
        <v>4566000</v>
      </c>
      <c r="N72" s="350"/>
      <c r="O72" s="350"/>
      <c r="P72" s="350"/>
      <c r="Q72" s="350"/>
      <c r="S72" s="12"/>
      <c r="T72" s="23" t="s">
        <v>1039</v>
      </c>
      <c r="U72" s="154" t="s">
        <v>1045</v>
      </c>
      <c r="V72" s="154">
        <v>4566000</v>
      </c>
      <c r="W72" s="345"/>
      <c r="X72" s="345"/>
      <c r="Y72" s="345"/>
      <c r="Z72" s="345"/>
      <c r="AB72" s="12"/>
      <c r="AC72" s="23"/>
      <c r="AD72" s="23"/>
      <c r="AE72" s="23"/>
      <c r="AF72" s="355"/>
      <c r="AG72" s="355"/>
      <c r="AH72" s="355"/>
      <c r="AI72" s="355"/>
      <c r="AL72" s="12"/>
      <c r="AM72" s="23"/>
      <c r="AN72" s="23"/>
      <c r="AO72" s="23"/>
      <c r="AP72" s="355"/>
      <c r="AQ72" s="355"/>
      <c r="AR72" s="355"/>
      <c r="AS72" s="355"/>
    </row>
    <row r="73" spans="1:45">
      <c r="A73" s="12"/>
      <c r="B73" s="23" t="s">
        <v>1039</v>
      </c>
      <c r="C73" s="24" t="s">
        <v>1046</v>
      </c>
      <c r="D73" s="23">
        <v>1050000</v>
      </c>
      <c r="E73" s="342"/>
      <c r="F73" s="342"/>
      <c r="G73" s="342"/>
      <c r="H73" s="342"/>
      <c r="J73" s="12"/>
      <c r="K73" s="23" t="s">
        <v>1039</v>
      </c>
      <c r="L73" s="24" t="s">
        <v>1046</v>
      </c>
      <c r="M73" s="23">
        <v>1050000</v>
      </c>
      <c r="N73" s="350"/>
      <c r="O73" s="350"/>
      <c r="P73" s="350"/>
      <c r="Q73" s="350"/>
      <c r="S73" s="12"/>
      <c r="T73" s="23"/>
      <c r="U73" s="24"/>
      <c r="V73" s="23"/>
      <c r="W73" s="345"/>
      <c r="X73" s="345"/>
      <c r="Y73" s="345"/>
      <c r="Z73" s="345"/>
      <c r="AB73" s="12"/>
      <c r="AC73" s="23"/>
      <c r="AD73" s="24"/>
      <c r="AE73" s="23"/>
      <c r="AF73" s="355"/>
      <c r="AG73" s="355"/>
      <c r="AH73" s="355"/>
      <c r="AI73" s="355"/>
      <c r="AL73" s="12"/>
      <c r="AM73" s="23" t="s">
        <v>1039</v>
      </c>
      <c r="AN73" s="24" t="s">
        <v>1046</v>
      </c>
      <c r="AO73" s="23">
        <v>1050000</v>
      </c>
      <c r="AP73" s="355"/>
      <c r="AQ73" s="355"/>
      <c r="AR73" s="355"/>
      <c r="AS73" s="355"/>
    </row>
    <row r="74" spans="1:45">
      <c r="A74" s="12"/>
      <c r="B74" s="23" t="s">
        <v>1039</v>
      </c>
      <c r="C74" s="23" t="s">
        <v>1067</v>
      </c>
      <c r="D74" s="23">
        <v>568000</v>
      </c>
      <c r="E74" s="342"/>
      <c r="F74" s="342"/>
      <c r="G74" s="342"/>
      <c r="H74" s="342"/>
      <c r="J74" s="12"/>
      <c r="K74" s="23" t="s">
        <v>1039</v>
      </c>
      <c r="L74" s="23" t="s">
        <v>1067</v>
      </c>
      <c r="M74" s="23">
        <v>568000</v>
      </c>
      <c r="N74" s="350"/>
      <c r="O74" s="350"/>
      <c r="P74" s="350"/>
      <c r="Q74" s="350"/>
      <c r="S74" s="12"/>
      <c r="T74" s="23" t="s">
        <v>1039</v>
      </c>
      <c r="U74" s="154" t="s">
        <v>1067</v>
      </c>
      <c r="V74" s="154">
        <v>568000</v>
      </c>
      <c r="W74" s="345"/>
      <c r="X74" s="345"/>
      <c r="Y74" s="345"/>
      <c r="Z74" s="345"/>
      <c r="AB74" s="12"/>
      <c r="AC74" s="23"/>
      <c r="AD74" s="23"/>
      <c r="AE74" s="23"/>
      <c r="AF74" s="355"/>
      <c r="AG74" s="355"/>
      <c r="AH74" s="355"/>
      <c r="AI74" s="355"/>
      <c r="AL74" s="12"/>
      <c r="AM74" s="23"/>
      <c r="AN74" s="23"/>
      <c r="AO74" s="23"/>
      <c r="AP74" s="355"/>
      <c r="AQ74" s="355"/>
      <c r="AR74" s="355"/>
      <c r="AS74" s="355"/>
    </row>
    <row r="75" spans="1:45">
      <c r="A75" s="12"/>
      <c r="B75" s="22" t="s">
        <v>1065</v>
      </c>
      <c r="C75" s="22" t="s">
        <v>1066</v>
      </c>
      <c r="D75" s="22">
        <v>12208500</v>
      </c>
      <c r="E75" s="345"/>
      <c r="F75" s="345"/>
      <c r="G75" s="345"/>
      <c r="H75" s="345"/>
      <c r="J75" s="12"/>
      <c r="K75" s="22" t="s">
        <v>1065</v>
      </c>
      <c r="L75" s="22" t="s">
        <v>1066</v>
      </c>
      <c r="M75" s="22">
        <v>12208500</v>
      </c>
      <c r="N75" s="350"/>
      <c r="O75" s="350"/>
      <c r="P75" s="350"/>
      <c r="Q75" s="350"/>
      <c r="S75" s="12"/>
      <c r="T75" s="22"/>
      <c r="U75" s="22"/>
      <c r="V75" s="22"/>
      <c r="W75" s="345"/>
      <c r="X75" s="345"/>
      <c r="Y75" s="345"/>
      <c r="Z75" s="345"/>
      <c r="AB75" s="12"/>
      <c r="AC75" s="22" t="s">
        <v>1065</v>
      </c>
      <c r="AD75" s="156" t="s">
        <v>1066</v>
      </c>
      <c r="AE75" s="156">
        <v>5000000</v>
      </c>
      <c r="AF75" s="355"/>
      <c r="AG75" s="355"/>
      <c r="AH75" s="355"/>
      <c r="AI75" s="355"/>
      <c r="AL75" s="12"/>
      <c r="AM75" s="22" t="s">
        <v>1065</v>
      </c>
      <c r="AN75" s="22" t="s">
        <v>1066</v>
      </c>
      <c r="AO75" s="22">
        <v>12208500</v>
      </c>
      <c r="AP75" s="355"/>
      <c r="AQ75" s="355"/>
      <c r="AR75" s="355"/>
      <c r="AS75" s="355"/>
    </row>
    <row r="76" spans="1:45">
      <c r="A76" s="12"/>
      <c r="B76" s="13" t="s">
        <v>1065</v>
      </c>
      <c r="C76" s="22" t="s">
        <v>1070</v>
      </c>
      <c r="D76" s="22">
        <v>50000</v>
      </c>
      <c r="E76" s="345"/>
      <c r="F76" s="345"/>
      <c r="G76" s="345"/>
      <c r="H76" s="345"/>
      <c r="J76" s="12"/>
      <c r="K76" s="13" t="s">
        <v>1065</v>
      </c>
      <c r="L76" s="22" t="s">
        <v>1070</v>
      </c>
      <c r="M76" s="22">
        <v>50000</v>
      </c>
      <c r="N76" s="350"/>
      <c r="O76" s="350"/>
      <c r="P76" s="350"/>
      <c r="Q76" s="350"/>
      <c r="S76" s="12"/>
      <c r="T76" s="13"/>
      <c r="U76" s="22"/>
      <c r="V76" s="22"/>
      <c r="W76" s="345"/>
      <c r="X76" s="345"/>
      <c r="Y76" s="345"/>
      <c r="Z76" s="345"/>
      <c r="AB76" s="12"/>
      <c r="AC76" s="13"/>
      <c r="AD76" s="22"/>
      <c r="AE76" s="22"/>
      <c r="AF76" s="355"/>
      <c r="AG76" s="355"/>
      <c r="AH76" s="355"/>
      <c r="AI76" s="355"/>
      <c r="AL76" s="12"/>
      <c r="AM76" s="13" t="s">
        <v>1065</v>
      </c>
      <c r="AN76" s="22" t="s">
        <v>1070</v>
      </c>
      <c r="AO76" s="22">
        <v>50000</v>
      </c>
      <c r="AP76" s="355"/>
      <c r="AQ76" s="355"/>
      <c r="AR76" s="355"/>
      <c r="AS76" s="355"/>
    </row>
    <row r="77" spans="1:45">
      <c r="A77" s="12"/>
      <c r="B77" s="13"/>
      <c r="C77" s="26" t="s">
        <v>55</v>
      </c>
      <c r="D77" s="27">
        <f>SUM(D62:D75)</f>
        <v>115233500</v>
      </c>
      <c r="E77" s="27">
        <v>0</v>
      </c>
      <c r="F77" s="27">
        <v>0</v>
      </c>
      <c r="G77" s="27"/>
      <c r="H77" s="27"/>
      <c r="J77" s="12"/>
      <c r="K77" s="13"/>
      <c r="L77" s="26" t="s">
        <v>55</v>
      </c>
      <c r="M77" s="27">
        <f>SUM(M62:M76)</f>
        <v>95283500</v>
      </c>
      <c r="N77" s="27">
        <v>0</v>
      </c>
      <c r="O77" s="27">
        <v>0</v>
      </c>
      <c r="P77" s="27"/>
      <c r="Q77" s="27"/>
      <c r="S77" s="12"/>
      <c r="T77" s="13"/>
      <c r="U77" s="26" t="s">
        <v>55</v>
      </c>
      <c r="V77" s="27">
        <f>SUM(V62:V76)</f>
        <v>52179000</v>
      </c>
      <c r="W77" s="27">
        <v>0</v>
      </c>
      <c r="X77" s="27">
        <v>0</v>
      </c>
      <c r="Y77" s="27"/>
      <c r="Z77" s="27"/>
      <c r="AB77" s="12"/>
      <c r="AC77" s="13"/>
      <c r="AD77" s="26" t="s">
        <v>55</v>
      </c>
      <c r="AE77" s="27">
        <f>SUM(AE62:AE76)</f>
        <v>15000000</v>
      </c>
      <c r="AF77" s="27">
        <v>0</v>
      </c>
      <c r="AG77" s="27">
        <v>0</v>
      </c>
      <c r="AH77" s="27"/>
      <c r="AI77" s="27"/>
      <c r="AL77" s="12"/>
      <c r="AM77" s="13"/>
      <c r="AN77" s="26" t="s">
        <v>55</v>
      </c>
      <c r="AO77" s="27">
        <f>SUM(AO62:AO76)</f>
        <v>33104500</v>
      </c>
      <c r="AP77" s="27">
        <v>0</v>
      </c>
      <c r="AQ77" s="27">
        <v>0</v>
      </c>
      <c r="AR77" s="27"/>
      <c r="AS77" s="27"/>
    </row>
    <row r="78" spans="1:45">
      <c r="A78" s="20"/>
      <c r="B78" s="19"/>
      <c r="C78" s="342" t="s">
        <v>21</v>
      </c>
      <c r="D78" s="10"/>
      <c r="E78" s="530">
        <f>D77</f>
        <v>115233500</v>
      </c>
      <c r="F78" s="530"/>
      <c r="G78" s="530"/>
      <c r="H78" s="530"/>
      <c r="J78" s="20"/>
      <c r="K78" s="19"/>
      <c r="L78" s="350" t="s">
        <v>21</v>
      </c>
      <c r="M78" s="10"/>
      <c r="N78" s="530">
        <f>M77</f>
        <v>95283500</v>
      </c>
      <c r="O78" s="530"/>
      <c r="P78" s="530"/>
      <c r="Q78" s="530"/>
      <c r="S78" s="20"/>
      <c r="T78" s="19"/>
      <c r="U78" s="345" t="s">
        <v>21</v>
      </c>
      <c r="V78" s="10"/>
      <c r="W78" s="530">
        <f>V77</f>
        <v>52179000</v>
      </c>
      <c r="X78" s="530"/>
      <c r="Y78" s="530"/>
      <c r="Z78" s="530"/>
      <c r="AB78" s="20"/>
      <c r="AC78" s="19"/>
      <c r="AD78" s="355" t="s">
        <v>21</v>
      </c>
      <c r="AE78" s="10"/>
      <c r="AF78" s="530">
        <f>AE77</f>
        <v>15000000</v>
      </c>
      <c r="AG78" s="530"/>
      <c r="AH78" s="530"/>
      <c r="AI78" s="530"/>
      <c r="AL78" s="20"/>
      <c r="AM78" s="19"/>
      <c r="AN78" s="355" t="s">
        <v>21</v>
      </c>
      <c r="AO78" s="10"/>
      <c r="AP78" s="530">
        <f>AO77</f>
        <v>33104500</v>
      </c>
      <c r="AQ78" s="530"/>
      <c r="AR78" s="530"/>
      <c r="AS78" s="530"/>
    </row>
    <row r="79" spans="1:45">
      <c r="A79" s="524" t="s">
        <v>1047</v>
      </c>
      <c r="B79" s="524"/>
      <c r="C79" s="524"/>
      <c r="D79" s="524"/>
      <c r="E79" s="524"/>
      <c r="F79" s="524"/>
      <c r="G79" s="524"/>
      <c r="H79" s="524"/>
      <c r="J79" s="524" t="s">
        <v>1047</v>
      </c>
      <c r="K79" s="524"/>
      <c r="L79" s="524"/>
      <c r="M79" s="524"/>
      <c r="N79" s="524"/>
      <c r="O79" s="524"/>
      <c r="P79" s="524"/>
      <c r="Q79" s="524"/>
      <c r="S79" s="524" t="s">
        <v>1047</v>
      </c>
      <c r="T79" s="524"/>
      <c r="U79" s="524"/>
      <c r="V79" s="524"/>
      <c r="W79" s="524"/>
      <c r="X79" s="524"/>
      <c r="Y79" s="524"/>
      <c r="Z79" s="524"/>
      <c r="AB79" s="524" t="s">
        <v>1047</v>
      </c>
      <c r="AC79" s="524"/>
      <c r="AD79" s="524"/>
      <c r="AE79" s="524"/>
      <c r="AF79" s="524"/>
      <c r="AG79" s="524"/>
      <c r="AH79" s="524"/>
      <c r="AI79" s="524"/>
      <c r="AL79" s="524" t="s">
        <v>1047</v>
      </c>
      <c r="AM79" s="524"/>
      <c r="AN79" s="524"/>
      <c r="AO79" s="524"/>
      <c r="AP79" s="524"/>
      <c r="AQ79" s="524"/>
      <c r="AR79" s="524"/>
      <c r="AS79" s="524"/>
    </row>
    <row r="80" spans="1:45">
      <c r="A80" s="28"/>
      <c r="B80" s="19" t="s">
        <v>1048</v>
      </c>
      <c r="C80" s="23" t="s">
        <v>1049</v>
      </c>
      <c r="D80" s="23">
        <v>1652500</v>
      </c>
      <c r="E80" s="28"/>
      <c r="F80" s="28"/>
      <c r="G80" s="28"/>
      <c r="H80" s="28"/>
      <c r="J80" s="28"/>
      <c r="K80" s="19" t="s">
        <v>1048</v>
      </c>
      <c r="L80" s="23" t="s">
        <v>1049</v>
      </c>
      <c r="M80" s="23">
        <v>1652500</v>
      </c>
      <c r="N80" s="28"/>
      <c r="O80" s="28"/>
      <c r="P80" s="28"/>
      <c r="Q80" s="28"/>
      <c r="S80" s="28"/>
      <c r="T80" s="19" t="s">
        <v>1048</v>
      </c>
      <c r="U80" s="154" t="s">
        <v>1049</v>
      </c>
      <c r="V80" s="154">
        <v>1652500</v>
      </c>
      <c r="W80" s="28"/>
      <c r="X80" s="28"/>
      <c r="Y80" s="28"/>
      <c r="Z80" s="28"/>
      <c r="AB80" s="28"/>
      <c r="AC80" s="19"/>
      <c r="AD80" s="23"/>
      <c r="AE80" s="23"/>
      <c r="AF80" s="28"/>
      <c r="AG80" s="28"/>
      <c r="AH80" s="28"/>
      <c r="AI80" s="28"/>
      <c r="AL80" s="28"/>
      <c r="AM80" s="19"/>
      <c r="AN80" s="23"/>
      <c r="AO80" s="23"/>
      <c r="AP80" s="28"/>
      <c r="AQ80" s="28"/>
      <c r="AR80" s="28"/>
      <c r="AS80" s="28"/>
    </row>
    <row r="81" spans="1:45">
      <c r="A81" s="28"/>
      <c r="B81" s="19" t="s">
        <v>1048</v>
      </c>
      <c r="C81" s="23" t="s">
        <v>1050</v>
      </c>
      <c r="D81" s="23">
        <v>300000</v>
      </c>
      <c r="E81" s="28"/>
      <c r="F81" s="28"/>
      <c r="G81" s="28"/>
      <c r="H81" s="28"/>
      <c r="J81" s="28"/>
      <c r="K81" s="19" t="s">
        <v>1048</v>
      </c>
      <c r="L81" s="23" t="s">
        <v>1050</v>
      </c>
      <c r="M81" s="23">
        <v>300000</v>
      </c>
      <c r="N81" s="28"/>
      <c r="O81" s="28"/>
      <c r="P81" s="28"/>
      <c r="Q81" s="28"/>
      <c r="S81" s="28"/>
      <c r="T81" s="19"/>
      <c r="U81" s="23"/>
      <c r="V81" s="23"/>
      <c r="W81" s="28"/>
      <c r="X81" s="28"/>
      <c r="Y81" s="28"/>
      <c r="Z81" s="28"/>
      <c r="AB81" s="28"/>
      <c r="AC81" s="19"/>
      <c r="AD81" s="23"/>
      <c r="AE81" s="23"/>
      <c r="AF81" s="28"/>
      <c r="AG81" s="28"/>
      <c r="AH81" s="28"/>
      <c r="AI81" s="28"/>
      <c r="AL81" s="28"/>
      <c r="AM81" s="19" t="s">
        <v>1048</v>
      </c>
      <c r="AN81" s="23" t="s">
        <v>1050</v>
      </c>
      <c r="AO81" s="23">
        <v>300000</v>
      </c>
      <c r="AP81" s="28"/>
      <c r="AQ81" s="28"/>
      <c r="AR81" s="28"/>
      <c r="AS81" s="28"/>
    </row>
    <row r="82" spans="1:45">
      <c r="A82" s="12"/>
      <c r="B82" s="19"/>
      <c r="C82" s="24"/>
      <c r="D82" s="23"/>
      <c r="E82" s="342"/>
      <c r="F82" s="342"/>
      <c r="G82" s="342"/>
      <c r="H82" s="342"/>
      <c r="J82" s="12"/>
      <c r="K82" s="19"/>
      <c r="L82" s="24"/>
      <c r="M82" s="23"/>
      <c r="N82" s="350"/>
      <c r="O82" s="350"/>
      <c r="P82" s="350"/>
      <c r="Q82" s="350"/>
      <c r="S82" s="12"/>
      <c r="T82" s="19"/>
      <c r="U82" s="24"/>
      <c r="V82" s="23"/>
      <c r="W82" s="345"/>
      <c r="X82" s="345"/>
      <c r="Y82" s="345"/>
      <c r="Z82" s="345"/>
      <c r="AB82" s="12"/>
      <c r="AC82" s="19"/>
      <c r="AD82" s="24"/>
      <c r="AE82" s="23"/>
      <c r="AF82" s="355"/>
      <c r="AG82" s="355"/>
      <c r="AH82" s="355"/>
      <c r="AI82" s="355"/>
      <c r="AL82" s="12"/>
      <c r="AM82" s="19"/>
      <c r="AN82" s="24"/>
      <c r="AO82" s="23"/>
      <c r="AP82" s="355"/>
      <c r="AQ82" s="355"/>
      <c r="AR82" s="355"/>
      <c r="AS82" s="355"/>
    </row>
    <row r="83" spans="1:45">
      <c r="A83" s="12"/>
      <c r="B83" s="13"/>
      <c r="C83" s="26" t="s">
        <v>848</v>
      </c>
      <c r="D83" s="27">
        <f>SUM(D80:D82)</f>
        <v>1952500</v>
      </c>
      <c r="E83" s="27">
        <v>0</v>
      </c>
      <c r="F83" s="27">
        <v>0</v>
      </c>
      <c r="G83" s="27"/>
      <c r="H83" s="27"/>
      <c r="J83" s="12"/>
      <c r="K83" s="13"/>
      <c r="L83" s="26" t="s">
        <v>848</v>
      </c>
      <c r="M83" s="27">
        <f>SUM(M80:M82)</f>
        <v>1952500</v>
      </c>
      <c r="N83" s="27">
        <v>0</v>
      </c>
      <c r="O83" s="27">
        <v>0</v>
      </c>
      <c r="P83" s="27"/>
      <c r="Q83" s="27"/>
      <c r="S83" s="12"/>
      <c r="T83" s="13"/>
      <c r="U83" s="26" t="s">
        <v>848</v>
      </c>
      <c r="V83" s="27">
        <f>SUM(V80:V82)</f>
        <v>1652500</v>
      </c>
      <c r="W83" s="27">
        <v>0</v>
      </c>
      <c r="X83" s="27">
        <v>0</v>
      </c>
      <c r="Y83" s="27"/>
      <c r="Z83" s="27"/>
      <c r="AB83" s="12"/>
      <c r="AC83" s="13"/>
      <c r="AD83" s="26" t="s">
        <v>848</v>
      </c>
      <c r="AE83" s="27">
        <f>SUM(AE80:AE82)</f>
        <v>0</v>
      </c>
      <c r="AF83" s="27">
        <v>0</v>
      </c>
      <c r="AG83" s="27">
        <v>0</v>
      </c>
      <c r="AH83" s="27"/>
      <c r="AI83" s="27"/>
      <c r="AL83" s="12"/>
      <c r="AM83" s="13"/>
      <c r="AN83" s="26" t="s">
        <v>848</v>
      </c>
      <c r="AO83" s="27">
        <f>SUM(AO80:AO82)</f>
        <v>300000</v>
      </c>
      <c r="AP83" s="27">
        <v>0</v>
      </c>
      <c r="AQ83" s="27">
        <v>0</v>
      </c>
      <c r="AR83" s="27"/>
      <c r="AS83" s="27"/>
    </row>
    <row r="84" spans="1:45">
      <c r="A84" s="20"/>
      <c r="B84" s="19"/>
      <c r="C84" s="342" t="s">
        <v>21</v>
      </c>
      <c r="D84" s="10"/>
      <c r="E84" s="530">
        <f>D83</f>
        <v>1952500</v>
      </c>
      <c r="F84" s="530"/>
      <c r="G84" s="530"/>
      <c r="H84" s="530"/>
      <c r="J84" s="20"/>
      <c r="K84" s="19"/>
      <c r="L84" s="350" t="s">
        <v>21</v>
      </c>
      <c r="M84" s="10"/>
      <c r="N84" s="530">
        <f>M83</f>
        <v>1952500</v>
      </c>
      <c r="O84" s="530"/>
      <c r="P84" s="530"/>
      <c r="Q84" s="530"/>
      <c r="S84" s="20"/>
      <c r="T84" s="19"/>
      <c r="U84" s="345" t="s">
        <v>21</v>
      </c>
      <c r="V84" s="10"/>
      <c r="W84" s="530">
        <f>V83</f>
        <v>1652500</v>
      </c>
      <c r="X84" s="530"/>
      <c r="Y84" s="530"/>
      <c r="Z84" s="530"/>
      <c r="AB84" s="20"/>
      <c r="AC84" s="19"/>
      <c r="AD84" s="355" t="s">
        <v>21</v>
      </c>
      <c r="AE84" s="10"/>
      <c r="AF84" s="530">
        <f>AE83</f>
        <v>0</v>
      </c>
      <c r="AG84" s="530"/>
      <c r="AH84" s="530"/>
      <c r="AI84" s="530"/>
      <c r="AL84" s="20"/>
      <c r="AM84" s="19"/>
      <c r="AN84" s="355" t="s">
        <v>21</v>
      </c>
      <c r="AO84" s="10"/>
      <c r="AP84" s="530">
        <f>AO83</f>
        <v>300000</v>
      </c>
      <c r="AQ84" s="530"/>
      <c r="AR84" s="530"/>
      <c r="AS84" s="530"/>
    </row>
    <row r="85" spans="1:45">
      <c r="A85" s="527" t="s">
        <v>26</v>
      </c>
      <c r="B85" s="528"/>
      <c r="C85" s="528"/>
      <c r="D85" s="528"/>
      <c r="E85" s="528"/>
      <c r="F85" s="528"/>
      <c r="G85" s="528"/>
      <c r="H85" s="529"/>
      <c r="J85" s="527" t="s">
        <v>26</v>
      </c>
      <c r="K85" s="528"/>
      <c r="L85" s="528"/>
      <c r="M85" s="528"/>
      <c r="N85" s="528"/>
      <c r="O85" s="528"/>
      <c r="P85" s="528"/>
      <c r="Q85" s="529"/>
      <c r="S85" s="527" t="s">
        <v>26</v>
      </c>
      <c r="T85" s="528"/>
      <c r="U85" s="528"/>
      <c r="V85" s="528"/>
      <c r="W85" s="528"/>
      <c r="X85" s="528"/>
      <c r="Y85" s="528"/>
      <c r="Z85" s="529"/>
      <c r="AB85" s="527" t="s">
        <v>26</v>
      </c>
      <c r="AC85" s="528"/>
      <c r="AD85" s="528"/>
      <c r="AE85" s="528"/>
      <c r="AF85" s="528"/>
      <c r="AG85" s="528"/>
      <c r="AH85" s="528"/>
      <c r="AI85" s="529"/>
      <c r="AL85" s="527" t="s">
        <v>26</v>
      </c>
      <c r="AM85" s="528"/>
      <c r="AN85" s="528"/>
      <c r="AO85" s="528"/>
      <c r="AP85" s="528"/>
      <c r="AQ85" s="528"/>
      <c r="AR85" s="528"/>
      <c r="AS85" s="529"/>
    </row>
    <row r="86" spans="1:45">
      <c r="A86" s="12"/>
      <c r="B86" s="23" t="s">
        <v>1051</v>
      </c>
      <c r="C86" s="24" t="s">
        <v>1053</v>
      </c>
      <c r="D86" s="23">
        <v>175000</v>
      </c>
      <c r="E86" s="22"/>
      <c r="F86" s="22"/>
      <c r="G86" s="16"/>
      <c r="H86" s="16"/>
      <c r="J86" s="12"/>
      <c r="K86" s="23" t="s">
        <v>1051</v>
      </c>
      <c r="L86" s="24" t="s">
        <v>1053</v>
      </c>
      <c r="M86" s="23"/>
      <c r="N86" s="22"/>
      <c r="O86" s="22"/>
      <c r="P86" s="16"/>
      <c r="Q86" s="16"/>
      <c r="S86" s="12"/>
      <c r="T86" s="23"/>
      <c r="U86" s="24"/>
      <c r="V86" s="23"/>
      <c r="W86" s="22"/>
      <c r="X86" s="22"/>
      <c r="Y86" s="16"/>
      <c r="Z86" s="16"/>
      <c r="AB86" s="12"/>
      <c r="AC86" s="23"/>
      <c r="AD86" s="24"/>
      <c r="AE86" s="23"/>
      <c r="AF86" s="22"/>
      <c r="AG86" s="22"/>
      <c r="AH86" s="16"/>
      <c r="AI86" s="16"/>
      <c r="AL86" s="12"/>
      <c r="AM86" s="23"/>
      <c r="AN86" s="24"/>
      <c r="AO86" s="23"/>
      <c r="AP86" s="22"/>
      <c r="AQ86" s="22"/>
      <c r="AR86" s="16"/>
      <c r="AS86" s="16"/>
    </row>
    <row r="87" spans="1:45">
      <c r="A87" s="12"/>
      <c r="B87" s="23" t="s">
        <v>1051</v>
      </c>
      <c r="C87" s="24" t="s">
        <v>1052</v>
      </c>
      <c r="D87" s="23">
        <v>1490500</v>
      </c>
      <c r="E87" s="23"/>
      <c r="F87" s="22"/>
      <c r="G87" s="16"/>
      <c r="H87" s="280"/>
      <c r="J87" s="12"/>
      <c r="K87" s="23" t="s">
        <v>1051</v>
      </c>
      <c r="L87" s="24" t="s">
        <v>1052</v>
      </c>
      <c r="M87" s="23"/>
      <c r="N87" s="23"/>
      <c r="O87" s="22"/>
      <c r="P87" s="16"/>
      <c r="Q87" s="280"/>
      <c r="S87" s="12"/>
      <c r="T87" s="23"/>
      <c r="U87" s="24"/>
      <c r="V87" s="23"/>
      <c r="W87" s="23"/>
      <c r="X87" s="22"/>
      <c r="Y87" s="16"/>
      <c r="Z87" s="280"/>
      <c r="AB87" s="12"/>
      <c r="AC87" s="23"/>
      <c r="AD87" s="24"/>
      <c r="AE87" s="23"/>
      <c r="AF87" s="23"/>
      <c r="AG87" s="22"/>
      <c r="AH87" s="16"/>
      <c r="AI87" s="280"/>
      <c r="AL87" s="12"/>
      <c r="AM87" s="23"/>
      <c r="AN87" s="24"/>
      <c r="AO87" s="23"/>
      <c r="AP87" s="23"/>
      <c r="AQ87" s="22"/>
      <c r="AR87" s="16"/>
      <c r="AS87" s="280"/>
    </row>
    <row r="88" spans="1:45">
      <c r="A88" s="12"/>
      <c r="B88" s="23" t="s">
        <v>1054</v>
      </c>
      <c r="C88" s="24" t="s">
        <v>1055</v>
      </c>
      <c r="D88" s="23">
        <v>95000</v>
      </c>
      <c r="E88" s="22"/>
      <c r="F88" s="22"/>
      <c r="G88" s="16"/>
      <c r="H88" s="16"/>
      <c r="J88" s="12"/>
      <c r="K88" s="23" t="s">
        <v>1054</v>
      </c>
      <c r="L88" s="24" t="s">
        <v>1055</v>
      </c>
      <c r="M88" s="23"/>
      <c r="N88" s="22"/>
      <c r="O88" s="22"/>
      <c r="P88" s="16"/>
      <c r="Q88" s="16"/>
      <c r="S88" s="12"/>
      <c r="T88" s="23"/>
      <c r="U88" s="24"/>
      <c r="V88" s="23"/>
      <c r="W88" s="22"/>
      <c r="X88" s="22"/>
      <c r="Y88" s="16"/>
      <c r="Z88" s="16"/>
      <c r="AB88" s="12"/>
      <c r="AC88" s="23"/>
      <c r="AD88" s="24"/>
      <c r="AE88" s="23"/>
      <c r="AF88" s="22"/>
      <c r="AG88" s="22"/>
      <c r="AH88" s="16"/>
      <c r="AI88" s="16"/>
      <c r="AL88" s="12"/>
      <c r="AM88" s="23"/>
      <c r="AN88" s="24"/>
      <c r="AO88" s="23"/>
      <c r="AP88" s="22"/>
      <c r="AQ88" s="22"/>
      <c r="AR88" s="16"/>
      <c r="AS88" s="16"/>
    </row>
    <row r="89" spans="1:45">
      <c r="A89" s="12"/>
      <c r="B89" s="23" t="s">
        <v>1054</v>
      </c>
      <c r="C89" s="24" t="s">
        <v>1061</v>
      </c>
      <c r="D89" s="23">
        <v>10000</v>
      </c>
      <c r="E89" s="22"/>
      <c r="F89" s="22"/>
      <c r="G89" s="16"/>
      <c r="H89" s="16"/>
      <c r="J89" s="12"/>
      <c r="K89" s="23" t="s">
        <v>1054</v>
      </c>
      <c r="L89" s="24" t="s">
        <v>1061</v>
      </c>
      <c r="M89" s="23"/>
      <c r="N89" s="22"/>
      <c r="O89" s="22"/>
      <c r="P89" s="16"/>
      <c r="Q89" s="16"/>
      <c r="S89" s="12"/>
      <c r="T89" s="23"/>
      <c r="U89" s="24"/>
      <c r="V89" s="23"/>
      <c r="W89" s="22"/>
      <c r="X89" s="22"/>
      <c r="Y89" s="16"/>
      <c r="Z89" s="16"/>
      <c r="AB89" s="12"/>
      <c r="AC89" s="23"/>
      <c r="AD89" s="24"/>
      <c r="AE89" s="23"/>
      <c r="AF89" s="22"/>
      <c r="AG89" s="22"/>
      <c r="AH89" s="16"/>
      <c r="AI89" s="16"/>
      <c r="AL89" s="12"/>
      <c r="AM89" s="23"/>
      <c r="AN89" s="24"/>
      <c r="AO89" s="23"/>
      <c r="AP89" s="22"/>
      <c r="AQ89" s="22"/>
      <c r="AR89" s="16"/>
      <c r="AS89" s="16"/>
    </row>
    <row r="90" spans="1:45">
      <c r="A90" s="12"/>
      <c r="B90" s="19" t="s">
        <v>1056</v>
      </c>
      <c r="C90" s="24" t="s">
        <v>1057</v>
      </c>
      <c r="D90" s="23">
        <v>1760000</v>
      </c>
      <c r="E90" s="22"/>
      <c r="F90" s="22"/>
      <c r="G90" s="16"/>
      <c r="H90" s="16"/>
      <c r="J90" s="12"/>
      <c r="K90" s="19" t="s">
        <v>1056</v>
      </c>
      <c r="L90" s="24" t="s">
        <v>1057</v>
      </c>
      <c r="M90" s="23"/>
      <c r="N90" s="22"/>
      <c r="O90" s="22"/>
      <c r="P90" s="16"/>
      <c r="Q90" s="16"/>
      <c r="S90" s="12"/>
      <c r="T90" s="19"/>
      <c r="U90" s="24"/>
      <c r="V90" s="23"/>
      <c r="W90" s="22"/>
      <c r="X90" s="22"/>
      <c r="Y90" s="16"/>
      <c r="Z90" s="16"/>
      <c r="AB90" s="12"/>
      <c r="AC90" s="19"/>
      <c r="AD90" s="24"/>
      <c r="AE90" s="23"/>
      <c r="AF90" s="22"/>
      <c r="AG90" s="22"/>
      <c r="AH90" s="16"/>
      <c r="AI90" s="16"/>
      <c r="AL90" s="12"/>
      <c r="AM90" s="19"/>
      <c r="AN90" s="24"/>
      <c r="AO90" s="23"/>
      <c r="AP90" s="22"/>
      <c r="AQ90" s="22"/>
      <c r="AR90" s="16"/>
      <c r="AS90" s="16"/>
    </row>
    <row r="91" spans="1:45">
      <c r="A91" s="12"/>
      <c r="B91" s="19" t="s">
        <v>1056</v>
      </c>
      <c r="C91" s="24" t="s">
        <v>1058</v>
      </c>
      <c r="D91" s="23">
        <v>1123500</v>
      </c>
      <c r="E91" s="22"/>
      <c r="F91" s="22"/>
      <c r="G91" s="16"/>
      <c r="H91" s="16"/>
      <c r="J91" s="12"/>
      <c r="K91" s="19" t="s">
        <v>1056</v>
      </c>
      <c r="L91" s="24" t="s">
        <v>1058</v>
      </c>
      <c r="M91" s="23"/>
      <c r="N91" s="22"/>
      <c r="O91" s="22"/>
      <c r="P91" s="16"/>
      <c r="Q91" s="16"/>
      <c r="S91" s="12"/>
      <c r="T91" s="19"/>
      <c r="U91" s="24"/>
      <c r="V91" s="23"/>
      <c r="W91" s="22"/>
      <c r="X91" s="22"/>
      <c r="Y91" s="16"/>
      <c r="Z91" s="16"/>
      <c r="AB91" s="12"/>
      <c r="AC91" s="19"/>
      <c r="AD91" s="24"/>
      <c r="AE91" s="23"/>
      <c r="AF91" s="22"/>
      <c r="AG91" s="22"/>
      <c r="AH91" s="16"/>
      <c r="AI91" s="16"/>
      <c r="AL91" s="12"/>
      <c r="AM91" s="19"/>
      <c r="AN91" s="24"/>
      <c r="AO91" s="23"/>
      <c r="AP91" s="22"/>
      <c r="AQ91" s="22"/>
      <c r="AR91" s="16"/>
      <c r="AS91" s="16"/>
    </row>
    <row r="92" spans="1:45">
      <c r="A92" s="12"/>
      <c r="B92" s="23" t="s">
        <v>1054</v>
      </c>
      <c r="C92" s="24" t="s">
        <v>1068</v>
      </c>
      <c r="D92" s="23">
        <v>1591000</v>
      </c>
      <c r="E92" s="22"/>
      <c r="F92" s="22"/>
      <c r="G92" s="16"/>
      <c r="H92" s="16"/>
      <c r="J92" s="12"/>
      <c r="K92" s="23" t="s">
        <v>1054</v>
      </c>
      <c r="L92" s="24" t="s">
        <v>1068</v>
      </c>
      <c r="M92" s="23"/>
      <c r="N92" s="22"/>
      <c r="O92" s="22"/>
      <c r="P92" s="16"/>
      <c r="Q92" s="16"/>
      <c r="S92" s="12"/>
      <c r="T92" s="23"/>
      <c r="U92" s="24"/>
      <c r="V92" s="23"/>
      <c r="W92" s="22"/>
      <c r="X92" s="22"/>
      <c r="Y92" s="16"/>
      <c r="Z92" s="16"/>
      <c r="AB92" s="12"/>
      <c r="AC92" s="23"/>
      <c r="AD92" s="24"/>
      <c r="AE92" s="23"/>
      <c r="AF92" s="22"/>
      <c r="AG92" s="22"/>
      <c r="AH92" s="16"/>
      <c r="AI92" s="16"/>
      <c r="AL92" s="12"/>
      <c r="AM92" s="23"/>
      <c r="AN92" s="24"/>
      <c r="AO92" s="23"/>
      <c r="AP92" s="22"/>
      <c r="AQ92" s="22"/>
      <c r="AR92" s="16"/>
      <c r="AS92" s="16"/>
    </row>
    <row r="93" spans="1:45">
      <c r="A93" s="12"/>
      <c r="B93" s="19" t="s">
        <v>1051</v>
      </c>
      <c r="C93" s="24" t="s">
        <v>1069</v>
      </c>
      <c r="D93" s="23">
        <v>313000</v>
      </c>
      <c r="E93" s="22"/>
      <c r="F93" s="22"/>
      <c r="G93" s="16"/>
      <c r="H93" s="16"/>
      <c r="J93" s="12"/>
      <c r="K93" s="19" t="s">
        <v>1051</v>
      </c>
      <c r="L93" s="24" t="s">
        <v>1069</v>
      </c>
      <c r="M93" s="23"/>
      <c r="N93" s="22"/>
      <c r="O93" s="22"/>
      <c r="P93" s="16"/>
      <c r="Q93" s="16"/>
      <c r="S93" s="12"/>
      <c r="T93" s="19"/>
      <c r="U93" s="24"/>
      <c r="V93" s="23"/>
      <c r="W93" s="22"/>
      <c r="X93" s="22"/>
      <c r="Y93" s="16"/>
      <c r="Z93" s="16"/>
      <c r="AB93" s="12"/>
      <c r="AC93" s="19"/>
      <c r="AD93" s="24"/>
      <c r="AE93" s="23"/>
      <c r="AF93" s="22"/>
      <c r="AG93" s="22"/>
      <c r="AH93" s="16"/>
      <c r="AI93" s="16"/>
      <c r="AL93" s="12"/>
      <c r="AM93" s="19"/>
      <c r="AN93" s="24"/>
      <c r="AO93" s="23"/>
      <c r="AP93" s="22"/>
      <c r="AQ93" s="22"/>
      <c r="AR93" s="16"/>
      <c r="AS93" s="16"/>
    </row>
    <row r="94" spans="1:45">
      <c r="A94" s="12"/>
      <c r="B94" s="19" t="s">
        <v>1051</v>
      </c>
      <c r="C94" s="24" t="s">
        <v>1069</v>
      </c>
      <c r="D94" s="23">
        <v>84000</v>
      </c>
      <c r="E94" s="22"/>
      <c r="F94" s="22"/>
      <c r="G94" s="16"/>
      <c r="H94" s="16"/>
      <c r="J94" s="12"/>
      <c r="K94" s="19" t="s">
        <v>1051</v>
      </c>
      <c r="L94" s="24" t="s">
        <v>1069</v>
      </c>
      <c r="M94" s="23"/>
      <c r="N94" s="22"/>
      <c r="O94" s="22"/>
      <c r="P94" s="16"/>
      <c r="Q94" s="16"/>
      <c r="S94" s="12"/>
      <c r="T94" s="19"/>
      <c r="U94" s="24"/>
      <c r="V94" s="23"/>
      <c r="W94" s="22"/>
      <c r="X94" s="22"/>
      <c r="Y94" s="16"/>
      <c r="Z94" s="16"/>
      <c r="AB94" s="12"/>
      <c r="AC94" s="19"/>
      <c r="AD94" s="24"/>
      <c r="AE94" s="23"/>
      <c r="AF94" s="22"/>
      <c r="AG94" s="22"/>
      <c r="AH94" s="16"/>
      <c r="AI94" s="16"/>
      <c r="AL94" s="12"/>
      <c r="AM94" s="19"/>
      <c r="AN94" s="24"/>
      <c r="AO94" s="23"/>
      <c r="AP94" s="22"/>
      <c r="AQ94" s="22"/>
      <c r="AR94" s="16"/>
      <c r="AS94" s="16"/>
    </row>
    <row r="95" spans="1:45">
      <c r="A95" s="12"/>
      <c r="B95" s="19"/>
      <c r="C95" s="24"/>
      <c r="D95" s="23"/>
      <c r="E95" s="22"/>
      <c r="F95" s="22"/>
      <c r="G95" s="16"/>
      <c r="H95" s="16"/>
      <c r="J95" s="12"/>
      <c r="K95" s="19"/>
      <c r="L95" s="24"/>
      <c r="M95" s="23"/>
      <c r="N95" s="22"/>
      <c r="O95" s="22"/>
      <c r="P95" s="16"/>
      <c r="Q95" s="16"/>
      <c r="S95" s="12"/>
      <c r="T95" s="19"/>
      <c r="U95" s="24"/>
      <c r="V95" s="23"/>
      <c r="W95" s="22"/>
      <c r="X95" s="22"/>
      <c r="Y95" s="16"/>
      <c r="Z95" s="16"/>
      <c r="AB95" s="12"/>
      <c r="AC95" s="19"/>
      <c r="AD95" s="24"/>
      <c r="AE95" s="23"/>
      <c r="AF95" s="22"/>
      <c r="AG95" s="22"/>
      <c r="AH95" s="16"/>
      <c r="AI95" s="16"/>
      <c r="AL95" s="12"/>
      <c r="AM95" s="19"/>
      <c r="AN95" s="24"/>
      <c r="AO95" s="23"/>
      <c r="AP95" s="22"/>
      <c r="AQ95" s="22"/>
      <c r="AR95" s="16"/>
      <c r="AS95" s="16"/>
    </row>
    <row r="96" spans="1:45">
      <c r="A96" s="12"/>
      <c r="B96" s="19"/>
      <c r="C96" s="24"/>
      <c r="D96" s="23"/>
      <c r="E96" s="22"/>
      <c r="F96" s="22"/>
      <c r="G96" s="16"/>
      <c r="H96" s="16"/>
      <c r="J96" s="12"/>
      <c r="K96" s="19"/>
      <c r="L96" s="24"/>
      <c r="M96" s="23"/>
      <c r="N96" s="22"/>
      <c r="O96" s="22"/>
      <c r="P96" s="16"/>
      <c r="Q96" s="16"/>
      <c r="S96" s="12"/>
      <c r="T96" s="19"/>
      <c r="U96" s="24"/>
      <c r="V96" s="23"/>
      <c r="W96" s="22"/>
      <c r="X96" s="22"/>
      <c r="Y96" s="16"/>
      <c r="Z96" s="16"/>
      <c r="AB96" s="12"/>
      <c r="AC96" s="19"/>
      <c r="AD96" s="24"/>
      <c r="AE96" s="23"/>
      <c r="AF96" s="22"/>
      <c r="AG96" s="22"/>
      <c r="AH96" s="16"/>
      <c r="AI96" s="16"/>
      <c r="AL96" s="12"/>
      <c r="AM96" s="19"/>
      <c r="AN96" s="24"/>
      <c r="AO96" s="23"/>
      <c r="AP96" s="22"/>
      <c r="AQ96" s="22"/>
      <c r="AR96" s="16"/>
      <c r="AS96" s="16"/>
    </row>
    <row r="97" spans="1:45">
      <c r="A97" s="12"/>
      <c r="B97" s="19"/>
      <c r="C97" s="24"/>
      <c r="D97" s="23"/>
      <c r="E97" s="22"/>
      <c r="F97" s="22"/>
      <c r="G97" s="16"/>
      <c r="H97" s="16"/>
      <c r="J97" s="12"/>
      <c r="K97" s="19"/>
      <c r="L97" s="24"/>
      <c r="M97" s="23"/>
      <c r="N97" s="22"/>
      <c r="O97" s="22"/>
      <c r="P97" s="16"/>
      <c r="Q97" s="16"/>
      <c r="S97" s="12"/>
      <c r="T97" s="19"/>
      <c r="U97" s="24"/>
      <c r="V97" s="23"/>
      <c r="W97" s="22"/>
      <c r="X97" s="22"/>
      <c r="Y97" s="16"/>
      <c r="Z97" s="16"/>
      <c r="AB97" s="12"/>
      <c r="AC97" s="19"/>
      <c r="AD97" s="24"/>
      <c r="AE97" s="23"/>
      <c r="AF97" s="22"/>
      <c r="AG97" s="22"/>
      <c r="AH97" s="16"/>
      <c r="AI97" s="16"/>
      <c r="AL97" s="12"/>
      <c r="AM97" s="19"/>
      <c r="AN97" s="24"/>
      <c r="AO97" s="23"/>
      <c r="AP97" s="22"/>
      <c r="AQ97" s="22"/>
      <c r="AR97" s="16"/>
      <c r="AS97" s="16"/>
    </row>
    <row r="98" spans="1:45">
      <c r="A98" s="12"/>
      <c r="B98" s="19"/>
      <c r="C98" s="24"/>
      <c r="D98" s="23"/>
      <c r="E98" s="22"/>
      <c r="F98" s="22"/>
      <c r="G98" s="16"/>
      <c r="H98" s="16"/>
      <c r="J98" s="12"/>
      <c r="K98" s="19"/>
      <c r="L98" s="24"/>
      <c r="M98" s="23"/>
      <c r="N98" s="22"/>
      <c r="O98" s="22"/>
      <c r="P98" s="16"/>
      <c r="Q98" s="16"/>
      <c r="S98" s="12"/>
      <c r="T98" s="19"/>
      <c r="U98" s="24"/>
      <c r="V98" s="23"/>
      <c r="W98" s="22"/>
      <c r="X98" s="22"/>
      <c r="Y98" s="16"/>
      <c r="Z98" s="16"/>
      <c r="AB98" s="12"/>
      <c r="AC98" s="19"/>
      <c r="AD98" s="24"/>
      <c r="AE98" s="23"/>
      <c r="AF98" s="22"/>
      <c r="AG98" s="22"/>
      <c r="AH98" s="16"/>
      <c r="AI98" s="16"/>
      <c r="AL98" s="12"/>
      <c r="AM98" s="19"/>
      <c r="AN98" s="24"/>
      <c r="AO98" s="23"/>
      <c r="AP98" s="22"/>
      <c r="AQ98" s="22"/>
      <c r="AR98" s="16"/>
      <c r="AS98" s="16"/>
    </row>
    <row r="99" spans="1:45">
      <c r="A99" s="12"/>
      <c r="B99" s="19"/>
      <c r="C99" s="23"/>
      <c r="D99" s="23"/>
      <c r="E99" s="22"/>
      <c r="F99" s="22"/>
      <c r="G99" s="16"/>
      <c r="H99" s="16"/>
      <c r="J99" s="12"/>
      <c r="K99" s="19"/>
      <c r="L99" s="23"/>
      <c r="M99" s="23"/>
      <c r="N99" s="22"/>
      <c r="O99" s="22"/>
      <c r="P99" s="16"/>
      <c r="Q99" s="16"/>
      <c r="S99" s="12"/>
      <c r="T99" s="19"/>
      <c r="U99" s="23"/>
      <c r="V99" s="23"/>
      <c r="W99" s="22"/>
      <c r="X99" s="22"/>
      <c r="Y99" s="16"/>
      <c r="Z99" s="16"/>
      <c r="AB99" s="12"/>
      <c r="AC99" s="19"/>
      <c r="AD99" s="23"/>
      <c r="AE99" s="23"/>
      <c r="AF99" s="22"/>
      <c r="AG99" s="22"/>
      <c r="AH99" s="16"/>
      <c r="AI99" s="16"/>
      <c r="AL99" s="12"/>
      <c r="AM99" s="19"/>
      <c r="AN99" s="23"/>
      <c r="AO99" s="23"/>
      <c r="AP99" s="22"/>
      <c r="AQ99" s="22"/>
      <c r="AR99" s="16"/>
      <c r="AS99" s="16"/>
    </row>
    <row r="100" spans="1:45">
      <c r="A100" s="25"/>
      <c r="B100" s="19"/>
      <c r="C100" s="26" t="s">
        <v>31</v>
      </c>
      <c r="D100" s="27">
        <f>SUM(D86:D99)</f>
        <v>6642000</v>
      </c>
      <c r="E100" s="27"/>
      <c r="F100" s="27"/>
      <c r="G100" s="27"/>
      <c r="H100" s="27"/>
      <c r="J100" s="25"/>
      <c r="K100" s="19"/>
      <c r="L100" s="26" t="s">
        <v>31</v>
      </c>
      <c r="M100" s="27">
        <f>SUM(M86:M99)</f>
        <v>0</v>
      </c>
      <c r="N100" s="27"/>
      <c r="O100" s="27"/>
      <c r="P100" s="27"/>
      <c r="Q100" s="27"/>
      <c r="S100" s="25"/>
      <c r="T100" s="19"/>
      <c r="U100" s="26" t="s">
        <v>31</v>
      </c>
      <c r="V100" s="27">
        <f>SUM(V86:V99)</f>
        <v>0</v>
      </c>
      <c r="W100" s="27"/>
      <c r="X100" s="27"/>
      <c r="Y100" s="27"/>
      <c r="Z100" s="27"/>
      <c r="AB100" s="25"/>
      <c r="AC100" s="19"/>
      <c r="AD100" s="26" t="s">
        <v>31</v>
      </c>
      <c r="AE100" s="27">
        <f>SUM(AE86:AE99)</f>
        <v>0</v>
      </c>
      <c r="AF100" s="27"/>
      <c r="AG100" s="27"/>
      <c r="AH100" s="27"/>
      <c r="AI100" s="27"/>
      <c r="AL100" s="25"/>
      <c r="AM100" s="19"/>
      <c r="AN100" s="26" t="s">
        <v>31</v>
      </c>
      <c r="AO100" s="27">
        <f>SUM(AO86:AO99)</f>
        <v>0</v>
      </c>
      <c r="AP100" s="27"/>
      <c r="AQ100" s="27"/>
      <c r="AR100" s="27"/>
      <c r="AS100" s="27"/>
    </row>
    <row r="101" spans="1:45">
      <c r="A101" s="20"/>
      <c r="B101" s="19"/>
      <c r="C101" s="342" t="s">
        <v>21</v>
      </c>
      <c r="D101" s="10"/>
      <c r="E101" s="530">
        <f>+D100</f>
        <v>6642000</v>
      </c>
      <c r="F101" s="530"/>
      <c r="G101" s="530"/>
      <c r="H101" s="530"/>
      <c r="J101" s="20"/>
      <c r="K101" s="19"/>
      <c r="L101" s="350" t="s">
        <v>21</v>
      </c>
      <c r="M101" s="10"/>
      <c r="N101" s="530">
        <f>+M100</f>
        <v>0</v>
      </c>
      <c r="O101" s="530"/>
      <c r="P101" s="530"/>
      <c r="Q101" s="530"/>
      <c r="S101" s="20"/>
      <c r="T101" s="19"/>
      <c r="U101" s="345" t="s">
        <v>21</v>
      </c>
      <c r="V101" s="10"/>
      <c r="W101" s="530">
        <f>+V100</f>
        <v>0</v>
      </c>
      <c r="X101" s="530"/>
      <c r="Y101" s="530"/>
      <c r="Z101" s="530"/>
      <c r="AB101" s="20"/>
      <c r="AC101" s="19"/>
      <c r="AD101" s="355" t="s">
        <v>21</v>
      </c>
      <c r="AE101" s="10"/>
      <c r="AF101" s="530">
        <f>+AE100</f>
        <v>0</v>
      </c>
      <c r="AG101" s="530"/>
      <c r="AH101" s="530"/>
      <c r="AI101" s="530"/>
      <c r="AL101" s="20"/>
      <c r="AM101" s="19"/>
      <c r="AN101" s="355" t="s">
        <v>21</v>
      </c>
      <c r="AO101" s="10"/>
      <c r="AP101" s="530">
        <f>+AO100</f>
        <v>0</v>
      </c>
      <c r="AQ101" s="530"/>
      <c r="AR101" s="530"/>
      <c r="AS101" s="530"/>
    </row>
    <row r="102" spans="1:45">
      <c r="A102" s="527" t="s">
        <v>32</v>
      </c>
      <c r="B102" s="528"/>
      <c r="C102" s="528"/>
      <c r="D102" s="528"/>
      <c r="E102" s="528"/>
      <c r="F102" s="528"/>
      <c r="G102" s="528"/>
      <c r="H102" s="529"/>
      <c r="J102" s="527" t="s">
        <v>32</v>
      </c>
      <c r="K102" s="528"/>
      <c r="L102" s="528"/>
      <c r="M102" s="528"/>
      <c r="N102" s="528"/>
      <c r="O102" s="528"/>
      <c r="P102" s="528"/>
      <c r="Q102" s="529"/>
      <c r="S102" s="527" t="s">
        <v>32</v>
      </c>
      <c r="T102" s="528"/>
      <c r="U102" s="528"/>
      <c r="V102" s="528"/>
      <c r="W102" s="528"/>
      <c r="X102" s="528"/>
      <c r="Y102" s="528"/>
      <c r="Z102" s="529"/>
      <c r="AB102" s="527" t="s">
        <v>32</v>
      </c>
      <c r="AC102" s="528"/>
      <c r="AD102" s="528"/>
      <c r="AE102" s="528"/>
      <c r="AF102" s="528"/>
      <c r="AG102" s="528"/>
      <c r="AH102" s="528"/>
      <c r="AI102" s="529"/>
      <c r="AL102" s="527" t="s">
        <v>32</v>
      </c>
      <c r="AM102" s="528"/>
      <c r="AN102" s="528"/>
      <c r="AO102" s="528"/>
      <c r="AP102" s="528"/>
      <c r="AQ102" s="528"/>
      <c r="AR102" s="528"/>
      <c r="AS102" s="529"/>
    </row>
    <row r="103" spans="1:45">
      <c r="A103" s="12"/>
      <c r="B103" s="13"/>
      <c r="C103" s="22"/>
      <c r="D103" s="22"/>
      <c r="E103" s="342"/>
      <c r="F103" s="342"/>
      <c r="G103" s="342"/>
      <c r="H103" s="342"/>
      <c r="J103" s="12"/>
      <c r="K103" s="13"/>
      <c r="L103" s="22"/>
      <c r="M103" s="22"/>
      <c r="N103" s="350"/>
      <c r="O103" s="350"/>
      <c r="P103" s="350"/>
      <c r="Q103" s="350"/>
      <c r="S103" s="12"/>
      <c r="T103" s="13"/>
      <c r="U103" s="22"/>
      <c r="V103" s="22"/>
      <c r="W103" s="345"/>
      <c r="X103" s="345"/>
      <c r="Y103" s="345"/>
      <c r="Z103" s="345"/>
      <c r="AB103" s="12"/>
      <c r="AC103" s="13"/>
      <c r="AD103" s="22"/>
      <c r="AE103" s="22"/>
      <c r="AF103" s="355"/>
      <c r="AG103" s="355"/>
      <c r="AH103" s="355"/>
      <c r="AI103" s="355"/>
      <c r="AL103" s="12"/>
      <c r="AM103" s="13"/>
      <c r="AN103" s="22"/>
      <c r="AO103" s="22"/>
      <c r="AP103" s="355"/>
      <c r="AQ103" s="355"/>
      <c r="AR103" s="355"/>
      <c r="AS103" s="355"/>
    </row>
    <row r="104" spans="1:45">
      <c r="A104" s="12"/>
      <c r="B104" s="22"/>
      <c r="C104" s="22"/>
      <c r="D104" s="22"/>
      <c r="E104" s="342"/>
      <c r="F104" s="342"/>
      <c r="G104" s="342"/>
      <c r="H104" s="342"/>
      <c r="J104" s="12"/>
      <c r="K104" s="22"/>
      <c r="L104" s="22"/>
      <c r="M104" s="22"/>
      <c r="N104" s="350"/>
      <c r="O104" s="350"/>
      <c r="P104" s="350"/>
      <c r="Q104" s="350"/>
      <c r="S104" s="12"/>
      <c r="T104" s="22"/>
      <c r="U104" s="22"/>
      <c r="V104" s="22"/>
      <c r="W104" s="345"/>
      <c r="X104" s="345"/>
      <c r="Y104" s="345"/>
      <c r="Z104" s="345"/>
      <c r="AB104" s="12"/>
      <c r="AC104" s="22"/>
      <c r="AD104" s="22"/>
      <c r="AE104" s="22"/>
      <c r="AF104" s="355"/>
      <c r="AG104" s="355"/>
      <c r="AH104" s="355"/>
      <c r="AI104" s="355"/>
      <c r="AL104" s="12"/>
      <c r="AM104" s="22"/>
      <c r="AN104" s="22"/>
      <c r="AO104" s="22"/>
      <c r="AP104" s="355"/>
      <c r="AQ104" s="355"/>
      <c r="AR104" s="355"/>
      <c r="AS104" s="355"/>
    </row>
    <row r="105" spans="1:45">
      <c r="A105" s="12"/>
      <c r="B105" s="13"/>
      <c r="C105" s="22"/>
      <c r="D105" s="22"/>
      <c r="E105" s="342"/>
      <c r="F105" s="342"/>
      <c r="G105" s="342"/>
      <c r="H105" s="342"/>
      <c r="J105" s="12"/>
      <c r="K105" s="13"/>
      <c r="L105" s="22"/>
      <c r="M105" s="22"/>
      <c r="N105" s="350"/>
      <c r="O105" s="350"/>
      <c r="P105" s="350"/>
      <c r="Q105" s="350"/>
      <c r="S105" s="12"/>
      <c r="T105" s="13"/>
      <c r="U105" s="22"/>
      <c r="V105" s="22"/>
      <c r="W105" s="345"/>
      <c r="X105" s="345"/>
      <c r="Y105" s="345"/>
      <c r="Z105" s="345"/>
      <c r="AB105" s="12"/>
      <c r="AC105" s="13"/>
      <c r="AD105" s="22"/>
      <c r="AE105" s="22"/>
      <c r="AF105" s="355"/>
      <c r="AG105" s="355"/>
      <c r="AH105" s="355"/>
      <c r="AI105" s="355"/>
      <c r="AL105" s="12"/>
      <c r="AM105" s="13"/>
      <c r="AN105" s="22"/>
      <c r="AO105" s="22"/>
      <c r="AP105" s="355"/>
      <c r="AQ105" s="355"/>
      <c r="AR105" s="355"/>
      <c r="AS105" s="355"/>
    </row>
    <row r="106" spans="1:45">
      <c r="A106" s="12"/>
      <c r="B106" s="13"/>
      <c r="C106" s="22"/>
      <c r="D106" s="29"/>
      <c r="E106" s="342"/>
      <c r="F106" s="342"/>
      <c r="G106" s="342"/>
      <c r="H106" s="342"/>
      <c r="J106" s="12"/>
      <c r="K106" s="13"/>
      <c r="L106" s="22"/>
      <c r="M106" s="29"/>
      <c r="N106" s="350"/>
      <c r="O106" s="350"/>
      <c r="P106" s="350"/>
      <c r="Q106" s="350"/>
      <c r="S106" s="12"/>
      <c r="T106" s="13"/>
      <c r="U106" s="22"/>
      <c r="V106" s="29"/>
      <c r="W106" s="345"/>
      <c r="X106" s="345"/>
      <c r="Y106" s="345"/>
      <c r="Z106" s="345"/>
      <c r="AB106" s="12"/>
      <c r="AC106" s="13"/>
      <c r="AD106" s="22"/>
      <c r="AE106" s="29"/>
      <c r="AF106" s="355"/>
      <c r="AG106" s="355"/>
      <c r="AH106" s="355"/>
      <c r="AI106" s="355"/>
      <c r="AL106" s="12"/>
      <c r="AM106" s="13"/>
      <c r="AN106" s="22"/>
      <c r="AO106" s="29"/>
      <c r="AP106" s="355"/>
      <c r="AQ106" s="355"/>
      <c r="AR106" s="355"/>
      <c r="AS106" s="355"/>
    </row>
    <row r="107" spans="1:45">
      <c r="A107" s="12"/>
      <c r="B107" s="13"/>
      <c r="C107" s="22"/>
      <c r="D107" s="29"/>
      <c r="E107" s="342"/>
      <c r="F107" s="342"/>
      <c r="G107" s="342"/>
      <c r="H107" s="342"/>
      <c r="J107" s="12"/>
      <c r="K107" s="13"/>
      <c r="L107" s="22"/>
      <c r="M107" s="29"/>
      <c r="N107" s="350"/>
      <c r="O107" s="350"/>
      <c r="P107" s="350"/>
      <c r="Q107" s="350"/>
      <c r="S107" s="12"/>
      <c r="T107" s="13"/>
      <c r="U107" s="22"/>
      <c r="V107" s="29"/>
      <c r="W107" s="345"/>
      <c r="X107" s="345"/>
      <c r="Y107" s="345"/>
      <c r="Z107" s="345"/>
      <c r="AB107" s="12"/>
      <c r="AC107" s="13"/>
      <c r="AD107" s="22"/>
      <c r="AE107" s="29"/>
      <c r="AF107" s="355"/>
      <c r="AG107" s="355"/>
      <c r="AH107" s="355"/>
      <c r="AI107" s="355"/>
      <c r="AL107" s="12"/>
      <c r="AM107" s="13"/>
      <c r="AN107" s="22"/>
      <c r="AO107" s="29"/>
      <c r="AP107" s="355"/>
      <c r="AQ107" s="355"/>
      <c r="AR107" s="355"/>
      <c r="AS107" s="355"/>
    </row>
    <row r="108" spans="1:45">
      <c r="A108" s="12"/>
      <c r="B108" s="13"/>
      <c r="C108" s="22"/>
      <c r="D108" s="29"/>
      <c r="E108" s="342"/>
      <c r="F108" s="342"/>
      <c r="G108" s="342"/>
      <c r="H108" s="342"/>
      <c r="J108" s="12"/>
      <c r="K108" s="13"/>
      <c r="L108" s="22"/>
      <c r="M108" s="29"/>
      <c r="N108" s="350"/>
      <c r="O108" s="350"/>
      <c r="P108" s="350"/>
      <c r="Q108" s="350"/>
      <c r="S108" s="12"/>
      <c r="T108" s="13"/>
      <c r="U108" s="22"/>
      <c r="V108" s="29"/>
      <c r="W108" s="345"/>
      <c r="X108" s="345"/>
      <c r="Y108" s="345"/>
      <c r="Z108" s="345"/>
      <c r="AB108" s="12"/>
      <c r="AC108" s="13"/>
      <c r="AD108" s="22"/>
      <c r="AE108" s="29"/>
      <c r="AF108" s="355"/>
      <c r="AG108" s="355"/>
      <c r="AH108" s="355"/>
      <c r="AI108" s="355"/>
      <c r="AL108" s="12"/>
      <c r="AM108" s="13"/>
      <c r="AN108" s="22"/>
      <c r="AO108" s="29"/>
      <c r="AP108" s="355"/>
      <c r="AQ108" s="355"/>
      <c r="AR108" s="355"/>
      <c r="AS108" s="355"/>
    </row>
    <row r="109" spans="1:45">
      <c r="A109" s="12"/>
      <c r="B109" s="13"/>
      <c r="C109" s="22"/>
      <c r="D109" s="29"/>
      <c r="E109" s="342"/>
      <c r="F109" s="342"/>
      <c r="G109" s="342"/>
      <c r="H109" s="342"/>
      <c r="J109" s="12"/>
      <c r="K109" s="13"/>
      <c r="L109" s="22"/>
      <c r="M109" s="29"/>
      <c r="N109" s="350"/>
      <c r="O109" s="350"/>
      <c r="P109" s="350"/>
      <c r="Q109" s="350"/>
      <c r="S109" s="12"/>
      <c r="T109" s="13"/>
      <c r="U109" s="22"/>
      <c r="V109" s="29"/>
      <c r="W109" s="345"/>
      <c r="X109" s="345"/>
      <c r="Y109" s="345"/>
      <c r="Z109" s="345"/>
      <c r="AB109" s="12"/>
      <c r="AC109" s="13"/>
      <c r="AD109" s="22"/>
      <c r="AE109" s="29"/>
      <c r="AF109" s="355"/>
      <c r="AG109" s="355"/>
      <c r="AH109" s="355"/>
      <c r="AI109" s="355"/>
      <c r="AL109" s="12"/>
      <c r="AM109" s="13"/>
      <c r="AN109" s="22"/>
      <c r="AO109" s="29"/>
      <c r="AP109" s="355"/>
      <c r="AQ109" s="355"/>
      <c r="AR109" s="355"/>
      <c r="AS109" s="355"/>
    </row>
    <row r="110" spans="1:45">
      <c r="A110" s="12"/>
      <c r="B110" s="13"/>
      <c r="C110" s="22"/>
      <c r="D110" s="29"/>
      <c r="E110" s="342"/>
      <c r="F110" s="342"/>
      <c r="G110" s="342"/>
      <c r="H110" s="342"/>
      <c r="J110" s="12"/>
      <c r="K110" s="13"/>
      <c r="L110" s="22"/>
      <c r="M110" s="29"/>
      <c r="N110" s="350"/>
      <c r="O110" s="350"/>
      <c r="P110" s="350"/>
      <c r="Q110" s="350"/>
      <c r="S110" s="12"/>
      <c r="T110" s="13"/>
      <c r="U110" s="22"/>
      <c r="V110" s="29"/>
      <c r="W110" s="345"/>
      <c r="X110" s="345"/>
      <c r="Y110" s="345"/>
      <c r="Z110" s="345"/>
      <c r="AB110" s="12"/>
      <c r="AC110" s="13"/>
      <c r="AD110" s="22"/>
      <c r="AE110" s="29"/>
      <c r="AF110" s="355"/>
      <c r="AG110" s="355"/>
      <c r="AH110" s="355"/>
      <c r="AI110" s="355"/>
      <c r="AL110" s="12"/>
      <c r="AM110" s="13"/>
      <c r="AN110" s="22"/>
      <c r="AO110" s="29"/>
      <c r="AP110" s="355"/>
      <c r="AQ110" s="355"/>
      <c r="AR110" s="355"/>
      <c r="AS110" s="355"/>
    </row>
    <row r="111" spans="1:45">
      <c r="A111" s="12"/>
      <c r="B111" s="13"/>
      <c r="C111" s="22"/>
      <c r="D111" s="29"/>
      <c r="E111" s="342"/>
      <c r="F111" s="342"/>
      <c r="G111" s="342"/>
      <c r="H111" s="342"/>
      <c r="J111" s="12"/>
      <c r="K111" s="13"/>
      <c r="L111" s="22"/>
      <c r="M111" s="29"/>
      <c r="N111" s="350"/>
      <c r="O111" s="350"/>
      <c r="P111" s="350"/>
      <c r="Q111" s="350"/>
      <c r="S111" s="12"/>
      <c r="T111" s="13"/>
      <c r="U111" s="22"/>
      <c r="V111" s="29"/>
      <c r="W111" s="345"/>
      <c r="X111" s="345"/>
      <c r="Y111" s="345"/>
      <c r="Z111" s="345"/>
      <c r="AB111" s="12"/>
      <c r="AC111" s="13"/>
      <c r="AD111" s="22"/>
      <c r="AE111" s="29"/>
      <c r="AF111" s="355"/>
      <c r="AG111" s="355"/>
      <c r="AH111" s="355"/>
      <c r="AI111" s="355"/>
      <c r="AL111" s="12"/>
      <c r="AM111" s="13"/>
      <c r="AN111" s="22"/>
      <c r="AO111" s="29"/>
      <c r="AP111" s="355"/>
      <c r="AQ111" s="355"/>
      <c r="AR111" s="355"/>
      <c r="AS111" s="355"/>
    </row>
    <row r="112" spans="1:45">
      <c r="A112" s="12"/>
      <c r="B112" s="13"/>
      <c r="C112" s="26" t="s">
        <v>34</v>
      </c>
      <c r="D112" s="27">
        <f>SUM(D103:D109)</f>
        <v>0</v>
      </c>
      <c r="E112" s="27">
        <v>0</v>
      </c>
      <c r="F112" s="27">
        <v>0</v>
      </c>
      <c r="G112" s="27"/>
      <c r="H112" s="27"/>
      <c r="J112" s="12"/>
      <c r="K112" s="13"/>
      <c r="L112" s="26" t="s">
        <v>34</v>
      </c>
      <c r="M112" s="27">
        <f>SUM(M103:M109)</f>
        <v>0</v>
      </c>
      <c r="N112" s="27">
        <v>0</v>
      </c>
      <c r="O112" s="27">
        <v>0</v>
      </c>
      <c r="P112" s="27"/>
      <c r="Q112" s="27"/>
      <c r="S112" s="12"/>
      <c r="T112" s="13"/>
      <c r="U112" s="26" t="s">
        <v>34</v>
      </c>
      <c r="V112" s="27">
        <f>SUM(V103:V109)</f>
        <v>0</v>
      </c>
      <c r="W112" s="27">
        <v>0</v>
      </c>
      <c r="X112" s="27">
        <v>0</v>
      </c>
      <c r="Y112" s="27"/>
      <c r="Z112" s="27"/>
      <c r="AB112" s="12"/>
      <c r="AC112" s="13"/>
      <c r="AD112" s="26" t="s">
        <v>34</v>
      </c>
      <c r="AE112" s="27">
        <f>SUM(AE103:AE109)</f>
        <v>0</v>
      </c>
      <c r="AF112" s="27">
        <v>0</v>
      </c>
      <c r="AG112" s="27">
        <v>0</v>
      </c>
      <c r="AH112" s="27"/>
      <c r="AI112" s="27"/>
      <c r="AL112" s="12"/>
      <c r="AM112" s="13"/>
      <c r="AN112" s="26" t="s">
        <v>34</v>
      </c>
      <c r="AO112" s="27">
        <f>SUM(AO103:AO109)</f>
        <v>0</v>
      </c>
      <c r="AP112" s="27">
        <v>0</v>
      </c>
      <c r="AQ112" s="27">
        <v>0</v>
      </c>
      <c r="AR112" s="27"/>
      <c r="AS112" s="27"/>
    </row>
    <row r="113" spans="1:45">
      <c r="A113" s="20"/>
      <c r="B113" s="19"/>
      <c r="C113" s="342" t="s">
        <v>21</v>
      </c>
      <c r="D113" s="10"/>
      <c r="E113" s="531">
        <f>D112</f>
        <v>0</v>
      </c>
      <c r="F113" s="532"/>
      <c r="G113" s="532"/>
      <c r="H113" s="533"/>
      <c r="J113" s="20"/>
      <c r="K113" s="19"/>
      <c r="L113" s="350" t="s">
        <v>21</v>
      </c>
      <c r="M113" s="10"/>
      <c r="N113" s="531">
        <f>M112</f>
        <v>0</v>
      </c>
      <c r="O113" s="532"/>
      <c r="P113" s="532"/>
      <c r="Q113" s="533"/>
      <c r="S113" s="20"/>
      <c r="T113" s="19"/>
      <c r="U113" s="345" t="s">
        <v>21</v>
      </c>
      <c r="V113" s="10"/>
      <c r="W113" s="531">
        <f>V112</f>
        <v>0</v>
      </c>
      <c r="X113" s="532"/>
      <c r="Y113" s="532"/>
      <c r="Z113" s="533"/>
      <c r="AB113" s="20"/>
      <c r="AC113" s="19"/>
      <c r="AD113" s="355" t="s">
        <v>21</v>
      </c>
      <c r="AE113" s="10"/>
      <c r="AF113" s="531">
        <f>AE112</f>
        <v>0</v>
      </c>
      <c r="AG113" s="532"/>
      <c r="AH113" s="532"/>
      <c r="AI113" s="533"/>
      <c r="AL113" s="20"/>
      <c r="AM113" s="19"/>
      <c r="AN113" s="355" t="s">
        <v>21</v>
      </c>
      <c r="AO113" s="10"/>
      <c r="AP113" s="531">
        <f>AO112</f>
        <v>0</v>
      </c>
      <c r="AQ113" s="532"/>
      <c r="AR113" s="532"/>
      <c r="AS113" s="533"/>
    </row>
    <row r="114" spans="1:45">
      <c r="A114" s="525" t="s">
        <v>35</v>
      </c>
      <c r="B114" s="525"/>
      <c r="C114" s="525"/>
      <c r="D114" s="339"/>
      <c r="E114" s="526">
        <f>E46+E52+E101+E113+E78+E84+E60</f>
        <v>144952500</v>
      </c>
      <c r="F114" s="526"/>
      <c r="G114" s="526"/>
      <c r="H114" s="526"/>
      <c r="J114" s="525" t="s">
        <v>35</v>
      </c>
      <c r="K114" s="525"/>
      <c r="L114" s="525"/>
      <c r="M114" s="349"/>
      <c r="N114" s="526">
        <f>N46+N52+N101+N113+N78+N84+N60</f>
        <v>114104500</v>
      </c>
      <c r="O114" s="526"/>
      <c r="P114" s="526"/>
      <c r="Q114" s="526"/>
      <c r="S114" s="525" t="s">
        <v>35</v>
      </c>
      <c r="T114" s="525"/>
      <c r="U114" s="525"/>
      <c r="V114" s="344"/>
      <c r="W114" s="526">
        <f>W46+W52+W101+W113+W78+W84+W60</f>
        <v>70445000</v>
      </c>
      <c r="X114" s="526"/>
      <c r="Y114" s="526"/>
      <c r="Z114" s="526"/>
      <c r="AB114" s="525" t="s">
        <v>35</v>
      </c>
      <c r="AC114" s="525"/>
      <c r="AD114" s="525"/>
      <c r="AE114" s="352"/>
      <c r="AF114" s="526">
        <f>AF46+AF52+AF101+AF113+AF78+AF84+AF60</f>
        <v>15000000</v>
      </c>
      <c r="AG114" s="526"/>
      <c r="AH114" s="526"/>
      <c r="AI114" s="526"/>
      <c r="AK114" s="72">
        <f>+W115+AF115</f>
        <v>85715000</v>
      </c>
      <c r="AL114" s="525" t="s">
        <v>35</v>
      </c>
      <c r="AM114" s="525"/>
      <c r="AN114" s="525"/>
      <c r="AO114" s="352"/>
      <c r="AP114" s="526">
        <f>AP46+AP52+AP101+AP113+AP78+AP84+AP60</f>
        <v>34865500</v>
      </c>
      <c r="AQ114" s="526"/>
      <c r="AR114" s="526"/>
      <c r="AS114" s="526"/>
    </row>
    <row r="115" spans="1:45">
      <c r="A115" s="522" t="s">
        <v>36</v>
      </c>
      <c r="B115" s="522"/>
      <c r="C115" s="522"/>
      <c r="D115" s="341"/>
      <c r="E115" s="523">
        <f>+E27+E114</f>
        <v>148810500</v>
      </c>
      <c r="F115" s="523"/>
      <c r="G115" s="523"/>
      <c r="H115" s="523"/>
      <c r="J115" s="522" t="s">
        <v>36</v>
      </c>
      <c r="K115" s="522"/>
      <c r="L115" s="522"/>
      <c r="M115" s="348"/>
      <c r="N115" s="523">
        <f>+N27+N114</f>
        <v>114924500</v>
      </c>
      <c r="O115" s="523"/>
      <c r="P115" s="523"/>
      <c r="Q115" s="523"/>
      <c r="S115" s="522" t="s">
        <v>36</v>
      </c>
      <c r="T115" s="522"/>
      <c r="U115" s="522"/>
      <c r="V115" s="343"/>
      <c r="W115" s="523">
        <f>+W27+W114</f>
        <v>70715000</v>
      </c>
      <c r="X115" s="523"/>
      <c r="Y115" s="523"/>
      <c r="Z115" s="523"/>
      <c r="AB115" s="522" t="s">
        <v>36</v>
      </c>
      <c r="AC115" s="522"/>
      <c r="AD115" s="522"/>
      <c r="AE115" s="354"/>
      <c r="AF115" s="523">
        <f>+AF27+AF114</f>
        <v>15000000</v>
      </c>
      <c r="AG115" s="523"/>
      <c r="AH115" s="523"/>
      <c r="AI115" s="523"/>
      <c r="AL115" s="522" t="s">
        <v>36</v>
      </c>
      <c r="AM115" s="522"/>
      <c r="AN115" s="522"/>
      <c r="AO115" s="354"/>
      <c r="AP115" s="523">
        <f>+AP27+AP114</f>
        <v>35415500</v>
      </c>
      <c r="AQ115" s="523"/>
      <c r="AR115" s="523"/>
      <c r="AS115" s="523"/>
    </row>
    <row r="116" spans="1:45">
      <c r="A116" s="37"/>
      <c r="B116" s="38"/>
      <c r="C116" s="39"/>
      <c r="D116" s="39"/>
      <c r="E116" s="39"/>
      <c r="F116" s="39"/>
      <c r="G116" s="39"/>
      <c r="H116" s="39"/>
      <c r="J116" s="37"/>
      <c r="K116" s="38"/>
      <c r="L116" s="39"/>
      <c r="M116" s="39"/>
      <c r="N116" s="39"/>
      <c r="O116" s="39"/>
      <c r="P116" s="39"/>
      <c r="Q116" s="39"/>
      <c r="S116" s="37"/>
      <c r="T116" s="38"/>
      <c r="U116" s="39"/>
      <c r="V116" s="39"/>
      <c r="W116" s="39"/>
      <c r="X116" s="39"/>
      <c r="Y116" s="39"/>
      <c r="Z116" s="39"/>
      <c r="AB116" s="37"/>
      <c r="AC116" s="38"/>
      <c r="AD116" s="39"/>
      <c r="AE116" s="39"/>
      <c r="AF116" s="39"/>
      <c r="AG116" s="39"/>
      <c r="AH116" s="39"/>
      <c r="AI116" s="39"/>
      <c r="AL116" s="37"/>
      <c r="AM116" s="38"/>
      <c r="AN116" s="39"/>
      <c r="AO116" s="39"/>
      <c r="AP116" s="39"/>
      <c r="AQ116" s="39"/>
      <c r="AR116" s="39"/>
      <c r="AS116" s="39"/>
    </row>
    <row r="117" spans="1:45">
      <c r="A117" s="519" t="s">
        <v>13</v>
      </c>
      <c r="B117" s="520"/>
      <c r="C117" s="520"/>
      <c r="D117" s="520"/>
      <c r="E117" s="521"/>
      <c r="F117" s="39"/>
      <c r="G117" s="39"/>
      <c r="H117" s="40"/>
      <c r="J117" s="519" t="s">
        <v>13</v>
      </c>
      <c r="K117" s="520"/>
      <c r="L117" s="520"/>
      <c r="M117" s="520"/>
      <c r="N117" s="521"/>
      <c r="O117" s="39"/>
      <c r="P117" s="39"/>
      <c r="Q117" s="40"/>
      <c r="S117" s="519" t="s">
        <v>13</v>
      </c>
      <c r="T117" s="520"/>
      <c r="U117" s="520"/>
      <c r="V117" s="520"/>
      <c r="W117" s="521"/>
      <c r="X117" s="39"/>
      <c r="Y117" s="39"/>
      <c r="Z117" s="40"/>
      <c r="AB117" s="519" t="s">
        <v>13</v>
      </c>
      <c r="AC117" s="520"/>
      <c r="AD117" s="520"/>
      <c r="AE117" s="520"/>
      <c r="AF117" s="521"/>
      <c r="AG117" s="39"/>
      <c r="AH117" s="39"/>
      <c r="AI117" s="40"/>
      <c r="AL117" s="519" t="s">
        <v>13</v>
      </c>
      <c r="AM117" s="520"/>
      <c r="AN117" s="520"/>
      <c r="AO117" s="520"/>
      <c r="AP117" s="521"/>
      <c r="AQ117" s="39"/>
      <c r="AR117" s="39"/>
      <c r="AS117" s="40"/>
    </row>
    <row r="118" spans="1:45">
      <c r="A118" s="41" t="s">
        <v>39</v>
      </c>
      <c r="B118" s="42" t="s">
        <v>40</v>
      </c>
      <c r="C118" s="43" t="s">
        <v>980</v>
      </c>
      <c r="D118" s="43" t="s">
        <v>42</v>
      </c>
      <c r="E118" s="43" t="s">
        <v>43</v>
      </c>
      <c r="F118" s="39"/>
      <c r="G118" s="39"/>
      <c r="H118" s="39"/>
      <c r="J118" s="41" t="s">
        <v>39</v>
      </c>
      <c r="K118" s="42" t="s">
        <v>40</v>
      </c>
      <c r="L118" s="43" t="s">
        <v>980</v>
      </c>
      <c r="M118" s="43" t="s">
        <v>42</v>
      </c>
      <c r="N118" s="43" t="s">
        <v>43</v>
      </c>
      <c r="O118" s="39"/>
      <c r="P118" s="39"/>
      <c r="Q118" s="39"/>
      <c r="S118" s="41" t="s">
        <v>39</v>
      </c>
      <c r="T118" s="42" t="s">
        <v>40</v>
      </c>
      <c r="U118" s="43" t="s">
        <v>980</v>
      </c>
      <c r="V118" s="43" t="s">
        <v>42</v>
      </c>
      <c r="W118" s="43" t="s">
        <v>43</v>
      </c>
      <c r="X118" s="39"/>
      <c r="Y118" s="39"/>
      <c r="Z118" s="39"/>
      <c r="AA118" s="72">
        <f>+W115-Sheet43!K12</f>
        <v>0</v>
      </c>
      <c r="AB118" s="41" t="s">
        <v>39</v>
      </c>
      <c r="AC118" s="42" t="s">
        <v>40</v>
      </c>
      <c r="AD118" s="43" t="s">
        <v>980</v>
      </c>
      <c r="AE118" s="43" t="s">
        <v>42</v>
      </c>
      <c r="AF118" s="43" t="s">
        <v>43</v>
      </c>
      <c r="AG118" s="39"/>
      <c r="AH118" s="39"/>
      <c r="AI118" s="39"/>
      <c r="AL118" s="41" t="s">
        <v>39</v>
      </c>
      <c r="AM118" s="42" t="s">
        <v>40</v>
      </c>
      <c r="AN118" s="43" t="s">
        <v>980</v>
      </c>
      <c r="AO118" s="43" t="s">
        <v>42</v>
      </c>
      <c r="AP118" s="43" t="s">
        <v>43</v>
      </c>
      <c r="AQ118" s="39"/>
      <c r="AR118" s="39"/>
      <c r="AS118" s="39"/>
    </row>
    <row r="119" spans="1:45">
      <c r="A119" s="41"/>
      <c r="B119" s="110"/>
      <c r="C119" s="45"/>
      <c r="D119" s="46"/>
      <c r="E119" s="46"/>
      <c r="F119" s="39"/>
      <c r="G119" s="39"/>
      <c r="H119" s="39"/>
      <c r="J119" s="41"/>
      <c r="K119" s="110"/>
      <c r="L119" s="45"/>
      <c r="M119" s="46"/>
      <c r="N119" s="46"/>
      <c r="O119" s="39"/>
      <c r="P119" s="39"/>
      <c r="Q119" s="39"/>
      <c r="S119" s="41"/>
      <c r="T119" s="110"/>
      <c r="U119" s="45" t="s">
        <v>1075</v>
      </c>
      <c r="V119" s="46">
        <v>50000000</v>
      </c>
      <c r="W119" s="46"/>
      <c r="X119" s="39"/>
      <c r="Y119" s="39"/>
      <c r="Z119" s="39"/>
      <c r="AB119" s="41"/>
      <c r="AC119" s="110">
        <v>46209</v>
      </c>
      <c r="AD119" s="45" t="s">
        <v>1078</v>
      </c>
      <c r="AE119" s="46">
        <v>5000000</v>
      </c>
      <c r="AF119" s="46"/>
      <c r="AG119" s="39"/>
      <c r="AH119" s="39"/>
      <c r="AI119" s="39"/>
      <c r="AL119" s="41"/>
      <c r="AM119" s="110"/>
      <c r="AN119" s="45"/>
      <c r="AO119" s="46"/>
      <c r="AP119" s="46"/>
      <c r="AQ119" s="39"/>
      <c r="AR119" s="39"/>
      <c r="AS119" s="39"/>
    </row>
    <row r="120" spans="1:45">
      <c r="A120" s="41"/>
      <c r="B120" s="44"/>
      <c r="C120" s="45"/>
      <c r="D120" s="46"/>
      <c r="E120" s="46"/>
      <c r="F120" s="39"/>
      <c r="G120" s="39"/>
      <c r="H120" s="40"/>
      <c r="J120" s="41"/>
      <c r="K120" s="44"/>
      <c r="L120" s="45"/>
      <c r="M120" s="46"/>
      <c r="N120" s="46"/>
      <c r="O120" s="39"/>
      <c r="P120" s="39"/>
      <c r="Q120" s="40"/>
      <c r="S120" s="41"/>
      <c r="T120" s="44"/>
      <c r="U120" s="45" t="s">
        <v>1074</v>
      </c>
      <c r="V120" s="46">
        <v>10000000</v>
      </c>
      <c r="W120" s="46"/>
      <c r="X120" s="39"/>
      <c r="Y120" s="39"/>
      <c r="Z120" s="40"/>
      <c r="AB120" s="41"/>
      <c r="AC120" s="44"/>
      <c r="AD120" s="45" t="s">
        <v>1079</v>
      </c>
      <c r="AE120" s="46">
        <v>10000000</v>
      </c>
      <c r="AF120" s="46"/>
      <c r="AG120" s="39"/>
      <c r="AH120" s="39"/>
      <c r="AI120" s="40"/>
      <c r="AK120" s="72">
        <f>+W115-AF115</f>
        <v>55715000</v>
      </c>
      <c r="AL120" s="41"/>
      <c r="AM120" s="44"/>
      <c r="AN120" s="45"/>
      <c r="AO120" s="46"/>
      <c r="AP120" s="46"/>
      <c r="AQ120" s="39"/>
      <c r="AR120" s="39"/>
      <c r="AS120" s="40"/>
    </row>
    <row r="121" spans="1:45">
      <c r="A121" s="41"/>
      <c r="B121" s="44"/>
      <c r="C121" s="45"/>
      <c r="D121" s="46"/>
      <c r="E121" s="46"/>
      <c r="F121" s="39"/>
      <c r="G121" s="39"/>
      <c r="H121" s="39"/>
      <c r="J121" s="41"/>
      <c r="K121" s="44"/>
      <c r="L121" s="45"/>
      <c r="M121" s="46"/>
      <c r="N121" s="46"/>
      <c r="O121" s="39"/>
      <c r="P121" s="39"/>
      <c r="Q121" s="39"/>
      <c r="S121" s="41"/>
      <c r="T121" s="44"/>
      <c r="U121" s="45" t="s">
        <v>1076</v>
      </c>
      <c r="V121" s="46">
        <v>10000000</v>
      </c>
      <c r="W121" s="46"/>
      <c r="X121" s="39"/>
      <c r="Y121" s="39"/>
      <c r="Z121" s="39"/>
      <c r="AB121" s="41"/>
      <c r="AC121" s="44"/>
      <c r="AD121" s="45"/>
      <c r="AE121" s="46"/>
      <c r="AF121" s="46"/>
      <c r="AG121" s="39"/>
      <c r="AH121" s="39"/>
      <c r="AI121" s="39"/>
      <c r="AL121" s="41"/>
      <c r="AM121" s="44"/>
      <c r="AN121" s="45"/>
      <c r="AO121" s="46"/>
      <c r="AP121" s="46"/>
      <c r="AQ121" s="39"/>
      <c r="AR121" s="39"/>
      <c r="AS121" s="39"/>
    </row>
    <row r="122" spans="1:45">
      <c r="A122" s="41"/>
      <c r="B122" s="44"/>
      <c r="C122" s="46"/>
      <c r="D122" s="46"/>
      <c r="E122" s="46"/>
      <c r="F122" s="39"/>
      <c r="G122" s="39"/>
      <c r="H122" s="39"/>
      <c r="J122" s="41"/>
      <c r="K122" s="44"/>
      <c r="L122" s="46"/>
      <c r="M122" s="46"/>
      <c r="N122" s="46"/>
      <c r="O122" s="39"/>
      <c r="P122" s="39"/>
      <c r="Q122" s="39"/>
      <c r="S122" s="41"/>
      <c r="T122" s="44"/>
      <c r="U122" s="46"/>
      <c r="V122" s="46"/>
      <c r="W122" s="46"/>
      <c r="X122" s="39"/>
      <c r="Y122" s="39"/>
      <c r="Z122" s="39"/>
      <c r="AB122" s="41"/>
      <c r="AC122" s="44"/>
      <c r="AD122" s="46"/>
      <c r="AE122" s="46"/>
      <c r="AF122" s="46"/>
      <c r="AG122" s="39"/>
      <c r="AH122" s="39"/>
      <c r="AI122" s="39"/>
      <c r="AL122" s="41"/>
      <c r="AM122" s="44"/>
      <c r="AN122" s="46"/>
      <c r="AO122" s="46"/>
      <c r="AP122" s="46"/>
      <c r="AQ122" s="39"/>
      <c r="AR122" s="39"/>
      <c r="AS122" s="39"/>
    </row>
    <row r="123" spans="1:45">
      <c r="A123" s="41"/>
      <c r="B123" s="44"/>
      <c r="C123" s="46"/>
      <c r="D123" s="46"/>
      <c r="E123" s="46"/>
      <c r="F123" s="39"/>
      <c r="G123" s="39"/>
      <c r="H123" s="40"/>
      <c r="J123" s="41"/>
      <c r="K123" s="44"/>
      <c r="L123" s="46"/>
      <c r="M123" s="46"/>
      <c r="N123" s="46"/>
      <c r="O123" s="39"/>
      <c r="P123" s="39"/>
      <c r="Q123" s="40"/>
      <c r="S123" s="41"/>
      <c r="T123" s="44"/>
      <c r="U123" s="46"/>
      <c r="V123" s="46"/>
      <c r="W123" s="46"/>
      <c r="X123" s="39"/>
      <c r="Y123" s="39"/>
      <c r="Z123" s="40"/>
      <c r="AB123" s="41"/>
      <c r="AC123" s="44"/>
      <c r="AD123" s="46"/>
      <c r="AE123" s="46"/>
      <c r="AF123" s="46"/>
      <c r="AG123" s="39"/>
      <c r="AH123" s="39"/>
      <c r="AI123" s="40"/>
      <c r="AL123" s="41"/>
      <c r="AM123" s="44"/>
      <c r="AN123" s="46"/>
      <c r="AO123" s="46"/>
      <c r="AP123" s="46"/>
      <c r="AQ123" s="39"/>
      <c r="AR123" s="39"/>
      <c r="AS123" s="40"/>
    </row>
    <row r="124" spans="1:45">
      <c r="A124" s="41"/>
      <c r="B124" s="44"/>
      <c r="C124" s="46"/>
      <c r="D124" s="46"/>
      <c r="E124" s="46"/>
      <c r="F124" s="39"/>
      <c r="G124" s="39"/>
      <c r="H124" s="39"/>
      <c r="J124" s="41"/>
      <c r="K124" s="44"/>
      <c r="L124" s="46"/>
      <c r="M124" s="46"/>
      <c r="N124" s="46"/>
      <c r="O124" s="39"/>
      <c r="P124" s="39"/>
      <c r="Q124" s="39"/>
      <c r="S124" s="41"/>
      <c r="T124" s="44"/>
      <c r="U124" s="46"/>
      <c r="V124" s="46"/>
      <c r="W124" s="46"/>
      <c r="X124" s="39"/>
      <c r="Y124" s="39"/>
      <c r="Z124" s="39"/>
      <c r="AB124" s="41"/>
      <c r="AC124" s="44"/>
      <c r="AD124" s="46"/>
      <c r="AE124" s="46"/>
      <c r="AF124" s="46"/>
      <c r="AG124" s="39"/>
      <c r="AH124" s="39"/>
      <c r="AI124" s="39"/>
      <c r="AL124" s="41"/>
      <c r="AM124" s="44"/>
      <c r="AN124" s="46"/>
      <c r="AO124" s="46"/>
      <c r="AP124" s="46"/>
      <c r="AQ124" s="39"/>
      <c r="AR124" s="39"/>
      <c r="AS124" s="39"/>
    </row>
    <row r="125" spans="1:45">
      <c r="A125" s="41"/>
      <c r="B125" s="44"/>
      <c r="C125" s="46"/>
      <c r="D125" s="46"/>
      <c r="E125" s="46"/>
      <c r="F125" s="39"/>
      <c r="G125" s="39"/>
      <c r="H125" s="39"/>
      <c r="J125" s="41"/>
      <c r="K125" s="44"/>
      <c r="L125" s="46"/>
      <c r="M125" s="46"/>
      <c r="N125" s="46"/>
      <c r="O125" s="39"/>
      <c r="P125" s="39"/>
      <c r="Q125" s="39"/>
      <c r="S125" s="41"/>
      <c r="T125" s="44"/>
      <c r="U125" s="46"/>
      <c r="V125" s="46"/>
      <c r="W125" s="46"/>
      <c r="X125" s="39"/>
      <c r="Y125" s="39"/>
      <c r="Z125" s="39"/>
      <c r="AB125" s="41"/>
      <c r="AC125" s="44"/>
      <c r="AD125" s="46"/>
      <c r="AE125" s="46"/>
      <c r="AF125" s="46"/>
      <c r="AG125" s="39"/>
      <c r="AH125" s="39"/>
      <c r="AI125" s="39"/>
      <c r="AL125" s="41"/>
      <c r="AM125" s="44"/>
      <c r="AN125" s="46"/>
      <c r="AO125" s="46"/>
      <c r="AP125" s="46"/>
      <c r="AQ125" s="39"/>
      <c r="AR125" s="39"/>
      <c r="AS125" s="39"/>
    </row>
    <row r="126" spans="1:45">
      <c r="A126" s="41"/>
      <c r="B126" s="44"/>
      <c r="C126" s="46"/>
      <c r="D126" s="46"/>
      <c r="E126" s="46"/>
      <c r="F126" s="39"/>
      <c r="G126" s="39"/>
      <c r="H126" s="39"/>
      <c r="J126" s="41"/>
      <c r="K126" s="44"/>
      <c r="L126" s="46"/>
      <c r="M126" s="46"/>
      <c r="N126" s="46"/>
      <c r="O126" s="39"/>
      <c r="P126" s="39"/>
      <c r="Q126" s="39"/>
      <c r="S126" s="41"/>
      <c r="T126" s="44"/>
      <c r="U126" s="46"/>
      <c r="V126" s="46"/>
      <c r="W126" s="46"/>
      <c r="X126" s="39"/>
      <c r="Y126" s="39"/>
      <c r="Z126" s="39"/>
      <c r="AB126" s="41"/>
      <c r="AC126" s="44"/>
      <c r="AD126" s="46"/>
      <c r="AE126" s="46"/>
      <c r="AF126" s="46"/>
      <c r="AG126" s="39"/>
      <c r="AH126" s="39"/>
      <c r="AI126" s="39"/>
      <c r="AL126" s="41"/>
      <c r="AM126" s="44"/>
      <c r="AN126" s="46"/>
      <c r="AO126" s="46"/>
      <c r="AP126" s="46"/>
      <c r="AQ126" s="39"/>
      <c r="AR126" s="39"/>
      <c r="AS126" s="39"/>
    </row>
    <row r="127" spans="1:45">
      <c r="A127" s="41"/>
      <c r="B127" s="44"/>
      <c r="C127" s="327"/>
      <c r="D127" s="46"/>
      <c r="E127" s="46"/>
      <c r="F127" s="39"/>
      <c r="G127" s="39"/>
      <c r="H127" s="39"/>
      <c r="J127" s="41"/>
      <c r="K127" s="44"/>
      <c r="L127" s="327"/>
      <c r="M127" s="46"/>
      <c r="N127" s="46"/>
      <c r="O127" s="39"/>
      <c r="P127" s="39"/>
      <c r="Q127" s="39"/>
      <c r="S127" s="41"/>
      <c r="T127" s="44"/>
      <c r="U127" s="327"/>
      <c r="V127" s="46"/>
      <c r="W127" s="46"/>
      <c r="X127" s="39"/>
      <c r="Y127" s="39"/>
      <c r="Z127" s="39"/>
      <c r="AB127" s="41"/>
      <c r="AC127" s="44"/>
      <c r="AD127" s="327"/>
      <c r="AE127" s="46"/>
      <c r="AF127" s="46"/>
      <c r="AG127" s="39"/>
      <c r="AH127" s="39"/>
      <c r="AI127" s="39"/>
      <c r="AL127" s="41"/>
      <c r="AM127" s="44"/>
      <c r="AN127" s="327"/>
      <c r="AO127" s="46"/>
      <c r="AP127" s="46"/>
      <c r="AQ127" s="39"/>
      <c r="AR127" s="39"/>
      <c r="AS127" s="39"/>
    </row>
    <row r="128" spans="1:45">
      <c r="A128" s="41"/>
      <c r="B128" s="44"/>
      <c r="C128" s="46"/>
      <c r="D128" s="48"/>
      <c r="E128" s="46"/>
      <c r="F128" s="39"/>
      <c r="G128" s="39"/>
      <c r="H128" s="39"/>
      <c r="J128" s="41"/>
      <c r="K128" s="44"/>
      <c r="L128" s="46"/>
      <c r="M128" s="48"/>
      <c r="N128" s="46"/>
      <c r="O128" s="39"/>
      <c r="P128" s="39"/>
      <c r="Q128" s="39"/>
      <c r="S128" s="41"/>
      <c r="T128" s="44"/>
      <c r="U128" s="46"/>
      <c r="V128" s="48"/>
      <c r="W128" s="46"/>
      <c r="X128" s="39"/>
      <c r="Y128" s="39"/>
      <c r="Z128" s="39"/>
      <c r="AB128" s="41"/>
      <c r="AC128" s="44"/>
      <c r="AD128" s="46"/>
      <c r="AE128" s="48"/>
      <c r="AF128" s="46"/>
      <c r="AG128" s="39"/>
      <c r="AH128" s="39"/>
      <c r="AI128" s="39"/>
      <c r="AL128" s="41"/>
      <c r="AM128" s="44"/>
      <c r="AN128" s="46"/>
      <c r="AO128" s="48"/>
      <c r="AP128" s="46"/>
      <c r="AQ128" s="39"/>
      <c r="AR128" s="39"/>
      <c r="AS128" s="39"/>
    </row>
    <row r="129" spans="1:45">
      <c r="A129" s="49"/>
      <c r="B129" s="50"/>
      <c r="C129" s="51" t="s">
        <v>44</v>
      </c>
      <c r="D129" s="51">
        <f>SUM(D119:D128)</f>
        <v>0</v>
      </c>
      <c r="E129" s="52"/>
      <c r="F129" s="39"/>
      <c r="G129" s="39"/>
      <c r="H129" s="39"/>
      <c r="J129" s="49"/>
      <c r="K129" s="50"/>
      <c r="L129" s="51" t="s">
        <v>44</v>
      </c>
      <c r="M129" s="51">
        <f>SUM(M119:M128)</f>
        <v>0</v>
      </c>
      <c r="N129" s="52"/>
      <c r="O129" s="39"/>
      <c r="P129" s="39"/>
      <c r="Q129" s="39"/>
      <c r="S129" s="49"/>
      <c r="T129" s="50"/>
      <c r="U129" s="51" t="s">
        <v>44</v>
      </c>
      <c r="V129" s="51">
        <f>SUM(V119:V128)</f>
        <v>70000000</v>
      </c>
      <c r="W129" s="52"/>
      <c r="X129" s="39"/>
      <c r="Y129" s="39"/>
      <c r="Z129" s="39"/>
      <c r="AB129" s="49"/>
      <c r="AC129" s="50"/>
      <c r="AD129" s="51" t="s">
        <v>44</v>
      </c>
      <c r="AE129" s="51">
        <f>SUM(AE119:AE128)</f>
        <v>15000000</v>
      </c>
      <c r="AF129" s="52"/>
      <c r="AG129" s="39"/>
      <c r="AH129" s="39"/>
      <c r="AI129" s="39"/>
      <c r="AL129" s="49"/>
      <c r="AM129" s="50"/>
      <c r="AN129" s="51" t="s">
        <v>44</v>
      </c>
      <c r="AO129" s="51">
        <f>SUM(AO119:AO128)</f>
        <v>0</v>
      </c>
      <c r="AP129" s="52"/>
      <c r="AQ129" s="39"/>
      <c r="AR129" s="39"/>
      <c r="AS129" s="39"/>
    </row>
    <row r="130" spans="1:45">
      <c r="A130" s="53"/>
      <c r="B130" s="54"/>
      <c r="C130" s="55" t="s">
        <v>779</v>
      </c>
      <c r="D130" s="116"/>
      <c r="E130" s="3"/>
      <c r="F130" s="39"/>
      <c r="G130" s="39"/>
      <c r="H130" s="39"/>
      <c r="J130" s="53"/>
      <c r="K130" s="54"/>
      <c r="L130" s="55" t="s">
        <v>779</v>
      </c>
      <c r="M130" s="116"/>
      <c r="N130" s="3"/>
      <c r="O130" s="39"/>
      <c r="P130" s="39"/>
      <c r="Q130" s="39"/>
      <c r="S130" s="53"/>
      <c r="T130" s="54"/>
      <c r="U130" s="55" t="s">
        <v>779</v>
      </c>
      <c r="V130" s="116">
        <f>+V129-W115</f>
        <v>-715000</v>
      </c>
      <c r="W130" s="3"/>
      <c r="X130" s="39"/>
      <c r="Y130" s="39"/>
      <c r="Z130" s="39"/>
      <c r="AB130" s="53"/>
      <c r="AC130" s="54"/>
      <c r="AD130" s="55" t="s">
        <v>779</v>
      </c>
      <c r="AE130" s="116"/>
      <c r="AF130" s="3"/>
      <c r="AG130" s="39"/>
      <c r="AH130" s="39"/>
      <c r="AI130" s="39"/>
      <c r="AL130" s="53"/>
      <c r="AM130" s="54"/>
      <c r="AN130" s="55" t="s">
        <v>779</v>
      </c>
      <c r="AO130" s="116"/>
      <c r="AP130" s="3"/>
      <c r="AQ130" s="39"/>
      <c r="AR130" s="39"/>
      <c r="AS130" s="39"/>
    </row>
    <row r="132" spans="1:45">
      <c r="D132" s="72"/>
      <c r="M132" s="72"/>
      <c r="AE132" s="72"/>
      <c r="AO132" s="72"/>
    </row>
  </sheetData>
  <mergeCells count="145">
    <mergeCell ref="AL117:AP117"/>
    <mergeCell ref="AP84:AS84"/>
    <mergeCell ref="AL85:AS85"/>
    <mergeCell ref="AP101:AS101"/>
    <mergeCell ref="AL102:AS102"/>
    <mergeCell ref="AP113:AS113"/>
    <mergeCell ref="AL114:AN114"/>
    <mergeCell ref="AP114:AS114"/>
    <mergeCell ref="AL115:AN115"/>
    <mergeCell ref="AP115:AS115"/>
    <mergeCell ref="AL28:AS28"/>
    <mergeCell ref="AP46:AS46"/>
    <mergeCell ref="AL47:AS47"/>
    <mergeCell ref="AP52:AS52"/>
    <mergeCell ref="AL53:AS53"/>
    <mergeCell ref="AP60:AS60"/>
    <mergeCell ref="AL61:AS61"/>
    <mergeCell ref="AP78:AS78"/>
    <mergeCell ref="AL79:AS79"/>
    <mergeCell ref="AL3:AS3"/>
    <mergeCell ref="AL12:AR12"/>
    <mergeCell ref="AL13:AS13"/>
    <mergeCell ref="AL14:AL15"/>
    <mergeCell ref="AM14:AM15"/>
    <mergeCell ref="AN14:AN15"/>
    <mergeCell ref="AO14:AO15"/>
    <mergeCell ref="AP14:AS14"/>
    <mergeCell ref="AL27:AO27"/>
    <mergeCell ref="AP27:AS27"/>
    <mergeCell ref="E84:H84"/>
    <mergeCell ref="A27:D27"/>
    <mergeCell ref="E27:H27"/>
    <mergeCell ref="A28:H28"/>
    <mergeCell ref="E46:H46"/>
    <mergeCell ref="A47:H47"/>
    <mergeCell ref="E52:H52"/>
    <mergeCell ref="A117:E117"/>
    <mergeCell ref="A115:C115"/>
    <mergeCell ref="E115:H115"/>
    <mergeCell ref="A85:H85"/>
    <mergeCell ref="E101:H101"/>
    <mergeCell ref="A102:H102"/>
    <mergeCell ref="E113:H113"/>
    <mergeCell ref="A114:C114"/>
    <mergeCell ref="E114:H114"/>
    <mergeCell ref="A53:H53"/>
    <mergeCell ref="E60:H60"/>
    <mergeCell ref="A61:H61"/>
    <mergeCell ref="E78:H78"/>
    <mergeCell ref="A79:H79"/>
    <mergeCell ref="S3:Z3"/>
    <mergeCell ref="S12:Y12"/>
    <mergeCell ref="S13:Z13"/>
    <mergeCell ref="S14:S15"/>
    <mergeCell ref="T14:T15"/>
    <mergeCell ref="U14:U15"/>
    <mergeCell ref="V14:V15"/>
    <mergeCell ref="W14:Z14"/>
    <mergeCell ref="A3:H3"/>
    <mergeCell ref="A12:G12"/>
    <mergeCell ref="A13:H13"/>
    <mergeCell ref="A14:A15"/>
    <mergeCell ref="B14:B15"/>
    <mergeCell ref="C14:C15"/>
    <mergeCell ref="D14:D15"/>
    <mergeCell ref="E14:H14"/>
    <mergeCell ref="W52:Z52"/>
    <mergeCell ref="S53:Z53"/>
    <mergeCell ref="W60:Z60"/>
    <mergeCell ref="S61:Z61"/>
    <mergeCell ref="W78:Z78"/>
    <mergeCell ref="S27:V27"/>
    <mergeCell ref="W27:Z27"/>
    <mergeCell ref="S28:Z28"/>
    <mergeCell ref="W46:Z46"/>
    <mergeCell ref="S47:Z47"/>
    <mergeCell ref="S117:W117"/>
    <mergeCell ref="W113:Z113"/>
    <mergeCell ref="S114:U114"/>
    <mergeCell ref="W114:Z114"/>
    <mergeCell ref="S115:U115"/>
    <mergeCell ref="W115:Z115"/>
    <mergeCell ref="S79:Z79"/>
    <mergeCell ref="W84:Z84"/>
    <mergeCell ref="S85:Z85"/>
    <mergeCell ref="W101:Z101"/>
    <mergeCell ref="S102:Z102"/>
    <mergeCell ref="AB27:AE27"/>
    <mergeCell ref="AF27:AI27"/>
    <mergeCell ref="AB28:AI28"/>
    <mergeCell ref="AF46:AI46"/>
    <mergeCell ref="AB47:AI47"/>
    <mergeCell ref="AB3:AI3"/>
    <mergeCell ref="AB12:AH12"/>
    <mergeCell ref="AB13:AI13"/>
    <mergeCell ref="AB14:AB15"/>
    <mergeCell ref="AC14:AC15"/>
    <mergeCell ref="AD14:AD15"/>
    <mergeCell ref="AE14:AE15"/>
    <mergeCell ref="AF14:AI14"/>
    <mergeCell ref="AB115:AD115"/>
    <mergeCell ref="AF115:AI115"/>
    <mergeCell ref="AB79:AI79"/>
    <mergeCell ref="AF84:AI84"/>
    <mergeCell ref="AB85:AI85"/>
    <mergeCell ref="AF101:AI101"/>
    <mergeCell ref="AB102:AI102"/>
    <mergeCell ref="AF52:AI52"/>
    <mergeCell ref="AB53:AI53"/>
    <mergeCell ref="AF60:AI60"/>
    <mergeCell ref="AB61:AI61"/>
    <mergeCell ref="AF78:AI78"/>
    <mergeCell ref="N60:Q60"/>
    <mergeCell ref="J61:Q61"/>
    <mergeCell ref="N78:Q78"/>
    <mergeCell ref="J79:Q79"/>
    <mergeCell ref="N84:Q84"/>
    <mergeCell ref="AB117:AF117"/>
    <mergeCell ref="J3:Q3"/>
    <mergeCell ref="J12:P12"/>
    <mergeCell ref="J13:Q13"/>
    <mergeCell ref="J14:J15"/>
    <mergeCell ref="K14:K15"/>
    <mergeCell ref="L14:L15"/>
    <mergeCell ref="M14:M15"/>
    <mergeCell ref="N14:Q14"/>
    <mergeCell ref="J27:M27"/>
    <mergeCell ref="N27:Q27"/>
    <mergeCell ref="J28:Q28"/>
    <mergeCell ref="N46:Q46"/>
    <mergeCell ref="J47:Q47"/>
    <mergeCell ref="N52:Q52"/>
    <mergeCell ref="J53:Q53"/>
    <mergeCell ref="AF113:AI113"/>
    <mergeCell ref="AB114:AD114"/>
    <mergeCell ref="AF114:AI114"/>
    <mergeCell ref="J115:L115"/>
    <mergeCell ref="N115:Q115"/>
    <mergeCell ref="J117:N117"/>
    <mergeCell ref="J85:Q85"/>
    <mergeCell ref="N101:Q101"/>
    <mergeCell ref="J102:Q102"/>
    <mergeCell ref="N113:Q113"/>
    <mergeCell ref="J114:L114"/>
    <mergeCell ref="N114:Q114"/>
  </mergeCells>
  <phoneticPr fontId="16" type="noConversion"/>
  <pageMargins left="0.25" right="0.11811023622047245" top="0.35433070866141736" bottom="0.35433070866141736" header="0.31496062992125984" footer="0.31496062992125984"/>
  <pageSetup paperSize="9" scale="85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45"/>
  <sheetViews>
    <sheetView workbookViewId="0"/>
  </sheetViews>
  <sheetFormatPr defaultRowHeight="15"/>
  <cols>
    <col min="1" max="1" width="51" customWidth="1"/>
    <col min="2" max="2" width="11.5703125" bestFit="1" customWidth="1"/>
    <col min="3" max="3" width="40.42578125" bestFit="1" customWidth="1"/>
    <col min="4" max="4" width="10.5703125" style="77" bestFit="1" customWidth="1"/>
    <col min="5" max="5" width="35.28515625" bestFit="1" customWidth="1"/>
    <col min="6" max="6" width="11.5703125" bestFit="1" customWidth="1"/>
    <col min="7" max="7" width="52.28515625" bestFit="1" customWidth="1"/>
    <col min="8" max="8" width="12.5703125" bestFit="1" customWidth="1"/>
    <col min="9" max="9" width="47.28515625" bestFit="1" customWidth="1"/>
    <col min="10" max="10" width="10.5703125" bestFit="1" customWidth="1"/>
    <col min="11" max="11" width="12.5703125" bestFit="1" customWidth="1"/>
  </cols>
  <sheetData>
    <row r="1" spans="1:11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1">
      <c r="A2" s="15" t="s">
        <v>1013</v>
      </c>
      <c r="B2" s="23">
        <v>1196000</v>
      </c>
      <c r="C2" s="15" t="s">
        <v>1060</v>
      </c>
      <c r="D2" s="22">
        <v>65000</v>
      </c>
      <c r="E2" s="15" t="s">
        <v>1012</v>
      </c>
      <c r="F2" s="23">
        <v>10000</v>
      </c>
      <c r="G2" s="15" t="s">
        <v>1007</v>
      </c>
      <c r="H2" s="22">
        <v>750000</v>
      </c>
      <c r="I2" s="14" t="s">
        <v>1004</v>
      </c>
      <c r="J2" s="15">
        <v>270000</v>
      </c>
    </row>
    <row r="3" spans="1:11">
      <c r="A3" s="22" t="s">
        <v>1063</v>
      </c>
      <c r="B3" s="22">
        <v>450000</v>
      </c>
      <c r="C3" s="15" t="s">
        <v>1016</v>
      </c>
      <c r="D3" s="23">
        <v>150000</v>
      </c>
      <c r="E3" s="15" t="s">
        <v>1014</v>
      </c>
      <c r="F3" s="23">
        <v>4096500</v>
      </c>
      <c r="G3" s="15" t="s">
        <v>1009</v>
      </c>
      <c r="H3" s="22">
        <v>100000</v>
      </c>
      <c r="I3" s="14"/>
      <c r="J3" s="15"/>
    </row>
    <row r="4" spans="1:11">
      <c r="A4" s="23" t="s">
        <v>1043</v>
      </c>
      <c r="B4" s="23">
        <v>5105000</v>
      </c>
      <c r="C4" s="15" t="s">
        <v>961</v>
      </c>
      <c r="D4" s="23">
        <v>150000</v>
      </c>
      <c r="E4" s="15" t="s">
        <v>1023</v>
      </c>
      <c r="F4" s="23">
        <v>6121000</v>
      </c>
      <c r="G4" s="15" t="s">
        <v>1008</v>
      </c>
      <c r="H4" s="23">
        <v>150000</v>
      </c>
      <c r="I4" s="183"/>
      <c r="J4" s="30"/>
    </row>
    <row r="5" spans="1:11">
      <c r="A5" s="23" t="s">
        <v>1041</v>
      </c>
      <c r="B5" s="23">
        <v>1540000</v>
      </c>
      <c r="C5" s="23" t="s">
        <v>1072</v>
      </c>
      <c r="D5" s="23">
        <v>400000</v>
      </c>
      <c r="E5" s="23" t="s">
        <v>1073</v>
      </c>
      <c r="F5" s="23">
        <v>960000</v>
      </c>
      <c r="G5" s="15" t="s">
        <v>1018</v>
      </c>
      <c r="H5" s="23">
        <v>1140000</v>
      </c>
      <c r="I5" s="183"/>
      <c r="J5" s="183"/>
    </row>
    <row r="6" spans="1:11">
      <c r="A6" s="23" t="s">
        <v>1045</v>
      </c>
      <c r="B6" s="23">
        <v>4566000</v>
      </c>
      <c r="C6" s="23" t="s">
        <v>1040</v>
      </c>
      <c r="D6" s="23">
        <v>400000</v>
      </c>
      <c r="E6" s="23" t="s">
        <v>1049</v>
      </c>
      <c r="F6" s="23">
        <v>1652500</v>
      </c>
      <c r="G6" s="15" t="s">
        <v>1020</v>
      </c>
      <c r="H6" s="23">
        <v>875000</v>
      </c>
      <c r="I6" s="23"/>
      <c r="J6" s="23"/>
    </row>
    <row r="7" spans="1:11">
      <c r="A7" s="23" t="s">
        <v>1067</v>
      </c>
      <c r="B7" s="23">
        <v>568000</v>
      </c>
      <c r="C7" s="23"/>
      <c r="D7" s="23"/>
      <c r="E7" s="183"/>
      <c r="F7" s="30"/>
      <c r="G7" s="23" t="s">
        <v>1042</v>
      </c>
      <c r="H7" s="23">
        <v>40000000</v>
      </c>
      <c r="I7" s="14"/>
      <c r="J7" s="15"/>
    </row>
    <row r="8" spans="1:11">
      <c r="A8" s="23"/>
      <c r="B8" s="23"/>
      <c r="C8" s="30"/>
      <c r="D8" s="188"/>
      <c r="E8" s="30"/>
      <c r="F8" s="188"/>
      <c r="G8" s="23"/>
      <c r="H8" s="23"/>
      <c r="I8" s="30"/>
      <c r="J8" s="188"/>
    </row>
    <row r="9" spans="1:11">
      <c r="A9" s="23"/>
      <c r="B9" s="23"/>
      <c r="C9" s="194"/>
      <c r="D9" s="194"/>
      <c r="E9" s="194"/>
      <c r="F9" s="194"/>
      <c r="G9" s="15"/>
      <c r="H9" s="23"/>
      <c r="I9" s="193"/>
      <c r="J9" s="194"/>
    </row>
    <row r="10" spans="1:11">
      <c r="A10" s="68"/>
      <c r="B10" s="69"/>
      <c r="C10" s="69"/>
      <c r="D10" s="69"/>
      <c r="E10" s="69"/>
      <c r="F10" s="69"/>
      <c r="G10" s="23"/>
      <c r="H10" s="23"/>
      <c r="I10" s="68"/>
      <c r="J10" s="69"/>
    </row>
    <row r="11" spans="1:11">
      <c r="A11" s="68"/>
      <c r="B11" s="69"/>
      <c r="C11" s="69"/>
      <c r="D11" s="69"/>
      <c r="E11" s="69"/>
      <c r="F11" s="69"/>
      <c r="G11" s="119"/>
      <c r="H11" s="120"/>
      <c r="I11" s="68"/>
      <c r="J11" s="69"/>
    </row>
    <row r="12" spans="1:11">
      <c r="A12" s="70"/>
      <c r="B12" s="71">
        <f t="shared" ref="B12:J12" si="0">SUM(B2:B10)</f>
        <v>13425000</v>
      </c>
      <c r="C12" s="71">
        <f t="shared" si="0"/>
        <v>0</v>
      </c>
      <c r="D12" s="71">
        <f t="shared" si="0"/>
        <v>1165000</v>
      </c>
      <c r="E12" s="71">
        <f t="shared" si="0"/>
        <v>0</v>
      </c>
      <c r="F12" s="71">
        <f t="shared" si="0"/>
        <v>12840000</v>
      </c>
      <c r="G12" s="71">
        <f t="shared" si="0"/>
        <v>0</v>
      </c>
      <c r="H12" s="71">
        <f t="shared" si="0"/>
        <v>43015000</v>
      </c>
      <c r="I12" s="71">
        <f t="shared" si="0"/>
        <v>0</v>
      </c>
      <c r="J12" s="71">
        <f t="shared" si="0"/>
        <v>270000</v>
      </c>
      <c r="K12" s="72">
        <f>+J12+H12+F12+D12+B12</f>
        <v>70715000</v>
      </c>
    </row>
    <row r="13" spans="1:11">
      <c r="D13" s="77">
        <v>100000</v>
      </c>
    </row>
    <row r="14" spans="1:11">
      <c r="D14" s="77">
        <f>+D12-D13</f>
        <v>1065000</v>
      </c>
    </row>
    <row r="18" spans="1:11">
      <c r="H18" s="72"/>
    </row>
    <row r="19" spans="1:11">
      <c r="A19" s="57" t="s">
        <v>47</v>
      </c>
      <c r="B19" s="58"/>
      <c r="C19" s="58" t="s">
        <v>48</v>
      </c>
      <c r="D19" s="58"/>
      <c r="E19" s="58" t="s">
        <v>49</v>
      </c>
      <c r="F19" s="58"/>
      <c r="G19" s="58" t="s">
        <v>50</v>
      </c>
      <c r="H19" s="59"/>
      <c r="I19" s="58" t="s">
        <v>51</v>
      </c>
      <c r="J19" s="59"/>
    </row>
    <row r="20" spans="1:11">
      <c r="A20" s="22" t="s">
        <v>1066</v>
      </c>
      <c r="B20" s="22">
        <v>5000000</v>
      </c>
      <c r="C20" s="15"/>
      <c r="D20" s="22"/>
      <c r="E20" s="15"/>
      <c r="F20" s="23"/>
      <c r="G20" s="23" t="s">
        <v>1042</v>
      </c>
      <c r="H20" s="23">
        <v>10000000</v>
      </c>
      <c r="I20" s="14"/>
      <c r="J20" s="15"/>
    </row>
    <row r="21" spans="1:11">
      <c r="A21" s="23"/>
      <c r="B21" s="23"/>
      <c r="C21" s="15"/>
      <c r="D21" s="23"/>
      <c r="E21" s="15"/>
      <c r="F21" s="23"/>
      <c r="G21" s="15"/>
      <c r="H21" s="23"/>
      <c r="I21" s="14"/>
      <c r="J21" s="15"/>
    </row>
    <row r="22" spans="1:11">
      <c r="A22" s="23"/>
      <c r="B22" s="23"/>
      <c r="C22" s="15"/>
      <c r="D22" s="23"/>
      <c r="E22" s="15"/>
      <c r="F22" s="23"/>
      <c r="G22" s="23"/>
      <c r="H22" s="23"/>
      <c r="I22" s="183"/>
      <c r="J22" s="30"/>
    </row>
    <row r="23" spans="1:11">
      <c r="A23" s="23"/>
      <c r="B23" s="23"/>
      <c r="C23" s="23"/>
      <c r="D23" s="23"/>
      <c r="E23" s="23"/>
      <c r="F23" s="23"/>
      <c r="G23" s="23"/>
      <c r="H23" s="23"/>
      <c r="I23" s="183"/>
      <c r="J23" s="183"/>
    </row>
    <row r="24" spans="1:11">
      <c r="A24" s="23"/>
      <c r="B24" s="23"/>
      <c r="C24" s="23"/>
      <c r="D24" s="23"/>
      <c r="E24" s="23"/>
      <c r="F24" s="23"/>
      <c r="G24" s="24"/>
      <c r="H24" s="23"/>
      <c r="I24" s="23"/>
      <c r="J24" s="23"/>
    </row>
    <row r="25" spans="1:11">
      <c r="A25" s="22"/>
      <c r="B25" s="22"/>
      <c r="C25" s="23"/>
      <c r="D25" s="23"/>
      <c r="E25" s="183"/>
      <c r="F25" s="30"/>
      <c r="G25" s="23"/>
      <c r="H25" s="23"/>
      <c r="I25" s="14"/>
      <c r="J25" s="15"/>
    </row>
    <row r="26" spans="1:11">
      <c r="A26" s="22"/>
      <c r="B26" s="22"/>
      <c r="C26" s="30"/>
      <c r="D26" s="188"/>
      <c r="E26" s="30"/>
      <c r="F26" s="188"/>
      <c r="G26" s="23"/>
      <c r="H26" s="23"/>
      <c r="I26" s="30"/>
      <c r="J26" s="188"/>
    </row>
    <row r="27" spans="1:11">
      <c r="A27" s="23"/>
      <c r="B27" s="23"/>
      <c r="C27" s="194"/>
      <c r="D27" s="194"/>
      <c r="E27" s="194"/>
      <c r="F27" s="194"/>
      <c r="G27" s="15"/>
      <c r="H27" s="23"/>
      <c r="I27" s="193"/>
      <c r="J27" s="194"/>
    </row>
    <row r="28" spans="1:11">
      <c r="A28" s="68"/>
      <c r="B28" s="69"/>
      <c r="C28" s="69"/>
      <c r="D28" s="69"/>
      <c r="E28" s="69"/>
      <c r="F28" s="69"/>
      <c r="G28" s="23"/>
      <c r="H28" s="23"/>
      <c r="I28" s="68"/>
      <c r="J28" s="69"/>
    </row>
    <row r="29" spans="1:11">
      <c r="A29" s="68"/>
      <c r="B29" s="69"/>
      <c r="C29" s="69"/>
      <c r="D29" s="69"/>
      <c r="E29" s="69"/>
      <c r="F29" s="69"/>
      <c r="G29" s="119"/>
      <c r="H29" s="120"/>
      <c r="I29" s="68"/>
      <c r="J29" s="69"/>
    </row>
    <row r="30" spans="1:11">
      <c r="A30" s="70"/>
      <c r="B30" s="71">
        <f t="shared" ref="B30:J30" si="1">SUM(B20:B28)</f>
        <v>5000000</v>
      </c>
      <c r="C30" s="71">
        <f t="shared" si="1"/>
        <v>0</v>
      </c>
      <c r="D30" s="71">
        <f t="shared" si="1"/>
        <v>0</v>
      </c>
      <c r="E30" s="71">
        <f t="shared" si="1"/>
        <v>0</v>
      </c>
      <c r="F30" s="71">
        <f t="shared" si="1"/>
        <v>0</v>
      </c>
      <c r="G30" s="71">
        <f t="shared" si="1"/>
        <v>0</v>
      </c>
      <c r="H30" s="71">
        <f t="shared" si="1"/>
        <v>10000000</v>
      </c>
      <c r="I30" s="71">
        <f t="shared" si="1"/>
        <v>0</v>
      </c>
      <c r="J30" s="71">
        <f t="shared" si="1"/>
        <v>0</v>
      </c>
      <c r="K30" s="72">
        <f>+J30+H30+F30+D30+B30</f>
        <v>15000000</v>
      </c>
    </row>
    <row r="34" spans="1:11">
      <c r="A34" s="57" t="s">
        <v>47</v>
      </c>
      <c r="B34" s="58"/>
      <c r="C34" s="58" t="s">
        <v>48</v>
      </c>
      <c r="D34" s="58"/>
      <c r="E34" s="58" t="s">
        <v>49</v>
      </c>
      <c r="F34" s="58"/>
      <c r="G34" s="58" t="s">
        <v>50</v>
      </c>
      <c r="H34" s="59"/>
      <c r="I34" s="58" t="s">
        <v>51</v>
      </c>
      <c r="J34" s="59"/>
    </row>
    <row r="35" spans="1:11">
      <c r="A35" s="23"/>
      <c r="B35" s="23"/>
      <c r="C35" s="15"/>
      <c r="D35" s="22"/>
      <c r="E35" s="15"/>
      <c r="F35" s="23"/>
      <c r="G35" s="14"/>
      <c r="H35" s="15"/>
      <c r="I35" s="14"/>
      <c r="J35" s="15"/>
    </row>
    <row r="36" spans="1:11">
      <c r="A36" s="23"/>
      <c r="B36" s="23"/>
      <c r="C36" s="15"/>
      <c r="D36" s="23"/>
      <c r="E36" s="15"/>
      <c r="F36" s="23"/>
      <c r="G36" s="15"/>
      <c r="H36" s="23"/>
      <c r="I36" s="14"/>
      <c r="J36" s="15"/>
    </row>
    <row r="37" spans="1:11">
      <c r="A37" s="23"/>
      <c r="B37" s="23"/>
      <c r="C37" s="15"/>
      <c r="D37" s="23"/>
      <c r="E37" s="15"/>
      <c r="F37" s="23"/>
      <c r="G37" s="23"/>
      <c r="H37" s="23"/>
      <c r="I37" s="183"/>
      <c r="J37" s="30"/>
    </row>
    <row r="38" spans="1:11">
      <c r="A38" s="23"/>
      <c r="B38" s="23"/>
      <c r="C38" s="23"/>
      <c r="D38" s="23"/>
      <c r="E38" s="23"/>
      <c r="F38" s="23"/>
      <c r="G38" s="23"/>
      <c r="H38" s="23"/>
      <c r="I38" s="183"/>
      <c r="J38" s="183"/>
    </row>
    <row r="39" spans="1:11">
      <c r="A39" s="23"/>
      <c r="B39" s="23"/>
      <c r="C39" s="23"/>
      <c r="D39" s="23"/>
      <c r="E39" s="23"/>
      <c r="F39" s="23"/>
      <c r="G39" s="24"/>
      <c r="H39" s="23"/>
      <c r="I39" s="23"/>
      <c r="J39" s="23"/>
    </row>
    <row r="40" spans="1:11">
      <c r="A40" s="22"/>
      <c r="B40" s="22"/>
      <c r="C40" s="23"/>
      <c r="D40" s="23"/>
      <c r="E40" s="183"/>
      <c r="F40" s="30"/>
      <c r="G40" s="23"/>
      <c r="H40" s="23"/>
      <c r="I40" s="14"/>
      <c r="J40" s="15"/>
    </row>
    <row r="41" spans="1:11">
      <c r="A41" s="22"/>
      <c r="B41" s="22"/>
      <c r="C41" s="30"/>
      <c r="D41" s="188"/>
      <c r="E41" s="30"/>
      <c r="F41" s="188"/>
      <c r="G41" s="23"/>
      <c r="H41" s="23"/>
      <c r="I41" s="30"/>
      <c r="J41" s="188"/>
    </row>
    <row r="42" spans="1:11">
      <c r="A42" s="23"/>
      <c r="B42" s="23"/>
      <c r="C42" s="194"/>
      <c r="D42" s="194"/>
      <c r="E42" s="194"/>
      <c r="F42" s="194"/>
      <c r="G42" s="15"/>
      <c r="H42" s="23"/>
      <c r="I42" s="193"/>
      <c r="J42" s="194"/>
    </row>
    <row r="43" spans="1:11">
      <c r="A43" s="68"/>
      <c r="B43" s="69"/>
      <c r="C43" s="69"/>
      <c r="D43" s="69"/>
      <c r="E43" s="69"/>
      <c r="F43" s="69"/>
      <c r="G43" s="23"/>
      <c r="H43" s="23"/>
      <c r="I43" s="68"/>
      <c r="J43" s="69"/>
    </row>
    <row r="44" spans="1:11">
      <c r="A44" s="68"/>
      <c r="B44" s="69"/>
      <c r="C44" s="69"/>
      <c r="D44" s="69"/>
      <c r="E44" s="69"/>
      <c r="F44" s="69"/>
      <c r="G44" s="119"/>
      <c r="H44" s="120"/>
      <c r="I44" s="68"/>
      <c r="J44" s="69"/>
    </row>
    <row r="45" spans="1:11">
      <c r="A45" s="70"/>
      <c r="B45" s="71">
        <f t="shared" ref="B45:J45" si="2">SUM(B35:B43)</f>
        <v>0</v>
      </c>
      <c r="C45" s="71">
        <f t="shared" si="2"/>
        <v>0</v>
      </c>
      <c r="D45" s="71">
        <f t="shared" si="2"/>
        <v>0</v>
      </c>
      <c r="E45" s="71">
        <f t="shared" si="2"/>
        <v>0</v>
      </c>
      <c r="F45" s="71">
        <f t="shared" si="2"/>
        <v>0</v>
      </c>
      <c r="G45" s="71">
        <f t="shared" si="2"/>
        <v>0</v>
      </c>
      <c r="H45" s="71">
        <f t="shared" si="2"/>
        <v>0</v>
      </c>
      <c r="I45" s="71">
        <f t="shared" si="2"/>
        <v>0</v>
      </c>
      <c r="J45" s="71">
        <f t="shared" si="2"/>
        <v>0</v>
      </c>
      <c r="K45" s="72">
        <f>+J45+H45+F45+D45+B45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O151"/>
  <sheetViews>
    <sheetView workbookViewId="0"/>
  </sheetViews>
  <sheetFormatPr defaultRowHeight="15"/>
  <cols>
    <col min="1" max="1" width="7.42578125" customWidth="1"/>
    <col min="2" max="2" width="9.7109375" bestFit="1" customWidth="1"/>
    <col min="3" max="3" width="52.28515625" bestFit="1" customWidth="1"/>
    <col min="4" max="4" width="12" bestFit="1" customWidth="1"/>
    <col min="5" max="5" width="7.5703125" bestFit="1" customWidth="1"/>
    <col min="6" max="6" width="6.28515625" bestFit="1" customWidth="1"/>
    <col min="7" max="7" width="6" bestFit="1" customWidth="1"/>
    <col min="8" max="8" width="11.5703125" customWidth="1"/>
    <col min="11" max="11" width="7.42578125" customWidth="1"/>
    <col min="12" max="12" width="9.7109375" bestFit="1" customWidth="1"/>
    <col min="13" max="13" width="52.28515625" bestFit="1" customWidth="1"/>
    <col min="14" max="14" width="12" bestFit="1" customWidth="1"/>
    <col min="15" max="15" width="7.5703125" bestFit="1" customWidth="1"/>
    <col min="16" max="16" width="6.28515625" bestFit="1" customWidth="1"/>
    <col min="17" max="17" width="6" bestFit="1" customWidth="1"/>
    <col min="18" max="18" width="11.5703125" customWidth="1"/>
    <col min="21" max="21" width="7.42578125" customWidth="1"/>
    <col min="22" max="22" width="9.7109375" bestFit="1" customWidth="1"/>
    <col min="23" max="23" width="52.28515625" bestFit="1" customWidth="1"/>
    <col min="24" max="24" width="12" bestFit="1" customWidth="1"/>
    <col min="25" max="25" width="7.5703125" bestFit="1" customWidth="1"/>
    <col min="26" max="26" width="6.28515625" bestFit="1" customWidth="1"/>
    <col min="27" max="27" width="6" bestFit="1" customWidth="1"/>
    <col min="28" max="28" width="11.5703125" customWidth="1"/>
    <col min="31" max="31" width="7.42578125" customWidth="1"/>
    <col min="32" max="32" width="9.7109375" bestFit="1" customWidth="1"/>
    <col min="33" max="33" width="52.28515625" bestFit="1" customWidth="1"/>
    <col min="34" max="34" width="12" bestFit="1" customWidth="1"/>
    <col min="35" max="35" width="7.5703125" bestFit="1" customWidth="1"/>
    <col min="36" max="36" width="6.28515625" bestFit="1" customWidth="1"/>
    <col min="37" max="37" width="6" bestFit="1" customWidth="1"/>
    <col min="38" max="38" width="11.5703125" customWidth="1"/>
    <col min="41" max="41" width="12.5703125" bestFit="1" customWidth="1"/>
  </cols>
  <sheetData>
    <row r="1" spans="1:38" ht="15.75">
      <c r="A1" s="347" t="s">
        <v>0</v>
      </c>
      <c r="B1" s="2"/>
      <c r="C1" s="3"/>
      <c r="D1" s="3"/>
      <c r="E1" s="3"/>
      <c r="F1" s="3"/>
      <c r="G1" s="3"/>
      <c r="H1" s="3"/>
      <c r="K1" s="347" t="s">
        <v>0</v>
      </c>
      <c r="L1" s="2"/>
      <c r="M1" s="3"/>
      <c r="N1" s="3"/>
      <c r="O1" s="3"/>
      <c r="P1" s="3"/>
      <c r="Q1" s="3"/>
      <c r="R1" s="3"/>
      <c r="U1" s="347" t="s">
        <v>0</v>
      </c>
      <c r="V1" s="2"/>
      <c r="W1" s="3"/>
      <c r="X1" s="3"/>
      <c r="Y1" s="3"/>
      <c r="Z1" s="3"/>
      <c r="AA1" s="3"/>
      <c r="AB1" s="3"/>
      <c r="AE1" s="347" t="s">
        <v>0</v>
      </c>
      <c r="AF1" s="2"/>
      <c r="AG1" s="3"/>
      <c r="AH1" s="3"/>
      <c r="AI1" s="3"/>
      <c r="AJ1" s="3"/>
      <c r="AK1" s="3"/>
      <c r="AL1" s="3"/>
    </row>
    <row r="2" spans="1:38" ht="15.75">
      <c r="A2" s="347" t="s">
        <v>1082</v>
      </c>
      <c r="B2" s="2"/>
      <c r="C2" s="3"/>
      <c r="D2" s="3"/>
      <c r="E2" s="3"/>
      <c r="F2" s="3"/>
      <c r="G2" s="3"/>
      <c r="H2" s="3"/>
      <c r="K2" s="347" t="s">
        <v>1082</v>
      </c>
      <c r="L2" s="2"/>
      <c r="M2" s="3"/>
      <c r="N2" s="3"/>
      <c r="O2" s="3"/>
      <c r="P2" s="3"/>
      <c r="Q2" s="3"/>
      <c r="R2" s="3"/>
      <c r="U2" s="347" t="s">
        <v>1082</v>
      </c>
      <c r="V2" s="2"/>
      <c r="W2" s="3"/>
      <c r="X2" s="3"/>
      <c r="Y2" s="3"/>
      <c r="Z2" s="3"/>
      <c r="AA2" s="3"/>
      <c r="AB2" s="3" t="s">
        <v>1144</v>
      </c>
      <c r="AE2" s="347" t="s">
        <v>1143</v>
      </c>
      <c r="AF2" s="2"/>
      <c r="AG2" s="3"/>
      <c r="AH2" s="3"/>
      <c r="AI2" s="3"/>
      <c r="AJ2" s="3"/>
      <c r="AK2" s="3"/>
      <c r="AL2" s="3" t="s">
        <v>1145</v>
      </c>
    </row>
    <row r="3" spans="1:38">
      <c r="A3" s="534" t="s">
        <v>1</v>
      </c>
      <c r="B3" s="534"/>
      <c r="C3" s="534"/>
      <c r="D3" s="534"/>
      <c r="E3" s="534"/>
      <c r="F3" s="534"/>
      <c r="G3" s="534"/>
      <c r="H3" s="534"/>
      <c r="K3" s="534" t="s">
        <v>1</v>
      </c>
      <c r="L3" s="534"/>
      <c r="M3" s="534"/>
      <c r="N3" s="534"/>
      <c r="O3" s="534"/>
      <c r="P3" s="534"/>
      <c r="Q3" s="534"/>
      <c r="R3" s="534"/>
      <c r="U3" s="534" t="s">
        <v>1</v>
      </c>
      <c r="V3" s="534"/>
      <c r="W3" s="534"/>
      <c r="X3" s="534"/>
      <c r="Y3" s="534"/>
      <c r="Z3" s="534"/>
      <c r="AA3" s="534"/>
      <c r="AB3" s="534"/>
      <c r="AE3" s="534" t="s">
        <v>1</v>
      </c>
      <c r="AF3" s="534"/>
      <c r="AG3" s="534"/>
      <c r="AH3" s="534"/>
      <c r="AI3" s="534"/>
      <c r="AJ3" s="534"/>
      <c r="AK3" s="534"/>
      <c r="AL3" s="534"/>
    </row>
    <row r="4" spans="1:38">
      <c r="A4" s="4"/>
      <c r="B4" s="5"/>
      <c r="C4" s="6" t="s">
        <v>2</v>
      </c>
      <c r="D4" s="7">
        <v>77474500</v>
      </c>
      <c r="E4" s="6"/>
      <c r="F4" s="6"/>
      <c r="G4" s="6"/>
      <c r="H4" s="6"/>
      <c r="K4" s="4"/>
      <c r="L4" s="5"/>
      <c r="M4" s="6" t="s">
        <v>2</v>
      </c>
      <c r="N4" s="7">
        <v>77474500</v>
      </c>
      <c r="O4" s="6"/>
      <c r="P4" s="6"/>
      <c r="Q4" s="6"/>
      <c r="R4" s="6"/>
      <c r="U4" s="4"/>
      <c r="V4" s="5"/>
      <c r="W4" s="6" t="s">
        <v>2</v>
      </c>
      <c r="X4" s="7">
        <v>77474500</v>
      </c>
      <c r="Y4" s="6"/>
      <c r="Z4" s="6"/>
      <c r="AA4" s="6"/>
      <c r="AB4" s="6"/>
      <c r="AE4" s="4"/>
      <c r="AF4" s="5"/>
      <c r="AG4" s="6" t="s">
        <v>2</v>
      </c>
      <c r="AH4" s="7">
        <v>77474500</v>
      </c>
      <c r="AI4" s="6"/>
      <c r="AJ4" s="6"/>
      <c r="AK4" s="6"/>
      <c r="AL4" s="6"/>
    </row>
    <row r="5" spans="1:38">
      <c r="A5" s="4"/>
      <c r="B5" s="5"/>
      <c r="C5" s="6" t="s">
        <v>590</v>
      </c>
      <c r="D5" s="7" t="s">
        <v>849</v>
      </c>
      <c r="E5" s="6"/>
      <c r="F5" s="6"/>
      <c r="G5" s="6"/>
      <c r="H5" s="6"/>
      <c r="K5" s="4"/>
      <c r="L5" s="5"/>
      <c r="M5" s="6" t="s">
        <v>590</v>
      </c>
      <c r="N5" s="7" t="s">
        <v>849</v>
      </c>
      <c r="O5" s="6"/>
      <c r="P5" s="6"/>
      <c r="Q5" s="6"/>
      <c r="R5" s="6"/>
      <c r="U5" s="4"/>
      <c r="V5" s="5"/>
      <c r="W5" s="6" t="s">
        <v>590</v>
      </c>
      <c r="X5" s="7" t="s">
        <v>849</v>
      </c>
      <c r="Y5" s="6"/>
      <c r="Z5" s="6"/>
      <c r="AA5" s="6"/>
      <c r="AB5" s="6"/>
      <c r="AE5" s="4"/>
      <c r="AF5" s="5"/>
      <c r="AG5" s="6" t="s">
        <v>590</v>
      </c>
      <c r="AH5" s="7" t="s">
        <v>849</v>
      </c>
      <c r="AI5" s="6"/>
      <c r="AJ5" s="6"/>
      <c r="AK5" s="6"/>
      <c r="AL5" s="6"/>
    </row>
    <row r="6" spans="1:38">
      <c r="A6" s="4"/>
      <c r="B6" s="5"/>
      <c r="C6" s="6" t="s">
        <v>3</v>
      </c>
      <c r="D6" s="8">
        <v>1172815</v>
      </c>
      <c r="E6" s="6"/>
      <c r="F6" s="6"/>
      <c r="G6" s="6"/>
      <c r="H6" s="6"/>
      <c r="K6" s="4"/>
      <c r="L6" s="5"/>
      <c r="M6" s="6" t="s">
        <v>3</v>
      </c>
      <c r="N6" s="8">
        <v>1172815</v>
      </c>
      <c r="O6" s="6"/>
      <c r="P6" s="6"/>
      <c r="Q6" s="6"/>
      <c r="R6" s="6"/>
      <c r="U6" s="4"/>
      <c r="V6" s="5"/>
      <c r="W6" s="6" t="s">
        <v>3</v>
      </c>
      <c r="X6" s="8">
        <v>1172815</v>
      </c>
      <c r="Y6" s="6"/>
      <c r="Z6" s="6"/>
      <c r="AA6" s="6"/>
      <c r="AB6" s="6"/>
      <c r="AE6" s="4"/>
      <c r="AF6" s="5"/>
      <c r="AG6" s="6" t="s">
        <v>3</v>
      </c>
      <c r="AH6" s="8">
        <v>1172815</v>
      </c>
      <c r="AI6" s="6"/>
      <c r="AJ6" s="6"/>
      <c r="AK6" s="6"/>
      <c r="AL6" s="6"/>
    </row>
    <row r="7" spans="1:38">
      <c r="A7" s="4"/>
      <c r="B7" s="5"/>
      <c r="C7" s="6" t="s">
        <v>4</v>
      </c>
      <c r="D7" s="115">
        <v>1139810</v>
      </c>
      <c r="E7" s="6"/>
      <c r="F7" s="6"/>
      <c r="G7" s="6"/>
      <c r="H7" s="6"/>
      <c r="K7" s="4"/>
      <c r="L7" s="5"/>
      <c r="M7" s="6" t="s">
        <v>4</v>
      </c>
      <c r="N7" s="115">
        <v>1139810</v>
      </c>
      <c r="O7" s="6"/>
      <c r="P7" s="6"/>
      <c r="Q7" s="6"/>
      <c r="R7" s="6"/>
      <c r="U7" s="4"/>
      <c r="V7" s="5"/>
      <c r="W7" s="6" t="s">
        <v>4</v>
      </c>
      <c r="X7" s="115">
        <v>1139810</v>
      </c>
      <c r="Y7" s="6"/>
      <c r="Z7" s="6"/>
      <c r="AA7" s="6"/>
      <c r="AB7" s="6"/>
      <c r="AE7" s="4"/>
      <c r="AF7" s="5"/>
      <c r="AG7" s="6" t="s">
        <v>4</v>
      </c>
      <c r="AH7" s="115">
        <v>1139810</v>
      </c>
      <c r="AI7" s="6"/>
      <c r="AJ7" s="6"/>
      <c r="AK7" s="6"/>
      <c r="AL7" s="6"/>
    </row>
    <row r="8" spans="1:38">
      <c r="A8" s="4"/>
      <c r="B8" s="5"/>
      <c r="C8" s="6" t="s">
        <v>5</v>
      </c>
      <c r="D8" s="6">
        <v>1146153</v>
      </c>
      <c r="E8" s="6"/>
      <c r="F8" s="6"/>
      <c r="G8" s="6"/>
      <c r="H8" s="6"/>
      <c r="K8" s="4"/>
      <c r="L8" s="5"/>
      <c r="M8" s="6" t="s">
        <v>5</v>
      </c>
      <c r="N8" s="6">
        <v>1146153</v>
      </c>
      <c r="O8" s="6"/>
      <c r="P8" s="6"/>
      <c r="Q8" s="6"/>
      <c r="R8" s="6"/>
      <c r="U8" s="4"/>
      <c r="V8" s="5"/>
      <c r="W8" s="6" t="s">
        <v>5</v>
      </c>
      <c r="X8" s="6">
        <v>1146153</v>
      </c>
      <c r="Y8" s="6"/>
      <c r="Z8" s="6"/>
      <c r="AA8" s="6"/>
      <c r="AB8" s="6"/>
      <c r="AE8" s="4"/>
      <c r="AF8" s="5"/>
      <c r="AG8" s="6" t="s">
        <v>5</v>
      </c>
      <c r="AH8" s="6">
        <v>1146153</v>
      </c>
      <c r="AI8" s="6"/>
      <c r="AJ8" s="6"/>
      <c r="AK8" s="6"/>
      <c r="AL8" s="6"/>
    </row>
    <row r="9" spans="1:38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K9" s="4"/>
      <c r="L9" s="5"/>
      <c r="M9" s="6" t="s">
        <v>6</v>
      </c>
      <c r="N9" s="6">
        <v>3297735.5133333281</v>
      </c>
      <c r="O9" s="6"/>
      <c r="P9" s="6"/>
      <c r="Q9" s="6"/>
      <c r="R9" s="6"/>
      <c r="U9" s="4"/>
      <c r="V9" s="5"/>
      <c r="W9" s="6" t="s">
        <v>6</v>
      </c>
      <c r="X9" s="6">
        <v>3297735.5133333281</v>
      </c>
      <c r="Y9" s="6"/>
      <c r="Z9" s="6"/>
      <c r="AA9" s="6"/>
      <c r="AB9" s="6"/>
      <c r="AE9" s="4"/>
      <c r="AF9" s="5"/>
      <c r="AG9" s="6" t="s">
        <v>6</v>
      </c>
      <c r="AH9" s="6">
        <v>3297735.5133333281</v>
      </c>
      <c r="AI9" s="6"/>
      <c r="AJ9" s="6"/>
      <c r="AK9" s="6"/>
      <c r="AL9" s="6"/>
    </row>
    <row r="10" spans="1:38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K10" s="4"/>
      <c r="L10" s="5"/>
      <c r="M10" s="6" t="s">
        <v>7</v>
      </c>
      <c r="N10" s="6">
        <v>2363662</v>
      </c>
      <c r="O10" s="6"/>
      <c r="P10" s="6"/>
      <c r="Q10" s="6"/>
      <c r="R10" s="6"/>
      <c r="U10" s="4"/>
      <c r="V10" s="5"/>
      <c r="W10" s="6" t="s">
        <v>7</v>
      </c>
      <c r="X10" s="6">
        <v>2363662</v>
      </c>
      <c r="Y10" s="6"/>
      <c r="Z10" s="6"/>
      <c r="AA10" s="6"/>
      <c r="AB10" s="6"/>
      <c r="AE10" s="4"/>
      <c r="AF10" s="5"/>
      <c r="AG10" s="6" t="s">
        <v>7</v>
      </c>
      <c r="AH10" s="6">
        <v>2363662</v>
      </c>
      <c r="AI10" s="6"/>
      <c r="AJ10" s="6"/>
      <c r="AK10" s="6"/>
      <c r="AL10" s="6"/>
    </row>
    <row r="11" spans="1:38">
      <c r="A11" s="4"/>
      <c r="B11" s="5"/>
      <c r="C11" s="6"/>
      <c r="D11" s="6"/>
      <c r="E11" s="6"/>
      <c r="F11" s="6"/>
      <c r="G11" s="6"/>
      <c r="H11" s="6"/>
      <c r="K11" s="4"/>
      <c r="L11" s="5"/>
      <c r="M11" s="6"/>
      <c r="N11" s="6"/>
      <c r="O11" s="6"/>
      <c r="P11" s="6"/>
      <c r="Q11" s="6"/>
      <c r="R11" s="6"/>
      <c r="U11" s="4"/>
      <c r="V11" s="5"/>
      <c r="W11" s="6"/>
      <c r="X11" s="6"/>
      <c r="Y11" s="6"/>
      <c r="Z11" s="6"/>
      <c r="AA11" s="6"/>
      <c r="AB11" s="6"/>
      <c r="AE11" s="4"/>
      <c r="AF11" s="5"/>
      <c r="AG11" s="6"/>
      <c r="AH11" s="6"/>
      <c r="AI11" s="6"/>
      <c r="AJ11" s="6"/>
      <c r="AK11" s="6"/>
      <c r="AL11" s="6"/>
    </row>
    <row r="12" spans="1:38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86594675.513333321</v>
      </c>
      <c r="K12" s="531" t="s">
        <v>1071</v>
      </c>
      <c r="L12" s="532"/>
      <c r="M12" s="532"/>
      <c r="N12" s="532"/>
      <c r="O12" s="532"/>
      <c r="P12" s="532"/>
      <c r="Q12" s="533"/>
      <c r="R12" s="10">
        <f>SUM(N4:N10)</f>
        <v>86594675.513333321</v>
      </c>
      <c r="U12" s="531" t="s">
        <v>1071</v>
      </c>
      <c r="V12" s="532"/>
      <c r="W12" s="532"/>
      <c r="X12" s="532"/>
      <c r="Y12" s="532"/>
      <c r="Z12" s="532"/>
      <c r="AA12" s="533"/>
      <c r="AB12" s="10">
        <f>SUM(X4:X10)</f>
        <v>86594675.513333321</v>
      </c>
      <c r="AE12" s="531" t="s">
        <v>1071</v>
      </c>
      <c r="AF12" s="532"/>
      <c r="AG12" s="532"/>
      <c r="AH12" s="532"/>
      <c r="AI12" s="532"/>
      <c r="AJ12" s="532"/>
      <c r="AK12" s="533"/>
      <c r="AL12" s="10">
        <f>SUM(AH4:AH10)</f>
        <v>86594675.513333321</v>
      </c>
    </row>
    <row r="13" spans="1:38">
      <c r="A13" s="535" t="s">
        <v>8</v>
      </c>
      <c r="B13" s="535"/>
      <c r="C13" s="535"/>
      <c r="D13" s="535"/>
      <c r="E13" s="535"/>
      <c r="F13" s="535"/>
      <c r="G13" s="535"/>
      <c r="H13" s="535"/>
      <c r="K13" s="535" t="s">
        <v>8</v>
      </c>
      <c r="L13" s="535"/>
      <c r="M13" s="535"/>
      <c r="N13" s="535"/>
      <c r="O13" s="535"/>
      <c r="P13" s="535"/>
      <c r="Q13" s="535"/>
      <c r="R13" s="535"/>
      <c r="U13" s="535" t="s">
        <v>8</v>
      </c>
      <c r="V13" s="535"/>
      <c r="W13" s="535"/>
      <c r="X13" s="535"/>
      <c r="Y13" s="535"/>
      <c r="Z13" s="535"/>
      <c r="AA13" s="535"/>
      <c r="AB13" s="535"/>
      <c r="AE13" s="535" t="s">
        <v>8</v>
      </c>
      <c r="AF13" s="535"/>
      <c r="AG13" s="535"/>
      <c r="AH13" s="535"/>
      <c r="AI13" s="535"/>
      <c r="AJ13" s="535"/>
      <c r="AK13" s="535"/>
      <c r="AL13" s="535"/>
    </row>
    <row r="14" spans="1:38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K14" s="536" t="s">
        <v>9</v>
      </c>
      <c r="L14" s="537" t="s">
        <v>10</v>
      </c>
      <c r="M14" s="538" t="s">
        <v>11</v>
      </c>
      <c r="N14" s="538" t="s">
        <v>12</v>
      </c>
      <c r="O14" s="530" t="s">
        <v>13</v>
      </c>
      <c r="P14" s="530"/>
      <c r="Q14" s="530"/>
      <c r="R14" s="530"/>
      <c r="U14" s="536" t="s">
        <v>9</v>
      </c>
      <c r="V14" s="537" t="s">
        <v>10</v>
      </c>
      <c r="W14" s="538" t="s">
        <v>11</v>
      </c>
      <c r="X14" s="538" t="s">
        <v>12</v>
      </c>
      <c r="Y14" s="530" t="s">
        <v>13</v>
      </c>
      <c r="Z14" s="530"/>
      <c r="AA14" s="530"/>
      <c r="AB14" s="530"/>
      <c r="AE14" s="536" t="s">
        <v>9</v>
      </c>
      <c r="AF14" s="537" t="s">
        <v>10</v>
      </c>
      <c r="AG14" s="538" t="s">
        <v>11</v>
      </c>
      <c r="AH14" s="538" t="s">
        <v>12</v>
      </c>
      <c r="AI14" s="530" t="s">
        <v>13</v>
      </c>
      <c r="AJ14" s="530"/>
      <c r="AK14" s="530"/>
      <c r="AL14" s="530"/>
    </row>
    <row r="15" spans="1:38">
      <c r="A15" s="536"/>
      <c r="B15" s="537"/>
      <c r="C15" s="538"/>
      <c r="D15" s="538"/>
      <c r="E15" s="360" t="s">
        <v>14</v>
      </c>
      <c r="F15" s="360" t="s">
        <v>15</v>
      </c>
      <c r="G15" s="360" t="s">
        <v>16</v>
      </c>
      <c r="H15" s="360" t="s">
        <v>17</v>
      </c>
      <c r="K15" s="536"/>
      <c r="L15" s="537"/>
      <c r="M15" s="538"/>
      <c r="N15" s="538"/>
      <c r="O15" s="360" t="s">
        <v>14</v>
      </c>
      <c r="P15" s="360" t="s">
        <v>15</v>
      </c>
      <c r="Q15" s="360" t="s">
        <v>16</v>
      </c>
      <c r="R15" s="360" t="s">
        <v>17</v>
      </c>
      <c r="U15" s="536"/>
      <c r="V15" s="537"/>
      <c r="W15" s="538"/>
      <c r="X15" s="538"/>
      <c r="Y15" s="360" t="s">
        <v>14</v>
      </c>
      <c r="Z15" s="360" t="s">
        <v>15</v>
      </c>
      <c r="AA15" s="360" t="s">
        <v>16</v>
      </c>
      <c r="AB15" s="360" t="s">
        <v>17</v>
      </c>
      <c r="AE15" s="536"/>
      <c r="AF15" s="537"/>
      <c r="AG15" s="538"/>
      <c r="AH15" s="538"/>
      <c r="AI15" s="360" t="s">
        <v>14</v>
      </c>
      <c r="AJ15" s="360" t="s">
        <v>15</v>
      </c>
      <c r="AK15" s="360" t="s">
        <v>16</v>
      </c>
      <c r="AL15" s="360" t="s">
        <v>17</v>
      </c>
    </row>
    <row r="16" spans="1:38">
      <c r="A16" s="12"/>
      <c r="B16" s="19" t="s">
        <v>1062</v>
      </c>
      <c r="C16" s="14" t="s">
        <v>1059</v>
      </c>
      <c r="D16" s="15">
        <v>450000</v>
      </c>
      <c r="E16" s="168"/>
      <c r="F16" s="168"/>
      <c r="G16" s="168"/>
      <c r="H16" s="168"/>
      <c r="K16" s="12"/>
      <c r="L16" s="19" t="s">
        <v>1062</v>
      </c>
      <c r="M16" s="14" t="s">
        <v>1059</v>
      </c>
      <c r="N16" s="15">
        <v>450000</v>
      </c>
      <c r="O16" s="168"/>
      <c r="P16" s="168"/>
      <c r="Q16" s="168"/>
      <c r="R16" s="168"/>
      <c r="U16" s="12"/>
      <c r="V16" s="19" t="s">
        <v>1062</v>
      </c>
      <c r="W16" s="14" t="s">
        <v>1059</v>
      </c>
      <c r="X16" s="15"/>
      <c r="Y16" s="168"/>
      <c r="Z16" s="168"/>
      <c r="AA16" s="168"/>
      <c r="AB16" s="168"/>
      <c r="AE16" s="12"/>
      <c r="AF16" s="19" t="s">
        <v>1062</v>
      </c>
      <c r="AG16" s="14" t="s">
        <v>1059</v>
      </c>
      <c r="AH16" s="15">
        <v>450000</v>
      </c>
      <c r="AI16" s="168"/>
      <c r="AJ16" s="168"/>
      <c r="AK16" s="168"/>
      <c r="AL16" s="168"/>
    </row>
    <row r="17" spans="1:38">
      <c r="A17" s="12"/>
      <c r="B17" s="19" t="s">
        <v>1062</v>
      </c>
      <c r="C17" s="14" t="s">
        <v>1001</v>
      </c>
      <c r="D17" s="15">
        <v>503000</v>
      </c>
      <c r="E17" s="16"/>
      <c r="F17" s="16"/>
      <c r="G17" s="16"/>
      <c r="H17" s="16"/>
      <c r="K17" s="12"/>
      <c r="L17" s="19" t="s">
        <v>1062</v>
      </c>
      <c r="M17" s="14" t="s">
        <v>1001</v>
      </c>
      <c r="N17" s="15">
        <v>503000</v>
      </c>
      <c r="O17" s="16"/>
      <c r="P17" s="16"/>
      <c r="Q17" s="16"/>
      <c r="R17" s="16"/>
      <c r="U17" s="12"/>
      <c r="V17" s="19" t="s">
        <v>1062</v>
      </c>
      <c r="W17" s="14" t="s">
        <v>1001</v>
      </c>
      <c r="X17" s="15"/>
      <c r="Y17" s="16"/>
      <c r="Z17" s="16"/>
      <c r="AA17" s="16"/>
      <c r="AB17" s="16"/>
      <c r="AE17" s="12"/>
      <c r="AF17" s="19" t="s">
        <v>1062</v>
      </c>
      <c r="AG17" s="14" t="s">
        <v>1001</v>
      </c>
      <c r="AH17" s="15">
        <v>503000</v>
      </c>
      <c r="AI17" s="16"/>
      <c r="AJ17" s="16"/>
      <c r="AK17" s="16"/>
      <c r="AL17" s="16"/>
    </row>
    <row r="18" spans="1:38">
      <c r="A18" s="12"/>
      <c r="B18" s="19" t="s">
        <v>1062</v>
      </c>
      <c r="C18" s="14" t="s">
        <v>1002</v>
      </c>
      <c r="D18" s="15">
        <v>503000</v>
      </c>
      <c r="E18" s="16"/>
      <c r="F18" s="16"/>
      <c r="G18" s="16"/>
      <c r="H18" s="16"/>
      <c r="K18" s="12"/>
      <c r="L18" s="19" t="s">
        <v>1062</v>
      </c>
      <c r="M18" s="14" t="s">
        <v>1002</v>
      </c>
      <c r="N18" s="15">
        <v>503000</v>
      </c>
      <c r="O18" s="16"/>
      <c r="P18" s="16"/>
      <c r="Q18" s="16"/>
      <c r="R18" s="16"/>
      <c r="U18" s="12"/>
      <c r="V18" s="19" t="s">
        <v>1062</v>
      </c>
      <c r="W18" s="14" t="s">
        <v>1002</v>
      </c>
      <c r="X18" s="15"/>
      <c r="Y18" s="16"/>
      <c r="Z18" s="16"/>
      <c r="AA18" s="16"/>
      <c r="AB18" s="16"/>
      <c r="AE18" s="12"/>
      <c r="AF18" s="19" t="s">
        <v>1062</v>
      </c>
      <c r="AG18" s="14" t="s">
        <v>1002</v>
      </c>
      <c r="AH18" s="15">
        <v>503000</v>
      </c>
      <c r="AI18" s="16"/>
      <c r="AJ18" s="16"/>
      <c r="AK18" s="16"/>
      <c r="AL18" s="16"/>
    </row>
    <row r="19" spans="1:38">
      <c r="A19" s="12"/>
      <c r="B19" s="19" t="s">
        <v>1062</v>
      </c>
      <c r="C19" s="14" t="s">
        <v>802</v>
      </c>
      <c r="D19" s="15">
        <v>185000</v>
      </c>
      <c r="E19" s="16"/>
      <c r="F19" s="16"/>
      <c r="G19" s="16"/>
      <c r="H19" s="16"/>
      <c r="K19" s="12"/>
      <c r="L19" s="19" t="s">
        <v>1062</v>
      </c>
      <c r="M19" s="14" t="s">
        <v>802</v>
      </c>
      <c r="N19" s="15"/>
      <c r="O19" s="16"/>
      <c r="P19" s="16"/>
      <c r="Q19" s="16"/>
      <c r="R19" s="16"/>
      <c r="U19" s="12"/>
      <c r="V19" s="19" t="s">
        <v>1062</v>
      </c>
      <c r="W19" s="14" t="s">
        <v>802</v>
      </c>
      <c r="X19" s="15"/>
      <c r="Y19" s="16"/>
      <c r="Z19" s="16"/>
      <c r="AA19" s="16"/>
      <c r="AB19" s="16"/>
      <c r="AE19" s="12"/>
      <c r="AF19" s="19" t="s">
        <v>1062</v>
      </c>
      <c r="AG19" s="14" t="s">
        <v>802</v>
      </c>
      <c r="AH19" s="15"/>
      <c r="AI19" s="16"/>
      <c r="AJ19" s="16"/>
      <c r="AK19" s="16"/>
      <c r="AL19" s="16"/>
    </row>
    <row r="20" spans="1:38">
      <c r="A20" s="12"/>
      <c r="B20" s="19" t="s">
        <v>1062</v>
      </c>
      <c r="C20" s="14" t="s">
        <v>1003</v>
      </c>
      <c r="D20" s="15">
        <v>450500</v>
      </c>
      <c r="E20" s="16"/>
      <c r="F20" s="16"/>
      <c r="G20" s="16"/>
      <c r="H20" s="16"/>
      <c r="K20" s="12"/>
      <c r="L20" s="19" t="s">
        <v>1062</v>
      </c>
      <c r="M20" s="14" t="s">
        <v>1003</v>
      </c>
      <c r="N20" s="15">
        <v>450500</v>
      </c>
      <c r="O20" s="16"/>
      <c r="P20" s="16"/>
      <c r="Q20" s="16"/>
      <c r="R20" s="16"/>
      <c r="U20" s="12"/>
      <c r="V20" s="19" t="s">
        <v>1062</v>
      </c>
      <c r="W20" s="14" t="s">
        <v>1003</v>
      </c>
      <c r="X20" s="15"/>
      <c r="Y20" s="16"/>
      <c r="Z20" s="16"/>
      <c r="AA20" s="16"/>
      <c r="AB20" s="16"/>
      <c r="AE20" s="12"/>
      <c r="AF20" s="19" t="s">
        <v>1062</v>
      </c>
      <c r="AG20" s="14" t="s">
        <v>1003</v>
      </c>
      <c r="AH20" s="15">
        <v>450500</v>
      </c>
      <c r="AI20" s="16"/>
      <c r="AJ20" s="16"/>
      <c r="AK20" s="16"/>
      <c r="AL20" s="16"/>
    </row>
    <row r="21" spans="1:38">
      <c r="A21" s="12"/>
      <c r="B21" s="19" t="s">
        <v>1062</v>
      </c>
      <c r="C21" s="14" t="s">
        <v>180</v>
      </c>
      <c r="D21" s="15">
        <v>1194000</v>
      </c>
      <c r="E21" s="16"/>
      <c r="F21" s="16"/>
      <c r="G21" s="16"/>
      <c r="H21" s="16"/>
      <c r="K21" s="12"/>
      <c r="L21" s="19" t="s">
        <v>1062</v>
      </c>
      <c r="M21" s="14" t="s">
        <v>180</v>
      </c>
      <c r="N21" s="15">
        <v>1194000</v>
      </c>
      <c r="O21" s="16"/>
      <c r="P21" s="16"/>
      <c r="Q21" s="16"/>
      <c r="R21" s="16"/>
      <c r="U21" s="12"/>
      <c r="V21" s="19" t="s">
        <v>1062</v>
      </c>
      <c r="W21" s="14" t="s">
        <v>180</v>
      </c>
      <c r="X21" s="15"/>
      <c r="Y21" s="16"/>
      <c r="Z21" s="16"/>
      <c r="AA21" s="16"/>
      <c r="AB21" s="16"/>
      <c r="AE21" s="12"/>
      <c r="AF21" s="19" t="s">
        <v>1062</v>
      </c>
      <c r="AG21" s="14" t="s">
        <v>180</v>
      </c>
      <c r="AH21" s="15">
        <v>1194000</v>
      </c>
      <c r="AI21" s="16"/>
      <c r="AJ21" s="16"/>
      <c r="AK21" s="16"/>
      <c r="AL21" s="16"/>
    </row>
    <row r="22" spans="1:38">
      <c r="A22" s="12"/>
      <c r="B22" s="19" t="s">
        <v>1062</v>
      </c>
      <c r="C22" s="14" t="s">
        <v>1005</v>
      </c>
      <c r="D22" s="15">
        <v>202500</v>
      </c>
      <c r="E22" s="16"/>
      <c r="F22" s="16"/>
      <c r="G22" s="16"/>
      <c r="H22" s="16"/>
      <c r="K22" s="12"/>
      <c r="L22" s="19" t="s">
        <v>1062</v>
      </c>
      <c r="M22" s="14" t="s">
        <v>1005</v>
      </c>
      <c r="N22" s="15">
        <v>202500</v>
      </c>
      <c r="O22" s="16"/>
      <c r="P22" s="16"/>
      <c r="Q22" s="16"/>
      <c r="R22" s="16"/>
      <c r="U22" s="12"/>
      <c r="V22" s="19" t="s">
        <v>1062</v>
      </c>
      <c r="W22" s="14" t="s">
        <v>1005</v>
      </c>
      <c r="X22" s="15"/>
      <c r="Y22" s="16"/>
      <c r="Z22" s="16"/>
      <c r="AA22" s="16"/>
      <c r="AB22" s="16"/>
      <c r="AE22" s="12"/>
      <c r="AF22" s="19" t="s">
        <v>1062</v>
      </c>
      <c r="AG22" s="14" t="s">
        <v>1005</v>
      </c>
      <c r="AH22" s="15">
        <v>202500</v>
      </c>
      <c r="AI22" s="16"/>
      <c r="AJ22" s="16"/>
      <c r="AK22" s="16"/>
      <c r="AL22" s="16"/>
    </row>
    <row r="23" spans="1:38">
      <c r="A23" s="12"/>
      <c r="B23" s="19" t="s">
        <v>1062</v>
      </c>
      <c r="C23" s="14" t="s">
        <v>1006</v>
      </c>
      <c r="D23" s="15">
        <v>100000</v>
      </c>
      <c r="E23" s="16"/>
      <c r="F23" s="16"/>
      <c r="G23" s="16"/>
      <c r="H23" s="16"/>
      <c r="K23" s="12"/>
      <c r="L23" s="19" t="s">
        <v>1062</v>
      </c>
      <c r="M23" s="14" t="s">
        <v>1006</v>
      </c>
      <c r="N23" s="15"/>
      <c r="O23" s="16"/>
      <c r="P23" s="16"/>
      <c r="Q23" s="16"/>
      <c r="R23" s="16"/>
      <c r="U23" s="12"/>
      <c r="V23" s="19" t="s">
        <v>1062</v>
      </c>
      <c r="W23" s="14" t="s">
        <v>1006</v>
      </c>
      <c r="X23" s="15"/>
      <c r="Y23" s="16"/>
      <c r="Z23" s="16"/>
      <c r="AA23" s="16"/>
      <c r="AB23" s="16"/>
      <c r="AE23" s="12"/>
      <c r="AF23" s="19" t="s">
        <v>1062</v>
      </c>
      <c r="AG23" s="14" t="s">
        <v>1006</v>
      </c>
      <c r="AH23" s="15"/>
      <c r="AI23" s="16"/>
      <c r="AJ23" s="16"/>
      <c r="AK23" s="16"/>
      <c r="AL23" s="16"/>
    </row>
    <row r="24" spans="1:38">
      <c r="A24" s="12"/>
      <c r="B24" s="19" t="s">
        <v>883</v>
      </c>
      <c r="C24" s="14" t="s">
        <v>1083</v>
      </c>
      <c r="D24" s="15">
        <v>270000</v>
      </c>
      <c r="E24" s="16"/>
      <c r="F24" s="16"/>
      <c r="G24" s="16"/>
      <c r="H24" s="16"/>
      <c r="K24" s="12"/>
      <c r="L24" s="19" t="s">
        <v>883</v>
      </c>
      <c r="M24" s="14" t="s">
        <v>1083</v>
      </c>
      <c r="N24" s="15"/>
      <c r="O24" s="16"/>
      <c r="P24" s="16"/>
      <c r="Q24" s="16"/>
      <c r="R24" s="16"/>
      <c r="U24" s="12"/>
      <c r="V24" s="19" t="s">
        <v>883</v>
      </c>
      <c r="W24" s="14" t="s">
        <v>1083</v>
      </c>
      <c r="X24" s="15"/>
      <c r="Y24" s="16"/>
      <c r="Z24" s="16"/>
      <c r="AA24" s="16"/>
      <c r="AB24" s="16"/>
      <c r="AE24" s="12"/>
      <c r="AF24" s="19" t="s">
        <v>883</v>
      </c>
      <c r="AG24" s="14" t="s">
        <v>1083</v>
      </c>
      <c r="AH24" s="15"/>
      <c r="AI24" s="16"/>
      <c r="AJ24" s="16"/>
      <c r="AK24" s="16"/>
      <c r="AL24" s="16"/>
    </row>
    <row r="25" spans="1:38">
      <c r="A25" s="12"/>
      <c r="B25" s="19" t="s">
        <v>1084</v>
      </c>
      <c r="C25" s="14" t="s">
        <v>1085</v>
      </c>
      <c r="D25" s="15">
        <v>214500</v>
      </c>
      <c r="E25" s="16"/>
      <c r="F25" s="16"/>
      <c r="G25" s="16"/>
      <c r="H25" s="16"/>
      <c r="K25" s="12"/>
      <c r="L25" s="19" t="s">
        <v>1084</v>
      </c>
      <c r="M25" s="14" t="s">
        <v>1085</v>
      </c>
      <c r="N25" s="15"/>
      <c r="O25" s="16"/>
      <c r="P25" s="16"/>
      <c r="Q25" s="16"/>
      <c r="R25" s="16"/>
      <c r="U25" s="12"/>
      <c r="V25" s="19" t="s">
        <v>1084</v>
      </c>
      <c r="W25" s="14" t="s">
        <v>1085</v>
      </c>
      <c r="X25" s="15"/>
      <c r="Y25" s="16"/>
      <c r="Z25" s="16"/>
      <c r="AA25" s="16"/>
      <c r="AB25" s="16"/>
      <c r="AE25" s="12"/>
      <c r="AF25" s="19" t="s">
        <v>1084</v>
      </c>
      <c r="AG25" s="14" t="s">
        <v>1085</v>
      </c>
      <c r="AH25" s="15"/>
      <c r="AI25" s="16"/>
      <c r="AJ25" s="16"/>
      <c r="AK25" s="16"/>
      <c r="AL25" s="16"/>
    </row>
    <row r="26" spans="1:38">
      <c r="A26" s="12"/>
      <c r="B26" s="19"/>
      <c r="C26" s="14"/>
      <c r="D26" s="15"/>
      <c r="E26" s="16"/>
      <c r="F26" s="16"/>
      <c r="G26" s="16"/>
      <c r="H26" s="16"/>
      <c r="K26" s="12"/>
      <c r="L26" s="19"/>
      <c r="M26" s="14"/>
      <c r="N26" s="15"/>
      <c r="O26" s="16"/>
      <c r="P26" s="16"/>
      <c r="Q26" s="16"/>
      <c r="R26" s="16"/>
      <c r="U26" s="12"/>
      <c r="V26" s="19"/>
      <c r="W26" s="14"/>
      <c r="X26" s="15"/>
      <c r="Y26" s="16"/>
      <c r="Z26" s="16"/>
      <c r="AA26" s="16"/>
      <c r="AB26" s="16"/>
      <c r="AE26" s="12"/>
      <c r="AF26" s="19"/>
      <c r="AG26" s="14"/>
      <c r="AH26" s="15"/>
      <c r="AI26" s="16"/>
      <c r="AJ26" s="16"/>
      <c r="AK26" s="16"/>
      <c r="AL26" s="16"/>
    </row>
    <row r="27" spans="1:38">
      <c r="A27" s="18"/>
      <c r="B27" s="19"/>
      <c r="C27" s="360" t="s">
        <v>20</v>
      </c>
      <c r="D27" s="10">
        <f>SUM(D16:D26)</f>
        <v>4072500</v>
      </c>
      <c r="E27" s="10"/>
      <c r="F27" s="10"/>
      <c r="G27" s="10"/>
      <c r="H27" s="10"/>
      <c r="K27" s="18"/>
      <c r="L27" s="19"/>
      <c r="M27" s="360" t="s">
        <v>20</v>
      </c>
      <c r="N27" s="10">
        <f>SUM(N16:N26)</f>
        <v>3303000</v>
      </c>
      <c r="O27" s="10"/>
      <c r="P27" s="10"/>
      <c r="Q27" s="10"/>
      <c r="R27" s="10"/>
      <c r="U27" s="18"/>
      <c r="V27" s="19"/>
      <c r="W27" s="360" t="s">
        <v>20</v>
      </c>
      <c r="X27" s="10">
        <f>SUM(X16:X26)</f>
        <v>0</v>
      </c>
      <c r="Y27" s="10"/>
      <c r="Z27" s="10"/>
      <c r="AA27" s="10"/>
      <c r="AB27" s="10"/>
      <c r="AE27" s="18"/>
      <c r="AF27" s="19"/>
      <c r="AG27" s="360" t="s">
        <v>20</v>
      </c>
      <c r="AH27" s="10">
        <f>SUM(AH16:AH26)</f>
        <v>3303000</v>
      </c>
      <c r="AI27" s="10"/>
      <c r="AJ27" s="10"/>
      <c r="AK27" s="10"/>
      <c r="AL27" s="10"/>
    </row>
    <row r="28" spans="1:38">
      <c r="A28" s="20"/>
      <c r="B28" s="358"/>
      <c r="C28" s="152" t="s">
        <v>21</v>
      </c>
      <c r="D28" s="150"/>
      <c r="E28" s="150"/>
      <c r="F28" s="150"/>
      <c r="G28" s="151"/>
      <c r="H28" s="21">
        <f>+D27</f>
        <v>4072500</v>
      </c>
      <c r="K28" s="20"/>
      <c r="L28" s="358"/>
      <c r="M28" s="152" t="s">
        <v>21</v>
      </c>
      <c r="N28" s="150"/>
      <c r="O28" s="150"/>
      <c r="P28" s="150"/>
      <c r="Q28" s="151"/>
      <c r="R28" s="21">
        <f>+N27</f>
        <v>3303000</v>
      </c>
      <c r="U28" s="20"/>
      <c r="V28" s="358"/>
      <c r="W28" s="152" t="s">
        <v>21</v>
      </c>
      <c r="X28" s="150"/>
      <c r="Y28" s="150"/>
      <c r="Z28" s="150"/>
      <c r="AA28" s="151"/>
      <c r="AB28" s="21">
        <f>+X27</f>
        <v>0</v>
      </c>
      <c r="AE28" s="20"/>
      <c r="AF28" s="358"/>
      <c r="AG28" s="152" t="s">
        <v>21</v>
      </c>
      <c r="AH28" s="150"/>
      <c r="AI28" s="150"/>
      <c r="AJ28" s="150"/>
      <c r="AK28" s="151"/>
      <c r="AL28" s="21">
        <f>+AH27</f>
        <v>3303000</v>
      </c>
    </row>
    <row r="29" spans="1:38">
      <c r="A29" s="526" t="s">
        <v>22</v>
      </c>
      <c r="B29" s="526"/>
      <c r="C29" s="526"/>
      <c r="D29" s="526"/>
      <c r="E29" s="526">
        <f>+H28</f>
        <v>4072500</v>
      </c>
      <c r="F29" s="526"/>
      <c r="G29" s="526"/>
      <c r="H29" s="526"/>
      <c r="K29" s="526" t="s">
        <v>22</v>
      </c>
      <c r="L29" s="526"/>
      <c r="M29" s="526"/>
      <c r="N29" s="526"/>
      <c r="O29" s="526">
        <f>+R28</f>
        <v>3303000</v>
      </c>
      <c r="P29" s="526"/>
      <c r="Q29" s="526"/>
      <c r="R29" s="526"/>
      <c r="U29" s="526" t="s">
        <v>22</v>
      </c>
      <c r="V29" s="526"/>
      <c r="W29" s="526"/>
      <c r="X29" s="526"/>
      <c r="Y29" s="526">
        <f>+AB28</f>
        <v>0</v>
      </c>
      <c r="Z29" s="526"/>
      <c r="AA29" s="526"/>
      <c r="AB29" s="526"/>
      <c r="AE29" s="526" t="s">
        <v>22</v>
      </c>
      <c r="AF29" s="526"/>
      <c r="AG29" s="526"/>
      <c r="AH29" s="526"/>
      <c r="AI29" s="526">
        <f>+AL28</f>
        <v>3303000</v>
      </c>
      <c r="AJ29" s="526"/>
      <c r="AK29" s="526"/>
      <c r="AL29" s="526"/>
    </row>
    <row r="30" spans="1:38">
      <c r="A30" s="524" t="s">
        <v>23</v>
      </c>
      <c r="B30" s="524"/>
      <c r="C30" s="524"/>
      <c r="D30" s="524"/>
      <c r="E30" s="524"/>
      <c r="F30" s="524"/>
      <c r="G30" s="524"/>
      <c r="H30" s="524"/>
      <c r="K30" s="524" t="s">
        <v>23</v>
      </c>
      <c r="L30" s="524"/>
      <c r="M30" s="524"/>
      <c r="N30" s="524"/>
      <c r="O30" s="524"/>
      <c r="P30" s="524"/>
      <c r="Q30" s="524"/>
      <c r="R30" s="524"/>
      <c r="U30" s="524" t="s">
        <v>23</v>
      </c>
      <c r="V30" s="524"/>
      <c r="W30" s="524"/>
      <c r="X30" s="524"/>
      <c r="Y30" s="524"/>
      <c r="Z30" s="524"/>
      <c r="AA30" s="524"/>
      <c r="AB30" s="524"/>
      <c r="AE30" s="524" t="s">
        <v>23</v>
      </c>
      <c r="AF30" s="524"/>
      <c r="AG30" s="524"/>
      <c r="AH30" s="524"/>
      <c r="AI30" s="524"/>
      <c r="AJ30" s="524"/>
      <c r="AK30" s="524"/>
      <c r="AL30" s="524"/>
    </row>
    <row r="31" spans="1:38">
      <c r="A31" s="12"/>
      <c r="B31" s="13" t="s">
        <v>1021</v>
      </c>
      <c r="C31" s="15" t="s">
        <v>1024</v>
      </c>
      <c r="D31" s="23">
        <v>4256000</v>
      </c>
      <c r="E31" s="22"/>
      <c r="F31" s="22"/>
      <c r="G31" s="16"/>
      <c r="H31" s="16"/>
      <c r="K31" s="12"/>
      <c r="L31" s="13" t="s">
        <v>1021</v>
      </c>
      <c r="M31" s="15" t="s">
        <v>1024</v>
      </c>
      <c r="N31" s="23"/>
      <c r="O31" s="22"/>
      <c r="P31" s="22"/>
      <c r="Q31" s="16"/>
      <c r="R31" s="16"/>
      <c r="U31" s="12"/>
      <c r="V31" s="13" t="s">
        <v>1021</v>
      </c>
      <c r="W31" s="15" t="s">
        <v>1024</v>
      </c>
      <c r="X31" s="23"/>
      <c r="Y31" s="22"/>
      <c r="Z31" s="22"/>
      <c r="AA31" s="16"/>
      <c r="AB31" s="16"/>
      <c r="AE31" s="12"/>
      <c r="AF31" s="13" t="s">
        <v>1021</v>
      </c>
      <c r="AG31" s="15" t="s">
        <v>1024</v>
      </c>
      <c r="AH31" s="23"/>
      <c r="AI31" s="22"/>
      <c r="AJ31" s="22"/>
      <c r="AK31" s="16"/>
      <c r="AL31" s="16"/>
    </row>
    <row r="32" spans="1:38">
      <c r="A32" s="12"/>
      <c r="B32" s="13" t="s">
        <v>1022</v>
      </c>
      <c r="C32" s="15" t="s">
        <v>1025</v>
      </c>
      <c r="D32" s="23">
        <v>138000</v>
      </c>
      <c r="E32" s="22"/>
      <c r="F32" s="22"/>
      <c r="G32" s="16"/>
      <c r="H32" s="16"/>
      <c r="K32" s="12"/>
      <c r="L32" s="13" t="s">
        <v>1022</v>
      </c>
      <c r="M32" s="15" t="s">
        <v>1025</v>
      </c>
      <c r="N32" s="23"/>
      <c r="O32" s="22"/>
      <c r="P32" s="22"/>
      <c r="Q32" s="16"/>
      <c r="R32" s="16"/>
      <c r="U32" s="12"/>
      <c r="V32" s="13" t="s">
        <v>1022</v>
      </c>
      <c r="W32" s="15" t="s">
        <v>1025</v>
      </c>
      <c r="X32" s="23"/>
      <c r="Y32" s="22"/>
      <c r="Z32" s="22"/>
      <c r="AA32" s="16"/>
      <c r="AB32" s="16"/>
      <c r="AE32" s="12"/>
      <c r="AF32" s="13" t="s">
        <v>1022</v>
      </c>
      <c r="AG32" s="15" t="s">
        <v>1025</v>
      </c>
      <c r="AH32" s="23"/>
      <c r="AI32" s="22"/>
      <c r="AJ32" s="22"/>
      <c r="AK32" s="16"/>
      <c r="AL32" s="16"/>
    </row>
    <row r="33" spans="1:38">
      <c r="A33" s="12"/>
      <c r="B33" s="19" t="s">
        <v>1086</v>
      </c>
      <c r="C33" s="15" t="s">
        <v>1087</v>
      </c>
      <c r="D33" s="22">
        <v>30000</v>
      </c>
      <c r="E33" s="22"/>
      <c r="F33" s="22"/>
      <c r="G33" s="16"/>
      <c r="H33" s="16"/>
      <c r="K33" s="12"/>
      <c r="L33" s="19" t="s">
        <v>1086</v>
      </c>
      <c r="M33" s="15" t="s">
        <v>1087</v>
      </c>
      <c r="N33" s="22"/>
      <c r="O33" s="22"/>
      <c r="P33" s="22"/>
      <c r="Q33" s="16"/>
      <c r="R33" s="16"/>
      <c r="U33" s="12"/>
      <c r="V33" s="19" t="s">
        <v>1086</v>
      </c>
      <c r="W33" s="15" t="s">
        <v>1087</v>
      </c>
      <c r="X33" s="22"/>
      <c r="Y33" s="22"/>
      <c r="Z33" s="22"/>
      <c r="AA33" s="16"/>
      <c r="AB33" s="16"/>
      <c r="AE33" s="12"/>
      <c r="AF33" s="19" t="s">
        <v>1086</v>
      </c>
      <c r="AG33" s="15" t="s">
        <v>1087</v>
      </c>
      <c r="AH33" s="22"/>
      <c r="AI33" s="22"/>
      <c r="AJ33" s="22"/>
      <c r="AK33" s="16"/>
      <c r="AL33" s="16"/>
    </row>
    <row r="34" spans="1:38">
      <c r="A34" s="12"/>
      <c r="B34" s="19" t="s">
        <v>1088</v>
      </c>
      <c r="C34" s="15" t="s">
        <v>1089</v>
      </c>
      <c r="D34" s="23">
        <v>5488000</v>
      </c>
      <c r="E34" s="22"/>
      <c r="F34" s="22"/>
      <c r="G34" s="16"/>
      <c r="H34" s="16"/>
      <c r="K34" s="12"/>
      <c r="L34" s="19" t="s">
        <v>1088</v>
      </c>
      <c r="M34" s="15" t="s">
        <v>1089</v>
      </c>
      <c r="N34" s="23">
        <v>5488000</v>
      </c>
      <c r="O34" s="22"/>
      <c r="P34" s="22"/>
      <c r="Q34" s="16"/>
      <c r="R34" s="16"/>
      <c r="U34" s="12"/>
      <c r="V34" s="19" t="s">
        <v>1088</v>
      </c>
      <c r="W34" s="15" t="s">
        <v>1089</v>
      </c>
      <c r="X34" s="23">
        <v>5488000</v>
      </c>
      <c r="Y34" s="22"/>
      <c r="Z34" s="22"/>
      <c r="AA34" s="16"/>
      <c r="AB34" s="16"/>
      <c r="AE34" s="12"/>
      <c r="AF34" s="19" t="s">
        <v>1088</v>
      </c>
      <c r="AG34" s="15" t="s">
        <v>1089</v>
      </c>
      <c r="AH34" s="23"/>
      <c r="AI34" s="22"/>
      <c r="AJ34" s="22"/>
      <c r="AK34" s="16"/>
      <c r="AL34" s="16"/>
    </row>
    <row r="35" spans="1:38">
      <c r="A35" s="12"/>
      <c r="B35" s="19" t="s">
        <v>1088</v>
      </c>
      <c r="C35" s="15" t="s">
        <v>1016</v>
      </c>
      <c r="D35" s="23">
        <v>150000</v>
      </c>
      <c r="E35" s="22"/>
      <c r="F35" s="22"/>
      <c r="G35" s="16"/>
      <c r="H35" s="16"/>
      <c r="K35" s="12"/>
      <c r="L35" s="19" t="s">
        <v>1088</v>
      </c>
      <c r="M35" s="15" t="s">
        <v>1016</v>
      </c>
      <c r="N35" s="23">
        <v>150000</v>
      </c>
      <c r="O35" s="22"/>
      <c r="P35" s="22"/>
      <c r="Q35" s="16"/>
      <c r="R35" s="16"/>
      <c r="U35" s="12"/>
      <c r="V35" s="19" t="s">
        <v>1088</v>
      </c>
      <c r="W35" s="15" t="s">
        <v>1016</v>
      </c>
      <c r="X35" s="23">
        <v>150000</v>
      </c>
      <c r="Y35" s="22"/>
      <c r="Z35" s="22"/>
      <c r="AA35" s="16"/>
      <c r="AB35" s="16"/>
      <c r="AE35" s="12"/>
      <c r="AF35" s="19" t="s">
        <v>1088</v>
      </c>
      <c r="AG35" s="15" t="s">
        <v>1016</v>
      </c>
      <c r="AH35" s="23"/>
      <c r="AI35" s="22"/>
      <c r="AJ35" s="22"/>
      <c r="AK35" s="16"/>
      <c r="AL35" s="16"/>
    </row>
    <row r="36" spans="1:38">
      <c r="A36" s="12"/>
      <c r="B36" s="19" t="s">
        <v>1088</v>
      </c>
      <c r="C36" s="15" t="s">
        <v>1090</v>
      </c>
      <c r="D36" s="23">
        <v>200000</v>
      </c>
      <c r="E36" s="22"/>
      <c r="F36" s="22"/>
      <c r="G36" s="16"/>
      <c r="H36" s="16"/>
      <c r="K36" s="12"/>
      <c r="L36" s="19" t="s">
        <v>1088</v>
      </c>
      <c r="M36" s="15" t="s">
        <v>1090</v>
      </c>
      <c r="N36" s="23"/>
      <c r="O36" s="22"/>
      <c r="P36" s="22"/>
      <c r="Q36" s="16"/>
      <c r="R36" s="16"/>
      <c r="U36" s="12"/>
      <c r="V36" s="19" t="s">
        <v>1088</v>
      </c>
      <c r="W36" s="15" t="s">
        <v>1090</v>
      </c>
      <c r="X36" s="23"/>
      <c r="Y36" s="22"/>
      <c r="Z36" s="22"/>
      <c r="AA36" s="16"/>
      <c r="AB36" s="16"/>
      <c r="AE36" s="12"/>
      <c r="AF36" s="19" t="s">
        <v>1088</v>
      </c>
      <c r="AG36" s="15" t="s">
        <v>1090</v>
      </c>
      <c r="AH36" s="23"/>
      <c r="AI36" s="22"/>
      <c r="AJ36" s="22"/>
      <c r="AK36" s="16"/>
      <c r="AL36" s="16"/>
    </row>
    <row r="37" spans="1:38">
      <c r="A37" s="12"/>
      <c r="B37" s="19" t="s">
        <v>1091</v>
      </c>
      <c r="C37" s="15" t="s">
        <v>1092</v>
      </c>
      <c r="D37" s="23">
        <v>105000</v>
      </c>
      <c r="E37" s="22"/>
      <c r="F37" s="22"/>
      <c r="G37" s="16"/>
      <c r="H37" s="16"/>
      <c r="K37" s="12"/>
      <c r="L37" s="19" t="s">
        <v>1091</v>
      </c>
      <c r="M37" s="15" t="s">
        <v>1092</v>
      </c>
      <c r="N37" s="23"/>
      <c r="O37" s="22"/>
      <c r="P37" s="22"/>
      <c r="Q37" s="16"/>
      <c r="R37" s="16"/>
      <c r="U37" s="12"/>
      <c r="V37" s="19" t="s">
        <v>1091</v>
      </c>
      <c r="W37" s="15" t="s">
        <v>1092</v>
      </c>
      <c r="X37" s="23"/>
      <c r="Y37" s="22"/>
      <c r="Z37" s="22"/>
      <c r="AA37" s="16"/>
      <c r="AB37" s="16"/>
      <c r="AE37" s="12"/>
      <c r="AF37" s="19" t="s">
        <v>1091</v>
      </c>
      <c r="AG37" s="15" t="s">
        <v>1092</v>
      </c>
      <c r="AH37" s="23"/>
      <c r="AI37" s="22"/>
      <c r="AJ37" s="22"/>
      <c r="AK37" s="16"/>
      <c r="AL37" s="16"/>
    </row>
    <row r="38" spans="1:38">
      <c r="A38" s="12"/>
      <c r="B38" s="19" t="s">
        <v>1093</v>
      </c>
      <c r="C38" s="15" t="s">
        <v>1096</v>
      </c>
      <c r="D38" s="23">
        <v>259750</v>
      </c>
      <c r="E38" s="22"/>
      <c r="F38" s="22"/>
      <c r="G38" s="16"/>
      <c r="H38" s="16"/>
      <c r="K38" s="12"/>
      <c r="L38" s="19" t="s">
        <v>1093</v>
      </c>
      <c r="M38" s="15" t="s">
        <v>1096</v>
      </c>
      <c r="N38" s="23"/>
      <c r="O38" s="22"/>
      <c r="P38" s="22"/>
      <c r="Q38" s="16"/>
      <c r="R38" s="16"/>
      <c r="U38" s="12"/>
      <c r="V38" s="19" t="s">
        <v>1093</v>
      </c>
      <c r="W38" s="15" t="s">
        <v>1096</v>
      </c>
      <c r="X38" s="23"/>
      <c r="Y38" s="22"/>
      <c r="Z38" s="22"/>
      <c r="AA38" s="16"/>
      <c r="AB38" s="16"/>
      <c r="AE38" s="12"/>
      <c r="AF38" s="19" t="s">
        <v>1093</v>
      </c>
      <c r="AG38" s="15" t="s">
        <v>1096</v>
      </c>
      <c r="AH38" s="23"/>
      <c r="AI38" s="22"/>
      <c r="AJ38" s="22"/>
      <c r="AK38" s="16"/>
      <c r="AL38" s="16"/>
    </row>
    <row r="39" spans="1:38">
      <c r="A39" s="12"/>
      <c r="B39" s="19" t="s">
        <v>1093</v>
      </c>
      <c r="C39" s="15" t="s">
        <v>1097</v>
      </c>
      <c r="D39" s="23">
        <v>59750</v>
      </c>
      <c r="E39" s="22"/>
      <c r="F39" s="22"/>
      <c r="G39" s="16"/>
      <c r="H39" s="16"/>
      <c r="K39" s="12"/>
      <c r="L39" s="19" t="s">
        <v>1093</v>
      </c>
      <c r="M39" s="15" t="s">
        <v>1097</v>
      </c>
      <c r="N39" s="23"/>
      <c r="O39" s="22"/>
      <c r="P39" s="22"/>
      <c r="Q39" s="16"/>
      <c r="R39" s="16"/>
      <c r="U39" s="12"/>
      <c r="V39" s="19" t="s">
        <v>1093</v>
      </c>
      <c r="W39" s="15" t="s">
        <v>1097</v>
      </c>
      <c r="X39" s="23"/>
      <c r="Y39" s="22"/>
      <c r="Z39" s="22"/>
      <c r="AA39" s="16"/>
      <c r="AB39" s="16"/>
      <c r="AE39" s="12"/>
      <c r="AF39" s="19" t="s">
        <v>1093</v>
      </c>
      <c r="AG39" s="15" t="s">
        <v>1097</v>
      </c>
      <c r="AH39" s="23"/>
      <c r="AI39" s="22"/>
      <c r="AJ39" s="22"/>
      <c r="AK39" s="16"/>
      <c r="AL39" s="16"/>
    </row>
    <row r="40" spans="1:38">
      <c r="A40" s="12"/>
      <c r="B40" s="19" t="s">
        <v>1093</v>
      </c>
      <c r="C40" s="15" t="s">
        <v>1095</v>
      </c>
      <c r="D40" s="23">
        <v>8000</v>
      </c>
      <c r="E40" s="22"/>
      <c r="F40" s="22"/>
      <c r="G40" s="16"/>
      <c r="H40" s="16"/>
      <c r="K40" s="12"/>
      <c r="L40" s="19" t="s">
        <v>1093</v>
      </c>
      <c r="M40" s="15" t="s">
        <v>1095</v>
      </c>
      <c r="N40" s="23"/>
      <c r="O40" s="22"/>
      <c r="P40" s="22"/>
      <c r="Q40" s="16"/>
      <c r="R40" s="16"/>
      <c r="U40" s="12"/>
      <c r="V40" s="19" t="s">
        <v>1093</v>
      </c>
      <c r="W40" s="15" t="s">
        <v>1095</v>
      </c>
      <c r="X40" s="23"/>
      <c r="Y40" s="22"/>
      <c r="Z40" s="22"/>
      <c r="AA40" s="16"/>
      <c r="AB40" s="16"/>
      <c r="AE40" s="12"/>
      <c r="AF40" s="19" t="s">
        <v>1093</v>
      </c>
      <c r="AG40" s="15" t="s">
        <v>1095</v>
      </c>
      <c r="AH40" s="23"/>
      <c r="AI40" s="22"/>
      <c r="AJ40" s="22"/>
      <c r="AK40" s="16"/>
      <c r="AL40" s="16"/>
    </row>
    <row r="41" spans="1:38">
      <c r="A41" s="12"/>
      <c r="B41" s="19" t="s">
        <v>1093</v>
      </c>
      <c r="C41" s="15" t="s">
        <v>1094</v>
      </c>
      <c r="D41" s="23">
        <v>382000</v>
      </c>
      <c r="E41" s="22"/>
      <c r="F41" s="22"/>
      <c r="G41" s="16"/>
      <c r="H41" s="16"/>
      <c r="K41" s="12"/>
      <c r="L41" s="19" t="s">
        <v>1093</v>
      </c>
      <c r="M41" s="15" t="s">
        <v>1142</v>
      </c>
      <c r="N41" s="23">
        <v>382000</v>
      </c>
      <c r="O41" s="22"/>
      <c r="P41" s="22"/>
      <c r="Q41" s="16"/>
      <c r="R41" s="16"/>
      <c r="U41" s="12"/>
      <c r="V41" s="19" t="s">
        <v>1093</v>
      </c>
      <c r="W41" s="15" t="s">
        <v>1142</v>
      </c>
      <c r="X41" s="23">
        <v>382000</v>
      </c>
      <c r="Y41" s="22"/>
      <c r="Z41" s="22"/>
      <c r="AA41" s="16"/>
      <c r="AB41" s="16"/>
      <c r="AE41" s="12"/>
      <c r="AF41" s="19" t="s">
        <v>1093</v>
      </c>
      <c r="AG41" s="15" t="s">
        <v>1142</v>
      </c>
      <c r="AH41" s="23"/>
      <c r="AI41" s="22"/>
      <c r="AJ41" s="22"/>
      <c r="AK41" s="16"/>
      <c r="AL41" s="16"/>
    </row>
    <row r="42" spans="1:38">
      <c r="A42" s="12"/>
      <c r="B42" s="13" t="s">
        <v>1098</v>
      </c>
      <c r="C42" s="15" t="s">
        <v>1099</v>
      </c>
      <c r="D42" s="23">
        <v>988000</v>
      </c>
      <c r="E42" s="22"/>
      <c r="F42" s="22"/>
      <c r="G42" s="16"/>
      <c r="H42" s="16"/>
      <c r="K42" s="12"/>
      <c r="L42" s="13" t="s">
        <v>1098</v>
      </c>
      <c r="M42" s="15" t="s">
        <v>1099</v>
      </c>
      <c r="N42" s="23">
        <v>988000</v>
      </c>
      <c r="O42" s="22"/>
      <c r="P42" s="22"/>
      <c r="Q42" s="16"/>
      <c r="R42" s="16"/>
      <c r="U42" s="12"/>
      <c r="V42" s="13" t="s">
        <v>1098</v>
      </c>
      <c r="W42" s="15" t="s">
        <v>1099</v>
      </c>
      <c r="X42" s="23">
        <v>988000</v>
      </c>
      <c r="Y42" s="22"/>
      <c r="Z42" s="22"/>
      <c r="AA42" s="16"/>
      <c r="AB42" s="16"/>
      <c r="AE42" s="12"/>
      <c r="AF42" s="13" t="s">
        <v>1098</v>
      </c>
      <c r="AG42" s="15" t="s">
        <v>1099</v>
      </c>
      <c r="AH42" s="23"/>
      <c r="AI42" s="22"/>
      <c r="AJ42" s="22"/>
      <c r="AK42" s="16"/>
      <c r="AL42" s="16"/>
    </row>
    <row r="43" spans="1:38">
      <c r="A43" s="12"/>
      <c r="B43" s="13" t="s">
        <v>1100</v>
      </c>
      <c r="C43" s="15" t="s">
        <v>1101</v>
      </c>
      <c r="D43" s="23">
        <v>7312000</v>
      </c>
      <c r="E43" s="22"/>
      <c r="F43" s="22"/>
      <c r="G43" s="16"/>
      <c r="H43" s="16"/>
      <c r="K43" s="12"/>
      <c r="L43" s="13" t="s">
        <v>1100</v>
      </c>
      <c r="M43" s="15" t="s">
        <v>1101</v>
      </c>
      <c r="N43" s="23">
        <v>7312000</v>
      </c>
      <c r="O43" s="22"/>
      <c r="P43" s="22"/>
      <c r="Q43" s="16"/>
      <c r="R43" s="16"/>
      <c r="U43" s="12"/>
      <c r="V43" s="13" t="s">
        <v>1100</v>
      </c>
      <c r="W43" s="15" t="s">
        <v>1101</v>
      </c>
      <c r="X43" s="23">
        <v>7312000</v>
      </c>
      <c r="Y43" s="22"/>
      <c r="Z43" s="22"/>
      <c r="AA43" s="16"/>
      <c r="AB43" s="16"/>
      <c r="AE43" s="12"/>
      <c r="AF43" s="13" t="s">
        <v>1100</v>
      </c>
      <c r="AG43" s="15" t="s">
        <v>1101</v>
      </c>
      <c r="AH43" s="23"/>
      <c r="AI43" s="22"/>
      <c r="AJ43" s="22"/>
      <c r="AK43" s="16"/>
      <c r="AL43" s="16"/>
    </row>
    <row r="44" spans="1:38">
      <c r="A44" s="12"/>
      <c r="B44" s="13" t="s">
        <v>1100</v>
      </c>
      <c r="C44" s="15" t="s">
        <v>961</v>
      </c>
      <c r="D44" s="23">
        <v>450000</v>
      </c>
      <c r="E44" s="22"/>
      <c r="F44" s="22"/>
      <c r="G44" s="16"/>
      <c r="H44" s="16"/>
      <c r="K44" s="12"/>
      <c r="L44" s="13" t="s">
        <v>1100</v>
      </c>
      <c r="M44" s="15" t="s">
        <v>961</v>
      </c>
      <c r="N44" s="23">
        <v>450000</v>
      </c>
      <c r="O44" s="22"/>
      <c r="P44" s="22"/>
      <c r="Q44" s="16"/>
      <c r="R44" s="16"/>
      <c r="U44" s="12"/>
      <c r="V44" s="13" t="s">
        <v>1100</v>
      </c>
      <c r="W44" s="15" t="s">
        <v>961</v>
      </c>
      <c r="X44" s="23">
        <v>450000</v>
      </c>
      <c r="Y44" s="22"/>
      <c r="Z44" s="22"/>
      <c r="AA44" s="16"/>
      <c r="AB44" s="16"/>
      <c r="AE44" s="12"/>
      <c r="AF44" s="13" t="s">
        <v>1100</v>
      </c>
      <c r="AG44" s="15" t="s">
        <v>961</v>
      </c>
      <c r="AH44" s="23"/>
      <c r="AI44" s="22"/>
      <c r="AJ44" s="22"/>
      <c r="AK44" s="16"/>
      <c r="AL44" s="16"/>
    </row>
    <row r="45" spans="1:38">
      <c r="A45" s="12"/>
      <c r="B45" s="13" t="s">
        <v>1100</v>
      </c>
      <c r="C45" s="15" t="s">
        <v>1102</v>
      </c>
      <c r="D45" s="23">
        <v>200000</v>
      </c>
      <c r="E45" s="22"/>
      <c r="F45" s="22"/>
      <c r="G45" s="16"/>
      <c r="H45" s="16"/>
      <c r="K45" s="12"/>
      <c r="L45" s="13" t="s">
        <v>1100</v>
      </c>
      <c r="M45" s="15" t="s">
        <v>1102</v>
      </c>
      <c r="N45" s="23"/>
      <c r="O45" s="22"/>
      <c r="P45" s="22"/>
      <c r="Q45" s="16"/>
      <c r="R45" s="16"/>
      <c r="U45" s="12"/>
      <c r="V45" s="13" t="s">
        <v>1100</v>
      </c>
      <c r="W45" s="15" t="s">
        <v>1102</v>
      </c>
      <c r="X45" s="23"/>
      <c r="Y45" s="22"/>
      <c r="Z45" s="22"/>
      <c r="AA45" s="16"/>
      <c r="AB45" s="16"/>
      <c r="AE45" s="12"/>
      <c r="AF45" s="13" t="s">
        <v>1100</v>
      </c>
      <c r="AG45" s="15" t="s">
        <v>1102</v>
      </c>
      <c r="AH45" s="23"/>
      <c r="AI45" s="22"/>
      <c r="AJ45" s="22"/>
      <c r="AK45" s="16"/>
      <c r="AL45" s="16"/>
    </row>
    <row r="46" spans="1:38">
      <c r="A46" s="12"/>
      <c r="B46" s="13" t="s">
        <v>1137</v>
      </c>
      <c r="C46" s="15" t="s">
        <v>1136</v>
      </c>
      <c r="D46" s="23">
        <v>6034000</v>
      </c>
      <c r="E46" s="22"/>
      <c r="F46" s="22"/>
      <c r="G46" s="16"/>
      <c r="H46" s="16"/>
      <c r="K46" s="12"/>
      <c r="L46" s="13" t="s">
        <v>1137</v>
      </c>
      <c r="M46" s="15" t="s">
        <v>1136</v>
      </c>
      <c r="N46" s="23">
        <v>6034000</v>
      </c>
      <c r="O46" s="22"/>
      <c r="P46" s="22"/>
      <c r="Q46" s="16"/>
      <c r="R46" s="16"/>
      <c r="U46" s="12"/>
      <c r="V46" s="13" t="s">
        <v>1137</v>
      </c>
      <c r="W46" s="15" t="s">
        <v>1136</v>
      </c>
      <c r="X46" s="23">
        <v>6034000</v>
      </c>
      <c r="Y46" s="22"/>
      <c r="Z46" s="22"/>
      <c r="AA46" s="16"/>
      <c r="AB46" s="16"/>
      <c r="AE46" s="12"/>
      <c r="AF46" s="13" t="s">
        <v>1137</v>
      </c>
      <c r="AG46" s="15" t="s">
        <v>1136</v>
      </c>
      <c r="AH46" s="23"/>
      <c r="AI46" s="22"/>
      <c r="AJ46" s="22"/>
      <c r="AK46" s="16"/>
      <c r="AL46" s="16"/>
    </row>
    <row r="47" spans="1:38">
      <c r="A47" s="12"/>
      <c r="B47" s="13" t="s">
        <v>1138</v>
      </c>
      <c r="C47" s="15" t="s">
        <v>1139</v>
      </c>
      <c r="D47" s="23">
        <v>610000</v>
      </c>
      <c r="E47" s="22"/>
      <c r="F47" s="22"/>
      <c r="G47" s="16"/>
      <c r="H47" s="16"/>
      <c r="K47" s="12"/>
      <c r="L47" s="13" t="s">
        <v>1138</v>
      </c>
      <c r="M47" s="15" t="s">
        <v>1139</v>
      </c>
      <c r="N47" s="23"/>
      <c r="O47" s="22"/>
      <c r="P47" s="22"/>
      <c r="Q47" s="16"/>
      <c r="R47" s="16"/>
      <c r="U47" s="12"/>
      <c r="V47" s="13" t="s">
        <v>1138</v>
      </c>
      <c r="W47" s="15" t="s">
        <v>1139</v>
      </c>
      <c r="X47" s="23"/>
      <c r="Y47" s="22"/>
      <c r="Z47" s="22"/>
      <c r="AA47" s="16"/>
      <c r="AB47" s="16"/>
      <c r="AE47" s="12"/>
      <c r="AF47" s="13" t="s">
        <v>1138</v>
      </c>
      <c r="AG47" s="15" t="s">
        <v>1139</v>
      </c>
      <c r="AH47" s="23"/>
      <c r="AI47" s="22"/>
      <c r="AJ47" s="22"/>
      <c r="AK47" s="16"/>
      <c r="AL47" s="16"/>
    </row>
    <row r="48" spans="1:38" hidden="1">
      <c r="A48" s="12"/>
      <c r="B48" s="13"/>
      <c r="C48" s="15"/>
      <c r="D48" s="23"/>
      <c r="E48" s="22"/>
      <c r="F48" s="22"/>
      <c r="G48" s="16"/>
      <c r="H48" s="16"/>
      <c r="K48" s="12"/>
      <c r="L48" s="13"/>
      <c r="M48" s="15"/>
      <c r="N48" s="23"/>
      <c r="O48" s="22"/>
      <c r="P48" s="22"/>
      <c r="Q48" s="16"/>
      <c r="R48" s="16"/>
      <c r="U48" s="12"/>
      <c r="V48" s="13"/>
      <c r="W48" s="15"/>
      <c r="X48" s="23"/>
      <c r="Y48" s="22"/>
      <c r="Z48" s="22"/>
      <c r="AA48" s="16"/>
      <c r="AB48" s="16"/>
      <c r="AE48" s="12"/>
      <c r="AF48" s="13"/>
      <c r="AG48" s="15"/>
      <c r="AH48" s="23"/>
      <c r="AI48" s="22"/>
      <c r="AJ48" s="22"/>
      <c r="AK48" s="16"/>
      <c r="AL48" s="16"/>
    </row>
    <row r="49" spans="1:38" hidden="1">
      <c r="A49" s="12"/>
      <c r="B49" s="13"/>
      <c r="C49" s="15"/>
      <c r="D49" s="23"/>
      <c r="E49" s="22"/>
      <c r="F49" s="22"/>
      <c r="G49" s="16"/>
      <c r="H49" s="16"/>
      <c r="K49" s="12"/>
      <c r="L49" s="13"/>
      <c r="M49" s="15"/>
      <c r="N49" s="23"/>
      <c r="O49" s="22"/>
      <c r="P49" s="22"/>
      <c r="Q49" s="16"/>
      <c r="R49" s="16"/>
      <c r="U49" s="12"/>
      <c r="V49" s="13"/>
      <c r="W49" s="15"/>
      <c r="X49" s="23"/>
      <c r="Y49" s="22"/>
      <c r="Z49" s="22"/>
      <c r="AA49" s="16"/>
      <c r="AB49" s="16"/>
      <c r="AE49" s="12"/>
      <c r="AF49" s="13"/>
      <c r="AG49" s="15"/>
      <c r="AH49" s="23"/>
      <c r="AI49" s="22"/>
      <c r="AJ49" s="22"/>
      <c r="AK49" s="16"/>
      <c r="AL49" s="16"/>
    </row>
    <row r="50" spans="1:38">
      <c r="A50" s="25"/>
      <c r="B50" s="19"/>
      <c r="C50" s="26" t="s">
        <v>24</v>
      </c>
      <c r="D50" s="27">
        <f>SUM(D31:D49)</f>
        <v>26670500</v>
      </c>
      <c r="E50" s="27"/>
      <c r="F50" s="27"/>
      <c r="G50" s="27"/>
      <c r="H50" s="27"/>
      <c r="K50" s="25"/>
      <c r="L50" s="19"/>
      <c r="M50" s="26" t="s">
        <v>24</v>
      </c>
      <c r="N50" s="27">
        <f>SUM(N31:N49)</f>
        <v>20804000</v>
      </c>
      <c r="O50" s="27"/>
      <c r="P50" s="27"/>
      <c r="Q50" s="27"/>
      <c r="R50" s="27"/>
      <c r="U50" s="25"/>
      <c r="V50" s="19"/>
      <c r="W50" s="26" t="s">
        <v>24</v>
      </c>
      <c r="X50" s="27">
        <f>SUM(X31:X49)</f>
        <v>20804000</v>
      </c>
      <c r="Y50" s="27"/>
      <c r="Z50" s="27"/>
      <c r="AA50" s="27"/>
      <c r="AB50" s="27"/>
      <c r="AE50" s="25"/>
      <c r="AF50" s="19"/>
      <c r="AG50" s="26" t="s">
        <v>24</v>
      </c>
      <c r="AH50" s="27">
        <f>SUM(AH31:AH49)</f>
        <v>0</v>
      </c>
      <c r="AI50" s="27"/>
      <c r="AJ50" s="27"/>
      <c r="AK50" s="27"/>
      <c r="AL50" s="27"/>
    </row>
    <row r="51" spans="1:38">
      <c r="A51" s="20"/>
      <c r="B51" s="19"/>
      <c r="C51" s="360" t="s">
        <v>21</v>
      </c>
      <c r="D51" s="10"/>
      <c r="E51" s="530">
        <f>D50</f>
        <v>26670500</v>
      </c>
      <c r="F51" s="530"/>
      <c r="G51" s="530"/>
      <c r="H51" s="530"/>
      <c r="K51" s="20"/>
      <c r="L51" s="19"/>
      <c r="M51" s="360" t="s">
        <v>21</v>
      </c>
      <c r="N51" s="10"/>
      <c r="O51" s="530">
        <f>N50</f>
        <v>20804000</v>
      </c>
      <c r="P51" s="530"/>
      <c r="Q51" s="530"/>
      <c r="R51" s="530"/>
      <c r="U51" s="20"/>
      <c r="V51" s="19"/>
      <c r="W51" s="360" t="s">
        <v>21</v>
      </c>
      <c r="X51" s="10"/>
      <c r="Y51" s="530">
        <f>X50</f>
        <v>20804000</v>
      </c>
      <c r="Z51" s="530"/>
      <c r="AA51" s="530"/>
      <c r="AB51" s="530"/>
      <c r="AE51" s="20"/>
      <c r="AF51" s="19"/>
      <c r="AG51" s="360" t="s">
        <v>21</v>
      </c>
      <c r="AH51" s="10"/>
      <c r="AI51" s="530">
        <f>AH50</f>
        <v>0</v>
      </c>
      <c r="AJ51" s="530"/>
      <c r="AK51" s="530"/>
      <c r="AL51" s="530"/>
    </row>
    <row r="52" spans="1:38">
      <c r="A52" s="524" t="s">
        <v>1029</v>
      </c>
      <c r="B52" s="524"/>
      <c r="C52" s="524"/>
      <c r="D52" s="524"/>
      <c r="E52" s="524"/>
      <c r="F52" s="524"/>
      <c r="G52" s="524"/>
      <c r="H52" s="524"/>
      <c r="K52" s="524" t="s">
        <v>1029</v>
      </c>
      <c r="L52" s="524"/>
      <c r="M52" s="524"/>
      <c r="N52" s="524"/>
      <c r="O52" s="524"/>
      <c r="P52" s="524"/>
      <c r="Q52" s="524"/>
      <c r="R52" s="524"/>
      <c r="U52" s="524" t="s">
        <v>1029</v>
      </c>
      <c r="V52" s="524"/>
      <c r="W52" s="524"/>
      <c r="X52" s="524"/>
      <c r="Y52" s="524"/>
      <c r="Z52" s="524"/>
      <c r="AA52" s="524"/>
      <c r="AB52" s="524"/>
      <c r="AE52" s="524" t="s">
        <v>1029</v>
      </c>
      <c r="AF52" s="524"/>
      <c r="AG52" s="524"/>
      <c r="AH52" s="524"/>
      <c r="AI52" s="524"/>
      <c r="AJ52" s="524"/>
      <c r="AK52" s="524"/>
      <c r="AL52" s="524"/>
    </row>
    <row r="53" spans="1:38">
      <c r="A53" s="28"/>
      <c r="B53" s="188" t="s">
        <v>1030</v>
      </c>
      <c r="C53" s="23" t="s">
        <v>1031</v>
      </c>
      <c r="D53" s="23">
        <v>117000</v>
      </c>
      <c r="E53" s="28"/>
      <c r="F53" s="28"/>
      <c r="G53" s="28"/>
      <c r="H53" s="28"/>
      <c r="K53" s="28"/>
      <c r="L53" s="188" t="s">
        <v>1030</v>
      </c>
      <c r="M53" s="23" t="s">
        <v>1031</v>
      </c>
      <c r="N53" s="23"/>
      <c r="O53" s="28"/>
      <c r="P53" s="28"/>
      <c r="Q53" s="28"/>
      <c r="R53" s="28"/>
      <c r="U53" s="28"/>
      <c r="V53" s="188" t="s">
        <v>1030</v>
      </c>
      <c r="W53" s="23" t="s">
        <v>1031</v>
      </c>
      <c r="X53" s="23"/>
      <c r="Y53" s="28"/>
      <c r="Z53" s="28"/>
      <c r="AA53" s="28"/>
      <c r="AB53" s="28"/>
      <c r="AE53" s="28"/>
      <c r="AF53" s="188" t="s">
        <v>1030</v>
      </c>
      <c r="AG53" s="23" t="s">
        <v>1031</v>
      </c>
      <c r="AH53" s="23"/>
      <c r="AI53" s="28"/>
      <c r="AJ53" s="28"/>
      <c r="AK53" s="28"/>
      <c r="AL53" s="28"/>
    </row>
    <row r="54" spans="1:38" hidden="1">
      <c r="A54" s="28"/>
      <c r="B54" s="23"/>
      <c r="C54" s="23"/>
      <c r="D54" s="23"/>
      <c r="E54" s="28"/>
      <c r="F54" s="28"/>
      <c r="G54" s="28"/>
      <c r="H54" s="28"/>
      <c r="K54" s="28"/>
      <c r="L54" s="23"/>
      <c r="M54" s="23"/>
      <c r="N54" s="23"/>
      <c r="O54" s="28"/>
      <c r="P54" s="28"/>
      <c r="Q54" s="28"/>
      <c r="R54" s="28"/>
      <c r="U54" s="28"/>
      <c r="V54" s="23"/>
      <c r="W54" s="23"/>
      <c r="X54" s="23"/>
      <c r="Y54" s="28"/>
      <c r="Z54" s="28"/>
      <c r="AA54" s="28"/>
      <c r="AB54" s="28"/>
      <c r="AE54" s="28"/>
      <c r="AF54" s="23"/>
      <c r="AG54" s="23"/>
      <c r="AH54" s="23"/>
      <c r="AI54" s="28"/>
      <c r="AJ54" s="28"/>
      <c r="AK54" s="28"/>
      <c r="AL54" s="28"/>
    </row>
    <row r="55" spans="1:38" hidden="1">
      <c r="A55" s="28"/>
      <c r="B55" s="188"/>
      <c r="C55" s="23"/>
      <c r="D55" s="23"/>
      <c r="E55" s="28"/>
      <c r="F55" s="28"/>
      <c r="G55" s="28"/>
      <c r="H55" s="28"/>
      <c r="K55" s="28"/>
      <c r="L55" s="188"/>
      <c r="M55" s="23"/>
      <c r="N55" s="23"/>
      <c r="O55" s="28"/>
      <c r="P55" s="28"/>
      <c r="Q55" s="28"/>
      <c r="R55" s="28"/>
      <c r="U55" s="28"/>
      <c r="V55" s="188"/>
      <c r="W55" s="23"/>
      <c r="X55" s="23"/>
      <c r="Y55" s="28"/>
      <c r="Z55" s="28"/>
      <c r="AA55" s="28"/>
      <c r="AB55" s="28"/>
      <c r="AE55" s="28"/>
      <c r="AF55" s="188"/>
      <c r="AG55" s="23"/>
      <c r="AH55" s="23"/>
      <c r="AI55" s="28"/>
      <c r="AJ55" s="28"/>
      <c r="AK55" s="28"/>
      <c r="AL55" s="28"/>
    </row>
    <row r="56" spans="1:38">
      <c r="A56" s="12"/>
      <c r="B56" s="13"/>
      <c r="C56" s="26" t="s">
        <v>448</v>
      </c>
      <c r="D56" s="27">
        <f>SUM(D53:D55)</f>
        <v>117000</v>
      </c>
      <c r="E56" s="27">
        <v>0</v>
      </c>
      <c r="F56" s="27">
        <v>0</v>
      </c>
      <c r="G56" s="27"/>
      <c r="H56" s="27"/>
      <c r="K56" s="12"/>
      <c r="L56" s="13"/>
      <c r="M56" s="26" t="s">
        <v>448</v>
      </c>
      <c r="N56" s="27">
        <f>SUM(N53:N55)</f>
        <v>0</v>
      </c>
      <c r="O56" s="27">
        <v>0</v>
      </c>
      <c r="P56" s="27">
        <v>0</v>
      </c>
      <c r="Q56" s="27"/>
      <c r="R56" s="27"/>
      <c r="U56" s="12"/>
      <c r="V56" s="13"/>
      <c r="W56" s="26" t="s">
        <v>448</v>
      </c>
      <c r="X56" s="27">
        <f>SUM(X53:X55)</f>
        <v>0</v>
      </c>
      <c r="Y56" s="27">
        <v>0</v>
      </c>
      <c r="Z56" s="27">
        <v>0</v>
      </c>
      <c r="AA56" s="27"/>
      <c r="AB56" s="27"/>
      <c r="AE56" s="12"/>
      <c r="AF56" s="13"/>
      <c r="AG56" s="26" t="s">
        <v>448</v>
      </c>
      <c r="AH56" s="27">
        <f>SUM(AH53:AH55)</f>
        <v>0</v>
      </c>
      <c r="AI56" s="27">
        <v>0</v>
      </c>
      <c r="AJ56" s="27">
        <v>0</v>
      </c>
      <c r="AK56" s="27"/>
      <c r="AL56" s="27"/>
    </row>
    <row r="57" spans="1:38">
      <c r="A57" s="20"/>
      <c r="B57" s="19"/>
      <c r="C57" s="360" t="s">
        <v>21</v>
      </c>
      <c r="D57" s="10"/>
      <c r="E57" s="530">
        <f>D56</f>
        <v>117000</v>
      </c>
      <c r="F57" s="530"/>
      <c r="G57" s="530"/>
      <c r="H57" s="530"/>
      <c r="K57" s="20"/>
      <c r="L57" s="19"/>
      <c r="M57" s="360" t="s">
        <v>21</v>
      </c>
      <c r="N57" s="10"/>
      <c r="O57" s="530">
        <f>N56</f>
        <v>0</v>
      </c>
      <c r="P57" s="530"/>
      <c r="Q57" s="530"/>
      <c r="R57" s="530"/>
      <c r="U57" s="20"/>
      <c r="V57" s="19"/>
      <c r="W57" s="360" t="s">
        <v>21</v>
      </c>
      <c r="X57" s="10"/>
      <c r="Y57" s="530">
        <f>X56</f>
        <v>0</v>
      </c>
      <c r="Z57" s="530"/>
      <c r="AA57" s="530"/>
      <c r="AB57" s="530"/>
      <c r="AE57" s="20"/>
      <c r="AF57" s="19"/>
      <c r="AG57" s="360" t="s">
        <v>21</v>
      </c>
      <c r="AH57" s="10"/>
      <c r="AI57" s="530">
        <f>AH56</f>
        <v>0</v>
      </c>
      <c r="AJ57" s="530"/>
      <c r="AK57" s="530"/>
      <c r="AL57" s="530"/>
    </row>
    <row r="58" spans="1:38">
      <c r="A58" s="524" t="s">
        <v>1133</v>
      </c>
      <c r="B58" s="524"/>
      <c r="C58" s="524"/>
      <c r="D58" s="524"/>
      <c r="E58" s="524"/>
      <c r="F58" s="524"/>
      <c r="G58" s="524"/>
      <c r="H58" s="524"/>
      <c r="K58" s="524" t="s">
        <v>1133</v>
      </c>
      <c r="L58" s="524"/>
      <c r="M58" s="524"/>
      <c r="N58" s="524"/>
      <c r="O58" s="524"/>
      <c r="P58" s="524"/>
      <c r="Q58" s="524"/>
      <c r="R58" s="524"/>
      <c r="U58" s="524" t="s">
        <v>1133</v>
      </c>
      <c r="V58" s="524"/>
      <c r="W58" s="524"/>
      <c r="X58" s="524"/>
      <c r="Y58" s="524"/>
      <c r="Z58" s="524"/>
      <c r="AA58" s="524"/>
      <c r="AB58" s="524"/>
      <c r="AE58" s="524" t="s">
        <v>1133</v>
      </c>
      <c r="AF58" s="524"/>
      <c r="AG58" s="524"/>
      <c r="AH58" s="524"/>
      <c r="AI58" s="524"/>
      <c r="AJ58" s="524"/>
      <c r="AK58" s="524"/>
      <c r="AL58" s="524"/>
    </row>
    <row r="59" spans="1:38">
      <c r="A59" s="28"/>
      <c r="B59" s="19" t="s">
        <v>1134</v>
      </c>
      <c r="C59" s="23" t="s">
        <v>1135</v>
      </c>
      <c r="D59" s="23">
        <v>300000</v>
      </c>
      <c r="E59" s="28"/>
      <c r="F59" s="28"/>
      <c r="G59" s="28"/>
      <c r="H59" s="28"/>
      <c r="K59" s="28"/>
      <c r="L59" s="19" t="s">
        <v>1134</v>
      </c>
      <c r="M59" s="23" t="s">
        <v>1135</v>
      </c>
      <c r="N59" s="23">
        <v>300000</v>
      </c>
      <c r="O59" s="28"/>
      <c r="P59" s="28"/>
      <c r="Q59" s="28"/>
      <c r="R59" s="28"/>
      <c r="U59" s="28"/>
      <c r="V59" s="19" t="s">
        <v>1134</v>
      </c>
      <c r="W59" s="23" t="s">
        <v>1135</v>
      </c>
      <c r="X59" s="23">
        <v>300000</v>
      </c>
      <c r="Y59" s="28"/>
      <c r="Z59" s="28"/>
      <c r="AA59" s="28"/>
      <c r="AB59" s="28"/>
      <c r="AE59" s="28"/>
      <c r="AF59" s="19" t="s">
        <v>1134</v>
      </c>
      <c r="AG59" s="23" t="s">
        <v>1135</v>
      </c>
      <c r="AH59" s="23"/>
      <c r="AI59" s="28"/>
      <c r="AJ59" s="28"/>
      <c r="AK59" s="28"/>
      <c r="AL59" s="28"/>
    </row>
    <row r="60" spans="1:38" hidden="1">
      <c r="A60" s="28"/>
      <c r="B60" s="19"/>
      <c r="C60" s="23"/>
      <c r="D60" s="23"/>
      <c r="E60" s="28"/>
      <c r="F60" s="28"/>
      <c r="G60" s="28"/>
      <c r="H60" s="28"/>
      <c r="K60" s="28"/>
      <c r="L60" s="19"/>
      <c r="M60" s="23"/>
      <c r="N60" s="23"/>
      <c r="O60" s="28"/>
      <c r="P60" s="28"/>
      <c r="Q60" s="28"/>
      <c r="R60" s="28"/>
      <c r="U60" s="28"/>
      <c r="V60" s="19"/>
      <c r="W60" s="23"/>
      <c r="X60" s="23"/>
      <c r="Y60" s="28"/>
      <c r="Z60" s="28"/>
      <c r="AA60" s="28"/>
      <c r="AB60" s="28"/>
      <c r="AE60" s="28"/>
      <c r="AF60" s="19"/>
      <c r="AG60" s="23"/>
      <c r="AH60" s="23"/>
      <c r="AI60" s="28"/>
      <c r="AJ60" s="28"/>
      <c r="AK60" s="28"/>
      <c r="AL60" s="28"/>
    </row>
    <row r="61" spans="1:38" hidden="1">
      <c r="A61" s="28"/>
      <c r="B61" s="19"/>
      <c r="C61" s="23"/>
      <c r="D61" s="23"/>
      <c r="E61" s="28"/>
      <c r="F61" s="28"/>
      <c r="G61" s="28"/>
      <c r="H61" s="28"/>
      <c r="K61" s="28"/>
      <c r="L61" s="19"/>
      <c r="M61" s="23"/>
      <c r="N61" s="23"/>
      <c r="O61" s="28"/>
      <c r="P61" s="28"/>
      <c r="Q61" s="28"/>
      <c r="R61" s="28"/>
      <c r="U61" s="28"/>
      <c r="V61" s="19"/>
      <c r="W61" s="23"/>
      <c r="X61" s="23"/>
      <c r="Y61" s="28"/>
      <c r="Z61" s="28"/>
      <c r="AA61" s="28"/>
      <c r="AB61" s="28"/>
      <c r="AE61" s="28"/>
      <c r="AF61" s="19"/>
      <c r="AG61" s="23"/>
      <c r="AH61" s="23"/>
      <c r="AI61" s="28"/>
      <c r="AJ61" s="28"/>
      <c r="AK61" s="28"/>
      <c r="AL61" s="28"/>
    </row>
    <row r="62" spans="1:38" hidden="1">
      <c r="A62" s="28"/>
      <c r="B62" s="23"/>
      <c r="C62" s="23"/>
      <c r="D62" s="23"/>
      <c r="E62" s="28"/>
      <c r="F62" s="28"/>
      <c r="G62" s="28"/>
      <c r="H62" s="28"/>
      <c r="K62" s="28"/>
      <c r="L62" s="23"/>
      <c r="M62" s="23"/>
      <c r="N62" s="23"/>
      <c r="O62" s="28"/>
      <c r="P62" s="28"/>
      <c r="Q62" s="28"/>
      <c r="R62" s="28"/>
      <c r="U62" s="28"/>
      <c r="V62" s="23"/>
      <c r="W62" s="23"/>
      <c r="X62" s="23"/>
      <c r="Y62" s="28"/>
      <c r="Z62" s="28"/>
      <c r="AA62" s="28"/>
      <c r="AB62" s="28"/>
      <c r="AE62" s="28"/>
      <c r="AF62" s="23"/>
      <c r="AG62" s="23"/>
      <c r="AH62" s="23"/>
      <c r="AI62" s="28"/>
      <c r="AJ62" s="28"/>
      <c r="AK62" s="28"/>
      <c r="AL62" s="28"/>
    </row>
    <row r="63" spans="1:38">
      <c r="A63" s="28"/>
      <c r="B63" s="23"/>
      <c r="C63" s="23"/>
      <c r="D63" s="23"/>
      <c r="E63" s="28"/>
      <c r="F63" s="28"/>
      <c r="G63" s="28"/>
      <c r="H63" s="28"/>
      <c r="K63" s="28"/>
      <c r="L63" s="23"/>
      <c r="M63" s="23"/>
      <c r="N63" s="23"/>
      <c r="O63" s="28"/>
      <c r="P63" s="28"/>
      <c r="Q63" s="28"/>
      <c r="R63" s="28"/>
      <c r="U63" s="28"/>
      <c r="V63" s="23"/>
      <c r="W63" s="23"/>
      <c r="X63" s="23"/>
      <c r="Y63" s="28"/>
      <c r="Z63" s="28"/>
      <c r="AA63" s="28"/>
      <c r="AB63" s="28"/>
      <c r="AE63" s="28"/>
      <c r="AF63" s="23"/>
      <c r="AG63" s="23"/>
      <c r="AH63" s="23"/>
      <c r="AI63" s="28"/>
      <c r="AJ63" s="28"/>
      <c r="AK63" s="28"/>
      <c r="AL63" s="28"/>
    </row>
    <row r="64" spans="1:38">
      <c r="A64" s="12"/>
      <c r="B64" s="13"/>
      <c r="C64" s="26" t="s">
        <v>896</v>
      </c>
      <c r="D64" s="27">
        <f>SUM(D59:D62)</f>
        <v>300000</v>
      </c>
      <c r="E64" s="27">
        <v>0</v>
      </c>
      <c r="F64" s="27">
        <v>0</v>
      </c>
      <c r="G64" s="27"/>
      <c r="H64" s="27"/>
      <c r="K64" s="12"/>
      <c r="L64" s="13"/>
      <c r="M64" s="26" t="s">
        <v>896</v>
      </c>
      <c r="N64" s="27">
        <f>SUM(N59:N62)</f>
        <v>300000</v>
      </c>
      <c r="O64" s="27">
        <v>0</v>
      </c>
      <c r="P64" s="27">
        <v>0</v>
      </c>
      <c r="Q64" s="27"/>
      <c r="R64" s="27"/>
      <c r="U64" s="12"/>
      <c r="V64" s="13"/>
      <c r="W64" s="26" t="s">
        <v>896</v>
      </c>
      <c r="X64" s="27">
        <f>SUM(X59:X62)</f>
        <v>300000</v>
      </c>
      <c r="Y64" s="27">
        <v>0</v>
      </c>
      <c r="Z64" s="27">
        <v>0</v>
      </c>
      <c r="AA64" s="27"/>
      <c r="AB64" s="27"/>
      <c r="AE64" s="12"/>
      <c r="AF64" s="13"/>
      <c r="AG64" s="26" t="s">
        <v>896</v>
      </c>
      <c r="AH64" s="27">
        <f>SUM(AH59:AH62)</f>
        <v>0</v>
      </c>
      <c r="AI64" s="27">
        <v>0</v>
      </c>
      <c r="AJ64" s="27">
        <v>0</v>
      </c>
      <c r="AK64" s="27"/>
      <c r="AL64" s="27"/>
    </row>
    <row r="65" spans="1:38">
      <c r="A65" s="20"/>
      <c r="B65" s="19"/>
      <c r="C65" s="360" t="s">
        <v>21</v>
      </c>
      <c r="D65" s="10"/>
      <c r="E65" s="530">
        <f>D64</f>
        <v>300000</v>
      </c>
      <c r="F65" s="530"/>
      <c r="G65" s="530"/>
      <c r="H65" s="530"/>
      <c r="K65" s="20"/>
      <c r="L65" s="19"/>
      <c r="M65" s="360" t="s">
        <v>21</v>
      </c>
      <c r="N65" s="10"/>
      <c r="O65" s="530">
        <f>N64</f>
        <v>300000</v>
      </c>
      <c r="P65" s="530"/>
      <c r="Q65" s="530"/>
      <c r="R65" s="530"/>
      <c r="U65" s="20"/>
      <c r="V65" s="19"/>
      <c r="W65" s="360" t="s">
        <v>21</v>
      </c>
      <c r="X65" s="10"/>
      <c r="Y65" s="530">
        <f>X64</f>
        <v>300000</v>
      </c>
      <c r="Z65" s="530"/>
      <c r="AA65" s="530"/>
      <c r="AB65" s="530"/>
      <c r="AE65" s="20"/>
      <c r="AF65" s="19"/>
      <c r="AG65" s="360" t="s">
        <v>21</v>
      </c>
      <c r="AH65" s="10"/>
      <c r="AI65" s="530">
        <f>AH64</f>
        <v>0</v>
      </c>
      <c r="AJ65" s="530"/>
      <c r="AK65" s="530"/>
      <c r="AL65" s="530"/>
    </row>
    <row r="66" spans="1:38">
      <c r="A66" s="524" t="s">
        <v>54</v>
      </c>
      <c r="B66" s="524"/>
      <c r="C66" s="524"/>
      <c r="D66" s="524"/>
      <c r="E66" s="524"/>
      <c r="F66" s="524"/>
      <c r="G66" s="524"/>
      <c r="H66" s="524"/>
      <c r="K66" s="524" t="s">
        <v>54</v>
      </c>
      <c r="L66" s="524"/>
      <c r="M66" s="524"/>
      <c r="N66" s="524"/>
      <c r="O66" s="524"/>
      <c r="P66" s="524"/>
      <c r="Q66" s="524"/>
      <c r="R66" s="524"/>
      <c r="U66" s="524" t="s">
        <v>54</v>
      </c>
      <c r="V66" s="524"/>
      <c r="W66" s="524"/>
      <c r="X66" s="524"/>
      <c r="Y66" s="524"/>
      <c r="Z66" s="524"/>
      <c r="AA66" s="524"/>
      <c r="AB66" s="524"/>
      <c r="AE66" s="524" t="s">
        <v>54</v>
      </c>
      <c r="AF66" s="524"/>
      <c r="AG66" s="524"/>
      <c r="AH66" s="524"/>
      <c r="AI66" s="524"/>
      <c r="AJ66" s="524"/>
      <c r="AK66" s="524"/>
      <c r="AL66" s="524"/>
    </row>
    <row r="67" spans="1:38">
      <c r="A67" s="28"/>
      <c r="B67" s="23" t="s">
        <v>967</v>
      </c>
      <c r="C67" s="23" t="s">
        <v>1038</v>
      </c>
      <c r="D67" s="23">
        <v>20000000</v>
      </c>
      <c r="E67" s="28"/>
      <c r="F67" s="28"/>
      <c r="G67" s="28"/>
      <c r="H67" s="28"/>
      <c r="K67" s="28"/>
      <c r="L67" s="23" t="s">
        <v>967</v>
      </c>
      <c r="M67" s="23" t="s">
        <v>1038</v>
      </c>
      <c r="N67" s="23"/>
      <c r="O67" s="28"/>
      <c r="P67" s="28"/>
      <c r="Q67" s="28"/>
      <c r="R67" s="28"/>
      <c r="U67" s="28"/>
      <c r="V67" s="23" t="s">
        <v>967</v>
      </c>
      <c r="W67" s="23" t="s">
        <v>1038</v>
      </c>
      <c r="X67" s="23"/>
      <c r="Y67" s="28"/>
      <c r="Z67" s="28"/>
      <c r="AA67" s="28"/>
      <c r="AB67" s="28"/>
      <c r="AE67" s="28"/>
      <c r="AF67" s="23" t="s">
        <v>967</v>
      </c>
      <c r="AG67" s="23" t="s">
        <v>1038</v>
      </c>
      <c r="AH67" s="23"/>
      <c r="AI67" s="28"/>
      <c r="AJ67" s="28"/>
      <c r="AK67" s="28"/>
      <c r="AL67" s="28"/>
    </row>
    <row r="68" spans="1:38">
      <c r="A68" s="28"/>
      <c r="B68" s="23" t="s">
        <v>1032</v>
      </c>
      <c r="C68" s="23" t="s">
        <v>1033</v>
      </c>
      <c r="D68" s="23">
        <v>5936000</v>
      </c>
      <c r="E68" s="23"/>
      <c r="F68" s="28"/>
      <c r="G68" s="28"/>
      <c r="H68" s="280"/>
      <c r="K68" s="28"/>
      <c r="L68" s="23" t="s">
        <v>1032</v>
      </c>
      <c r="M68" s="23" t="s">
        <v>1033</v>
      </c>
      <c r="N68" s="23">
        <v>5936000</v>
      </c>
      <c r="O68" s="23"/>
      <c r="P68" s="28"/>
      <c r="Q68" s="28"/>
      <c r="R68" s="280"/>
      <c r="U68" s="28"/>
      <c r="V68" s="23" t="s">
        <v>1032</v>
      </c>
      <c r="W68" s="23" t="s">
        <v>1033</v>
      </c>
      <c r="X68" s="23">
        <v>5936000</v>
      </c>
      <c r="Y68" s="23"/>
      <c r="Z68" s="28"/>
      <c r="AA68" s="28"/>
      <c r="AB68" s="280"/>
      <c r="AE68" s="28"/>
      <c r="AF68" s="23" t="s">
        <v>1032</v>
      </c>
      <c r="AG68" s="23" t="s">
        <v>1033</v>
      </c>
      <c r="AH68" s="23"/>
      <c r="AI68" s="23"/>
      <c r="AJ68" s="28"/>
      <c r="AK68" s="28"/>
      <c r="AL68" s="280"/>
    </row>
    <row r="69" spans="1:38">
      <c r="A69" s="28"/>
      <c r="B69" s="23" t="s">
        <v>1032</v>
      </c>
      <c r="C69" s="23" t="s">
        <v>1034</v>
      </c>
      <c r="D69" s="23">
        <v>1524000</v>
      </c>
      <c r="E69" s="28"/>
      <c r="F69" s="28"/>
      <c r="G69" s="28"/>
      <c r="H69" s="28"/>
      <c r="K69" s="28"/>
      <c r="L69" s="23" t="s">
        <v>1032</v>
      </c>
      <c r="M69" s="23" t="s">
        <v>1034</v>
      </c>
      <c r="N69" s="23"/>
      <c r="O69" s="28"/>
      <c r="P69" s="28"/>
      <c r="Q69" s="28"/>
      <c r="R69" s="28"/>
      <c r="U69" s="28"/>
      <c r="V69" s="23" t="s">
        <v>1032</v>
      </c>
      <c r="W69" s="23" t="s">
        <v>1034</v>
      </c>
      <c r="X69" s="23"/>
      <c r="Y69" s="28"/>
      <c r="Z69" s="28"/>
      <c r="AA69" s="28"/>
      <c r="AB69" s="28"/>
      <c r="AE69" s="28"/>
      <c r="AF69" s="23" t="s">
        <v>1032</v>
      </c>
      <c r="AG69" s="23" t="s">
        <v>1034</v>
      </c>
      <c r="AH69" s="23"/>
      <c r="AI69" s="28"/>
      <c r="AJ69" s="28"/>
      <c r="AK69" s="28"/>
      <c r="AL69" s="28"/>
    </row>
    <row r="70" spans="1:38">
      <c r="A70" s="28"/>
      <c r="B70" s="23" t="s">
        <v>1035</v>
      </c>
      <c r="C70" s="23" t="s">
        <v>1037</v>
      </c>
      <c r="D70" s="23">
        <v>11226000</v>
      </c>
      <c r="E70" s="28"/>
      <c r="F70" s="28"/>
      <c r="G70" s="28"/>
      <c r="H70" s="28"/>
      <c r="K70" s="28"/>
      <c r="L70" s="23" t="s">
        <v>1035</v>
      </c>
      <c r="M70" s="23" t="s">
        <v>1037</v>
      </c>
      <c r="N70" s="23"/>
      <c r="O70" s="28"/>
      <c r="P70" s="28"/>
      <c r="Q70" s="28"/>
      <c r="R70" s="28"/>
      <c r="U70" s="28"/>
      <c r="V70" s="23" t="s">
        <v>1035</v>
      </c>
      <c r="W70" s="23" t="s">
        <v>1037</v>
      </c>
      <c r="X70" s="23"/>
      <c r="Y70" s="28"/>
      <c r="Z70" s="28"/>
      <c r="AA70" s="28"/>
      <c r="AB70" s="28"/>
      <c r="AE70" s="28"/>
      <c r="AF70" s="23" t="s">
        <v>1035</v>
      </c>
      <c r="AG70" s="23" t="s">
        <v>1037</v>
      </c>
      <c r="AH70" s="23"/>
      <c r="AI70" s="28"/>
      <c r="AJ70" s="28"/>
      <c r="AK70" s="28"/>
      <c r="AL70" s="28"/>
    </row>
    <row r="71" spans="1:38">
      <c r="A71" s="28"/>
      <c r="B71" s="23" t="s">
        <v>1035</v>
      </c>
      <c r="C71" s="23" t="s">
        <v>1036</v>
      </c>
      <c r="D71" s="23">
        <v>810000</v>
      </c>
      <c r="E71" s="28"/>
      <c r="F71" s="28"/>
      <c r="G71" s="28"/>
      <c r="H71" s="28"/>
      <c r="K71" s="28"/>
      <c r="L71" s="23" t="s">
        <v>1035</v>
      </c>
      <c r="M71" s="23" t="s">
        <v>1036</v>
      </c>
      <c r="N71" s="23"/>
      <c r="O71" s="28"/>
      <c r="P71" s="28"/>
      <c r="Q71" s="28"/>
      <c r="R71" s="28"/>
      <c r="U71" s="28"/>
      <c r="V71" s="23" t="s">
        <v>1035</v>
      </c>
      <c r="W71" s="23" t="s">
        <v>1036</v>
      </c>
      <c r="X71" s="23"/>
      <c r="Y71" s="28"/>
      <c r="Z71" s="28"/>
      <c r="AA71" s="28"/>
      <c r="AB71" s="28"/>
      <c r="AE71" s="28"/>
      <c r="AF71" s="23" t="s">
        <v>1035</v>
      </c>
      <c r="AG71" s="23" t="s">
        <v>1036</v>
      </c>
      <c r="AH71" s="23"/>
      <c r="AI71" s="28"/>
      <c r="AJ71" s="28"/>
      <c r="AK71" s="28"/>
      <c r="AL71" s="28"/>
    </row>
    <row r="72" spans="1:38">
      <c r="A72" s="12"/>
      <c r="B72" s="23" t="s">
        <v>1039</v>
      </c>
      <c r="C72" s="23" t="s">
        <v>1044</v>
      </c>
      <c r="D72" s="23">
        <v>300000</v>
      </c>
      <c r="E72" s="360"/>
      <c r="F72" s="360"/>
      <c r="G72" s="360"/>
      <c r="H72" s="360"/>
      <c r="K72" s="12"/>
      <c r="L72" s="23" t="s">
        <v>1039</v>
      </c>
      <c r="M72" s="23" t="s">
        <v>1044</v>
      </c>
      <c r="N72" s="23"/>
      <c r="O72" s="360"/>
      <c r="P72" s="360"/>
      <c r="Q72" s="360"/>
      <c r="R72" s="360"/>
      <c r="U72" s="12"/>
      <c r="V72" s="23" t="s">
        <v>1039</v>
      </c>
      <c r="W72" s="23" t="s">
        <v>1044</v>
      </c>
      <c r="X72" s="23"/>
      <c r="Y72" s="360"/>
      <c r="Z72" s="360"/>
      <c r="AA72" s="360"/>
      <c r="AB72" s="360"/>
      <c r="AE72" s="12"/>
      <c r="AF72" s="23" t="s">
        <v>1039</v>
      </c>
      <c r="AG72" s="23" t="s">
        <v>1044</v>
      </c>
      <c r="AH72" s="23"/>
      <c r="AI72" s="360"/>
      <c r="AJ72" s="360"/>
      <c r="AK72" s="360"/>
      <c r="AL72" s="360"/>
    </row>
    <row r="73" spans="1:38">
      <c r="A73" s="12"/>
      <c r="B73" s="23" t="s">
        <v>1039</v>
      </c>
      <c r="C73" s="24" t="s">
        <v>1046</v>
      </c>
      <c r="D73" s="23">
        <v>1050000</v>
      </c>
      <c r="E73" s="360"/>
      <c r="F73" s="360"/>
      <c r="G73" s="360"/>
      <c r="H73" s="360"/>
      <c r="K73" s="12"/>
      <c r="L73" s="23" t="s">
        <v>1039</v>
      </c>
      <c r="M73" s="24" t="s">
        <v>1046</v>
      </c>
      <c r="N73" s="23"/>
      <c r="O73" s="360"/>
      <c r="P73" s="360"/>
      <c r="Q73" s="360"/>
      <c r="R73" s="360"/>
      <c r="U73" s="12"/>
      <c r="V73" s="23" t="s">
        <v>1039</v>
      </c>
      <c r="W73" s="24" t="s">
        <v>1046</v>
      </c>
      <c r="X73" s="23"/>
      <c r="Y73" s="360"/>
      <c r="Z73" s="360"/>
      <c r="AA73" s="360"/>
      <c r="AB73" s="360"/>
      <c r="AE73" s="12"/>
      <c r="AF73" s="23" t="s">
        <v>1039</v>
      </c>
      <c r="AG73" s="24" t="s">
        <v>1046</v>
      </c>
      <c r="AH73" s="23"/>
      <c r="AI73" s="360"/>
      <c r="AJ73" s="360"/>
      <c r="AK73" s="360"/>
      <c r="AL73" s="360"/>
    </row>
    <row r="74" spans="1:38">
      <c r="A74" s="12"/>
      <c r="B74" s="22" t="s">
        <v>1065</v>
      </c>
      <c r="C74" s="22" t="s">
        <v>1066</v>
      </c>
      <c r="D74" s="22">
        <v>12208500</v>
      </c>
      <c r="E74" s="360"/>
      <c r="F74" s="360"/>
      <c r="G74" s="360"/>
      <c r="H74" s="360"/>
      <c r="K74" s="12"/>
      <c r="L74" s="22" t="s">
        <v>1065</v>
      </c>
      <c r="M74" s="22" t="s">
        <v>1066</v>
      </c>
      <c r="N74" s="22">
        <v>12208500</v>
      </c>
      <c r="O74" s="360"/>
      <c r="P74" s="360"/>
      <c r="Q74" s="360"/>
      <c r="R74" s="360"/>
      <c r="U74" s="12"/>
      <c r="V74" s="22" t="s">
        <v>1065</v>
      </c>
      <c r="W74" s="22" t="s">
        <v>1066</v>
      </c>
      <c r="X74" s="22"/>
      <c r="Y74" s="360"/>
      <c r="Z74" s="360"/>
      <c r="AA74" s="360"/>
      <c r="AB74" s="360"/>
      <c r="AE74" s="12"/>
      <c r="AF74" s="22" t="s">
        <v>1065</v>
      </c>
      <c r="AG74" s="22" t="s">
        <v>1066</v>
      </c>
      <c r="AH74" s="22">
        <v>12208500</v>
      </c>
      <c r="AI74" s="360"/>
      <c r="AJ74" s="360"/>
      <c r="AK74" s="360"/>
      <c r="AL74" s="360"/>
    </row>
    <row r="75" spans="1:38">
      <c r="A75" s="12"/>
      <c r="B75" s="13" t="s">
        <v>1065</v>
      </c>
      <c r="C75" s="22" t="s">
        <v>1070</v>
      </c>
      <c r="D75" s="22">
        <v>50000</v>
      </c>
      <c r="E75" s="360"/>
      <c r="F75" s="360"/>
      <c r="G75" s="360"/>
      <c r="H75" s="360"/>
      <c r="K75" s="12"/>
      <c r="L75" s="13" t="s">
        <v>1065</v>
      </c>
      <c r="M75" s="22" t="s">
        <v>1070</v>
      </c>
      <c r="N75" s="22"/>
      <c r="O75" s="360"/>
      <c r="P75" s="360"/>
      <c r="Q75" s="360"/>
      <c r="R75" s="360"/>
      <c r="U75" s="12"/>
      <c r="V75" s="13" t="s">
        <v>1065</v>
      </c>
      <c r="W75" s="22" t="s">
        <v>1070</v>
      </c>
      <c r="X75" s="22"/>
      <c r="Y75" s="360"/>
      <c r="Z75" s="360"/>
      <c r="AA75" s="360"/>
      <c r="AB75" s="360"/>
      <c r="AE75" s="12"/>
      <c r="AF75" s="13" t="s">
        <v>1065</v>
      </c>
      <c r="AG75" s="22" t="s">
        <v>1070</v>
      </c>
      <c r="AH75" s="22"/>
      <c r="AI75" s="360"/>
      <c r="AJ75" s="360"/>
      <c r="AK75" s="360"/>
      <c r="AL75" s="360"/>
    </row>
    <row r="76" spans="1:38">
      <c r="A76" s="12"/>
      <c r="B76" s="23" t="s">
        <v>1103</v>
      </c>
      <c r="C76" s="23" t="s">
        <v>1104</v>
      </c>
      <c r="D76" s="23">
        <v>565000</v>
      </c>
      <c r="E76" s="360"/>
      <c r="F76" s="360"/>
      <c r="G76" s="360"/>
      <c r="H76" s="360"/>
      <c r="K76" s="12"/>
      <c r="L76" s="23" t="s">
        <v>1103</v>
      </c>
      <c r="M76" s="23" t="s">
        <v>1104</v>
      </c>
      <c r="N76" s="23">
        <v>565000</v>
      </c>
      <c r="O76" s="360"/>
      <c r="P76" s="360"/>
      <c r="Q76" s="360"/>
      <c r="R76" s="360"/>
      <c r="U76" s="12"/>
      <c r="V76" s="23" t="s">
        <v>1103</v>
      </c>
      <c r="W76" s="23" t="s">
        <v>1104</v>
      </c>
      <c r="X76" s="23"/>
      <c r="Y76" s="360"/>
      <c r="Z76" s="360"/>
      <c r="AA76" s="360"/>
      <c r="AB76" s="360"/>
      <c r="AE76" s="12"/>
      <c r="AF76" s="23" t="s">
        <v>1103</v>
      </c>
      <c r="AG76" s="23" t="s">
        <v>1104</v>
      </c>
      <c r="AH76" s="23">
        <v>565000</v>
      </c>
      <c r="AI76" s="360"/>
      <c r="AJ76" s="360"/>
      <c r="AK76" s="360"/>
      <c r="AL76" s="360"/>
    </row>
    <row r="77" spans="1:38">
      <c r="A77" s="12"/>
      <c r="B77" s="23" t="s">
        <v>1105</v>
      </c>
      <c r="C77" s="23" t="s">
        <v>1106</v>
      </c>
      <c r="D77" s="23">
        <v>50000</v>
      </c>
      <c r="E77" s="360"/>
      <c r="F77" s="360"/>
      <c r="G77" s="360"/>
      <c r="H77" s="360"/>
      <c r="K77" s="12"/>
      <c r="L77" s="23" t="s">
        <v>1105</v>
      </c>
      <c r="M77" s="23" t="s">
        <v>1106</v>
      </c>
      <c r="N77" s="23"/>
      <c r="O77" s="360"/>
      <c r="P77" s="360"/>
      <c r="Q77" s="360"/>
      <c r="R77" s="360"/>
      <c r="U77" s="12"/>
      <c r="V77" s="23" t="s">
        <v>1105</v>
      </c>
      <c r="W77" s="23" t="s">
        <v>1106</v>
      </c>
      <c r="X77" s="23"/>
      <c r="Y77" s="360"/>
      <c r="Z77" s="360"/>
      <c r="AA77" s="360"/>
      <c r="AB77" s="360"/>
      <c r="AE77" s="12"/>
      <c r="AF77" s="23" t="s">
        <v>1105</v>
      </c>
      <c r="AG77" s="23" t="s">
        <v>1106</v>
      </c>
      <c r="AH77" s="23"/>
      <c r="AI77" s="360"/>
      <c r="AJ77" s="360"/>
      <c r="AK77" s="360"/>
      <c r="AL77" s="360"/>
    </row>
    <row r="78" spans="1:38">
      <c r="A78" s="12"/>
      <c r="B78" s="23" t="s">
        <v>1105</v>
      </c>
      <c r="C78" s="24" t="s">
        <v>1107</v>
      </c>
      <c r="D78" s="23">
        <v>50000</v>
      </c>
      <c r="E78" s="360"/>
      <c r="F78" s="360"/>
      <c r="G78" s="360"/>
      <c r="H78" s="360"/>
      <c r="K78" s="12"/>
      <c r="L78" s="23" t="s">
        <v>1105</v>
      </c>
      <c r="M78" s="24" t="s">
        <v>1107</v>
      </c>
      <c r="N78" s="23"/>
      <c r="O78" s="360"/>
      <c r="P78" s="360"/>
      <c r="Q78" s="360"/>
      <c r="R78" s="360"/>
      <c r="U78" s="12"/>
      <c r="V78" s="23" t="s">
        <v>1105</v>
      </c>
      <c r="W78" s="24" t="s">
        <v>1107</v>
      </c>
      <c r="X78" s="23"/>
      <c r="Y78" s="360"/>
      <c r="Z78" s="360"/>
      <c r="AA78" s="360"/>
      <c r="AB78" s="360"/>
      <c r="AE78" s="12"/>
      <c r="AF78" s="23" t="s">
        <v>1105</v>
      </c>
      <c r="AG78" s="24" t="s">
        <v>1107</v>
      </c>
      <c r="AH78" s="23"/>
      <c r="AI78" s="360"/>
      <c r="AJ78" s="360"/>
      <c r="AK78" s="360"/>
      <c r="AL78" s="360"/>
    </row>
    <row r="79" spans="1:38">
      <c r="A79" s="12"/>
      <c r="B79" s="23" t="s">
        <v>1108</v>
      </c>
      <c r="C79" s="23" t="s">
        <v>1116</v>
      </c>
      <c r="D79" s="23">
        <v>1300000</v>
      </c>
      <c r="E79" s="360"/>
      <c r="F79" s="360"/>
      <c r="G79" s="360"/>
      <c r="H79" s="360"/>
      <c r="K79" s="12"/>
      <c r="L79" s="23" t="s">
        <v>1108</v>
      </c>
      <c r="M79" s="23" t="s">
        <v>1116</v>
      </c>
      <c r="N79" s="23">
        <v>1300000</v>
      </c>
      <c r="O79" s="360"/>
      <c r="P79" s="360"/>
      <c r="Q79" s="360"/>
      <c r="R79" s="360"/>
      <c r="U79" s="12"/>
      <c r="V79" s="23" t="s">
        <v>1108</v>
      </c>
      <c r="W79" s="23" t="s">
        <v>1116</v>
      </c>
      <c r="X79" s="23">
        <v>1300000</v>
      </c>
      <c r="Y79" s="360"/>
      <c r="Z79" s="360"/>
      <c r="AA79" s="360"/>
      <c r="AB79" s="360"/>
      <c r="AE79" s="12"/>
      <c r="AF79" s="23" t="s">
        <v>1108</v>
      </c>
      <c r="AG79" s="23" t="s">
        <v>1116</v>
      </c>
      <c r="AH79" s="23"/>
      <c r="AI79" s="360"/>
      <c r="AJ79" s="360"/>
      <c r="AK79" s="360"/>
      <c r="AL79" s="360"/>
    </row>
    <row r="80" spans="1:38">
      <c r="A80" s="12"/>
      <c r="B80" s="23" t="s">
        <v>1108</v>
      </c>
      <c r="C80" s="23" t="s">
        <v>1117</v>
      </c>
      <c r="D80" s="23">
        <v>200000</v>
      </c>
      <c r="E80" s="360"/>
      <c r="F80" s="360"/>
      <c r="G80" s="360"/>
      <c r="H80" s="360"/>
      <c r="K80" s="12"/>
      <c r="L80" s="23" t="s">
        <v>1108</v>
      </c>
      <c r="M80" s="23" t="s">
        <v>1117</v>
      </c>
      <c r="N80" s="23">
        <v>200000</v>
      </c>
      <c r="O80" s="360"/>
      <c r="P80" s="360"/>
      <c r="Q80" s="360"/>
      <c r="R80" s="360"/>
      <c r="U80" s="12"/>
      <c r="V80" s="23" t="s">
        <v>1108</v>
      </c>
      <c r="W80" s="23" t="s">
        <v>1117</v>
      </c>
      <c r="X80" s="23"/>
      <c r="Y80" s="360"/>
      <c r="Z80" s="360"/>
      <c r="AA80" s="360"/>
      <c r="AB80" s="360"/>
      <c r="AE80" s="12"/>
      <c r="AF80" s="23" t="s">
        <v>1108</v>
      </c>
      <c r="AG80" s="23" t="s">
        <v>1117</v>
      </c>
      <c r="AH80" s="23">
        <v>200000</v>
      </c>
      <c r="AI80" s="360"/>
      <c r="AJ80" s="360"/>
      <c r="AK80" s="360"/>
      <c r="AL80" s="360"/>
    </row>
    <row r="81" spans="1:38">
      <c r="A81" s="12"/>
      <c r="B81" s="23" t="s">
        <v>1108</v>
      </c>
      <c r="C81" s="23" t="s">
        <v>1118</v>
      </c>
      <c r="D81" s="23">
        <v>8700000</v>
      </c>
      <c r="E81" s="360"/>
      <c r="F81" s="360"/>
      <c r="G81" s="360"/>
      <c r="H81" s="360"/>
      <c r="K81" s="12"/>
      <c r="L81" s="23" t="s">
        <v>1108</v>
      </c>
      <c r="M81" s="23" t="s">
        <v>1118</v>
      </c>
      <c r="N81" s="23">
        <v>8700000</v>
      </c>
      <c r="O81" s="360"/>
      <c r="P81" s="360"/>
      <c r="Q81" s="360"/>
      <c r="R81" s="360"/>
      <c r="U81" s="12"/>
      <c r="V81" s="23" t="s">
        <v>1108</v>
      </c>
      <c r="W81" s="23" t="s">
        <v>1118</v>
      </c>
      <c r="X81" s="23"/>
      <c r="Y81" s="360"/>
      <c r="Z81" s="360"/>
      <c r="AA81" s="360"/>
      <c r="AB81" s="360"/>
      <c r="AE81" s="12"/>
      <c r="AF81" s="23" t="s">
        <v>1108</v>
      </c>
      <c r="AG81" s="23" t="s">
        <v>1118</v>
      </c>
      <c r="AH81" s="23">
        <v>8700000</v>
      </c>
      <c r="AI81" s="360"/>
      <c r="AJ81" s="360"/>
      <c r="AK81" s="360"/>
      <c r="AL81" s="360"/>
    </row>
    <row r="82" spans="1:38">
      <c r="A82" s="12"/>
      <c r="B82" s="23" t="s">
        <v>1109</v>
      </c>
      <c r="C82" s="23" t="s">
        <v>1110</v>
      </c>
      <c r="D82" s="23">
        <v>4856500</v>
      </c>
      <c r="E82" s="360"/>
      <c r="F82" s="360"/>
      <c r="G82" s="360"/>
      <c r="H82" s="360"/>
      <c r="K82" s="12"/>
      <c r="L82" s="23" t="s">
        <v>1109</v>
      </c>
      <c r="M82" s="23" t="s">
        <v>1110</v>
      </c>
      <c r="N82" s="23">
        <v>4856500</v>
      </c>
      <c r="O82" s="360"/>
      <c r="P82" s="360"/>
      <c r="Q82" s="360"/>
      <c r="R82" s="360"/>
      <c r="U82" s="12"/>
      <c r="V82" s="23" t="s">
        <v>1109</v>
      </c>
      <c r="W82" s="23" t="s">
        <v>1110</v>
      </c>
      <c r="X82" s="23"/>
      <c r="Y82" s="360"/>
      <c r="Z82" s="360"/>
      <c r="AA82" s="360"/>
      <c r="AB82" s="360"/>
      <c r="AE82" s="12"/>
      <c r="AF82" s="23" t="s">
        <v>1109</v>
      </c>
      <c r="AG82" s="23" t="s">
        <v>1110</v>
      </c>
      <c r="AH82" s="23">
        <v>4856500</v>
      </c>
      <c r="AI82" s="360"/>
      <c r="AJ82" s="360"/>
      <c r="AK82" s="360"/>
      <c r="AL82" s="360"/>
    </row>
    <row r="83" spans="1:38">
      <c r="A83" s="12"/>
      <c r="B83" s="23" t="s">
        <v>1109</v>
      </c>
      <c r="C83" s="23" t="s">
        <v>1113</v>
      </c>
      <c r="D83" s="23">
        <v>274000</v>
      </c>
      <c r="E83" s="360"/>
      <c r="F83" s="360"/>
      <c r="G83" s="360"/>
      <c r="H83" s="360"/>
      <c r="K83" s="12"/>
      <c r="L83" s="23" t="s">
        <v>1109</v>
      </c>
      <c r="M83" s="23" t="s">
        <v>1113</v>
      </c>
      <c r="N83" s="23"/>
      <c r="O83" s="360"/>
      <c r="P83" s="360"/>
      <c r="Q83" s="360"/>
      <c r="R83" s="360"/>
      <c r="U83" s="12"/>
      <c r="V83" s="23" t="s">
        <v>1109</v>
      </c>
      <c r="W83" s="23" t="s">
        <v>1113</v>
      </c>
      <c r="X83" s="23"/>
      <c r="Y83" s="360"/>
      <c r="Z83" s="360"/>
      <c r="AA83" s="360"/>
      <c r="AB83" s="360"/>
      <c r="AE83" s="12"/>
      <c r="AF83" s="23" t="s">
        <v>1109</v>
      </c>
      <c r="AG83" s="23" t="s">
        <v>1113</v>
      </c>
      <c r="AH83" s="23"/>
      <c r="AI83" s="360"/>
      <c r="AJ83" s="360"/>
      <c r="AK83" s="360"/>
      <c r="AL83" s="360"/>
    </row>
    <row r="84" spans="1:38">
      <c r="A84" s="12"/>
      <c r="B84" s="23" t="s">
        <v>1109</v>
      </c>
      <c r="C84" s="23" t="s">
        <v>1141</v>
      </c>
      <c r="D84" s="23">
        <v>800000</v>
      </c>
      <c r="E84" s="360"/>
      <c r="F84" s="360"/>
      <c r="G84" s="360"/>
      <c r="H84" s="360"/>
      <c r="K84" s="12"/>
      <c r="L84" s="23" t="s">
        <v>1109</v>
      </c>
      <c r="M84" s="23" t="s">
        <v>1141</v>
      </c>
      <c r="N84" s="23">
        <v>800000</v>
      </c>
      <c r="O84" s="360"/>
      <c r="P84" s="360"/>
      <c r="Q84" s="360"/>
      <c r="R84" s="360"/>
      <c r="U84" s="12"/>
      <c r="V84" s="23" t="s">
        <v>1109</v>
      </c>
      <c r="W84" s="23" t="s">
        <v>1141</v>
      </c>
      <c r="X84" s="23"/>
      <c r="Y84" s="360"/>
      <c r="Z84" s="360"/>
      <c r="AA84" s="360"/>
      <c r="AB84" s="360"/>
      <c r="AE84" s="12"/>
      <c r="AF84" s="23" t="s">
        <v>1109</v>
      </c>
      <c r="AG84" s="23" t="s">
        <v>1141</v>
      </c>
      <c r="AH84" s="23">
        <v>800000</v>
      </c>
      <c r="AI84" s="360"/>
      <c r="AJ84" s="360"/>
      <c r="AK84" s="360"/>
      <c r="AL84" s="360"/>
    </row>
    <row r="85" spans="1:38">
      <c r="A85" s="12"/>
      <c r="B85" s="23" t="s">
        <v>1111</v>
      </c>
      <c r="C85" s="22" t="s">
        <v>1112</v>
      </c>
      <c r="D85" s="22">
        <v>1000000</v>
      </c>
      <c r="E85" s="360"/>
      <c r="F85" s="360"/>
      <c r="G85" s="360"/>
      <c r="H85" s="360"/>
      <c r="K85" s="12"/>
      <c r="L85" s="23" t="s">
        <v>1111</v>
      </c>
      <c r="M85" s="22" t="s">
        <v>1112</v>
      </c>
      <c r="N85" s="22">
        <v>1000000</v>
      </c>
      <c r="O85" s="360"/>
      <c r="P85" s="360"/>
      <c r="Q85" s="360"/>
      <c r="R85" s="360"/>
      <c r="U85" s="12"/>
      <c r="V85" s="23" t="s">
        <v>1111</v>
      </c>
      <c r="W85" s="22" t="s">
        <v>1112</v>
      </c>
      <c r="X85" s="22"/>
      <c r="Y85" s="360"/>
      <c r="Z85" s="360"/>
      <c r="AA85" s="360"/>
      <c r="AB85" s="360"/>
      <c r="AE85" s="12"/>
      <c r="AF85" s="23" t="s">
        <v>1111</v>
      </c>
      <c r="AG85" s="22" t="s">
        <v>1112</v>
      </c>
      <c r="AH85" s="22">
        <v>1000000</v>
      </c>
      <c r="AI85" s="360"/>
      <c r="AJ85" s="360"/>
      <c r="AK85" s="360"/>
      <c r="AL85" s="360"/>
    </row>
    <row r="86" spans="1:38">
      <c r="A86" s="12"/>
      <c r="B86" s="23" t="s">
        <v>1114</v>
      </c>
      <c r="C86" s="22" t="s">
        <v>1115</v>
      </c>
      <c r="D86" s="22">
        <v>5595000</v>
      </c>
      <c r="E86" s="360"/>
      <c r="F86" s="360"/>
      <c r="G86" s="360"/>
      <c r="H86" s="360"/>
      <c r="K86" s="12"/>
      <c r="L86" s="23" t="s">
        <v>1114</v>
      </c>
      <c r="M86" s="22" t="s">
        <v>1115</v>
      </c>
      <c r="N86" s="22">
        <v>5595000</v>
      </c>
      <c r="O86" s="360"/>
      <c r="P86" s="360"/>
      <c r="Q86" s="360"/>
      <c r="R86" s="360"/>
      <c r="U86" s="12"/>
      <c r="V86" s="23" t="s">
        <v>1114</v>
      </c>
      <c r="W86" s="22" t="s">
        <v>1115</v>
      </c>
      <c r="X86" s="22">
        <v>5595000</v>
      </c>
      <c r="Y86" s="360"/>
      <c r="Z86" s="360"/>
      <c r="AA86" s="360"/>
      <c r="AB86" s="360"/>
      <c r="AE86" s="12"/>
      <c r="AF86" s="23" t="s">
        <v>1114</v>
      </c>
      <c r="AG86" s="22" t="s">
        <v>1115</v>
      </c>
      <c r="AH86" s="22"/>
      <c r="AI86" s="360"/>
      <c r="AJ86" s="360"/>
      <c r="AK86" s="360"/>
      <c r="AL86" s="360"/>
    </row>
    <row r="87" spans="1:38">
      <c r="A87" s="12"/>
      <c r="B87" s="23" t="s">
        <v>1114</v>
      </c>
      <c r="C87" s="22" t="s">
        <v>1119</v>
      </c>
      <c r="D87" s="22">
        <v>50000000</v>
      </c>
      <c r="E87" s="360"/>
      <c r="F87" s="360"/>
      <c r="G87" s="360"/>
      <c r="H87" s="360"/>
      <c r="K87" s="12"/>
      <c r="L87" s="23" t="s">
        <v>1114</v>
      </c>
      <c r="M87" s="22" t="s">
        <v>1119</v>
      </c>
      <c r="N87" s="22">
        <v>30000000</v>
      </c>
      <c r="O87" s="360"/>
      <c r="P87" s="360"/>
      <c r="Q87" s="360"/>
      <c r="R87" s="360"/>
      <c r="U87" s="12"/>
      <c r="V87" s="23" t="s">
        <v>1114</v>
      </c>
      <c r="W87" s="22" t="s">
        <v>1119</v>
      </c>
      <c r="X87" s="22">
        <v>30000000</v>
      </c>
      <c r="Y87" s="360"/>
      <c r="Z87" s="360"/>
      <c r="AA87" s="360"/>
      <c r="AB87" s="360"/>
      <c r="AE87" s="12"/>
      <c r="AF87" s="23" t="s">
        <v>1114</v>
      </c>
      <c r="AG87" s="22" t="s">
        <v>1119</v>
      </c>
      <c r="AH87" s="22"/>
      <c r="AI87" s="360"/>
      <c r="AJ87" s="360"/>
      <c r="AK87" s="360"/>
      <c r="AL87" s="360"/>
    </row>
    <row r="88" spans="1:38">
      <c r="A88" s="12"/>
      <c r="B88" s="23" t="s">
        <v>1114</v>
      </c>
      <c r="C88" s="22" t="s">
        <v>1120</v>
      </c>
      <c r="D88" s="22">
        <v>1540000</v>
      </c>
      <c r="E88" s="360"/>
      <c r="F88" s="360"/>
      <c r="G88" s="360"/>
      <c r="H88" s="360"/>
      <c r="K88" s="12"/>
      <c r="L88" s="23" t="s">
        <v>1114</v>
      </c>
      <c r="M88" s="22" t="s">
        <v>1120</v>
      </c>
      <c r="N88" s="22">
        <v>1540000</v>
      </c>
      <c r="O88" s="360"/>
      <c r="P88" s="360"/>
      <c r="Q88" s="360"/>
      <c r="R88" s="360"/>
      <c r="U88" s="12"/>
      <c r="V88" s="23" t="s">
        <v>1114</v>
      </c>
      <c r="W88" s="22" t="s">
        <v>1120</v>
      </c>
      <c r="X88" s="22">
        <v>1540000</v>
      </c>
      <c r="Y88" s="360"/>
      <c r="Z88" s="360"/>
      <c r="AA88" s="360"/>
      <c r="AB88" s="360"/>
      <c r="AE88" s="12"/>
      <c r="AF88" s="23" t="s">
        <v>1114</v>
      </c>
      <c r="AG88" s="22" t="s">
        <v>1120</v>
      </c>
      <c r="AH88" s="22"/>
      <c r="AI88" s="360"/>
      <c r="AJ88" s="360"/>
      <c r="AK88" s="360"/>
      <c r="AL88" s="360"/>
    </row>
    <row r="89" spans="1:38">
      <c r="A89" s="12"/>
      <c r="B89" s="23" t="s">
        <v>1114</v>
      </c>
      <c r="C89" s="22" t="s">
        <v>1121</v>
      </c>
      <c r="D89" s="22">
        <v>300000</v>
      </c>
      <c r="E89" s="360"/>
      <c r="F89" s="360"/>
      <c r="G89" s="360"/>
      <c r="H89" s="360"/>
      <c r="K89" s="12"/>
      <c r="L89" s="23" t="s">
        <v>1114</v>
      </c>
      <c r="M89" s="22" t="s">
        <v>1121</v>
      </c>
      <c r="N89" s="22">
        <v>300000</v>
      </c>
      <c r="O89" s="360"/>
      <c r="P89" s="360"/>
      <c r="Q89" s="360"/>
      <c r="R89" s="360"/>
      <c r="U89" s="12"/>
      <c r="V89" s="23" t="s">
        <v>1114</v>
      </c>
      <c r="W89" s="22" t="s">
        <v>1121</v>
      </c>
      <c r="X89" s="22">
        <v>300000</v>
      </c>
      <c r="Y89" s="360"/>
      <c r="Z89" s="360"/>
      <c r="AA89" s="360"/>
      <c r="AB89" s="360"/>
      <c r="AE89" s="12"/>
      <c r="AF89" s="23" t="s">
        <v>1114</v>
      </c>
      <c r="AG89" s="22" t="s">
        <v>1121</v>
      </c>
      <c r="AH89" s="22"/>
      <c r="AI89" s="360"/>
      <c r="AJ89" s="360"/>
      <c r="AK89" s="360"/>
      <c r="AL89" s="360"/>
    </row>
    <row r="90" spans="1:38">
      <c r="A90" s="12"/>
      <c r="B90" s="23" t="s">
        <v>1114</v>
      </c>
      <c r="C90" s="22" t="s">
        <v>1122</v>
      </c>
      <c r="D90" s="22">
        <v>300000</v>
      </c>
      <c r="E90" s="360"/>
      <c r="F90" s="360"/>
      <c r="G90" s="360"/>
      <c r="H90" s="360"/>
      <c r="K90" s="12"/>
      <c r="L90" s="23" t="s">
        <v>1114</v>
      </c>
      <c r="M90" s="22" t="s">
        <v>1122</v>
      </c>
      <c r="N90" s="22"/>
      <c r="O90" s="360"/>
      <c r="P90" s="360"/>
      <c r="Q90" s="360"/>
      <c r="R90" s="360"/>
      <c r="U90" s="12"/>
      <c r="V90" s="23" t="s">
        <v>1114</v>
      </c>
      <c r="W90" s="22" t="s">
        <v>1122</v>
      </c>
      <c r="X90" s="22"/>
      <c r="Y90" s="360"/>
      <c r="Z90" s="360"/>
      <c r="AA90" s="360"/>
      <c r="AB90" s="360"/>
      <c r="AE90" s="12"/>
      <c r="AF90" s="23" t="s">
        <v>1114</v>
      </c>
      <c r="AG90" s="22" t="s">
        <v>1122</v>
      </c>
      <c r="AH90" s="22"/>
      <c r="AI90" s="360"/>
      <c r="AJ90" s="360"/>
      <c r="AK90" s="360"/>
      <c r="AL90" s="360"/>
    </row>
    <row r="91" spans="1:38">
      <c r="A91" s="12"/>
      <c r="B91" s="23" t="s">
        <v>1114</v>
      </c>
      <c r="C91" s="22" t="s">
        <v>1123</v>
      </c>
      <c r="D91" s="22">
        <v>3262000</v>
      </c>
      <c r="E91" s="360"/>
      <c r="F91" s="360"/>
      <c r="G91" s="360"/>
      <c r="H91" s="360"/>
      <c r="K91" s="12"/>
      <c r="L91" s="23" t="s">
        <v>1114</v>
      </c>
      <c r="M91" s="22" t="s">
        <v>1123</v>
      </c>
      <c r="N91" s="22">
        <v>3262000</v>
      </c>
      <c r="O91" s="360"/>
      <c r="P91" s="360"/>
      <c r="Q91" s="360"/>
      <c r="R91" s="360"/>
      <c r="U91" s="12"/>
      <c r="V91" s="23" t="s">
        <v>1114</v>
      </c>
      <c r="W91" s="22" t="s">
        <v>1123</v>
      </c>
      <c r="X91" s="22">
        <v>3262000</v>
      </c>
      <c r="Y91" s="360"/>
      <c r="Z91" s="360"/>
      <c r="AA91" s="360"/>
      <c r="AB91" s="360"/>
      <c r="AE91" s="12"/>
      <c r="AF91" s="23" t="s">
        <v>1114</v>
      </c>
      <c r="AG91" s="22" t="s">
        <v>1123</v>
      </c>
      <c r="AH91" s="22"/>
      <c r="AI91" s="360"/>
      <c r="AJ91" s="360"/>
      <c r="AK91" s="360"/>
      <c r="AL91" s="360"/>
    </row>
    <row r="92" spans="1:38">
      <c r="A92" s="12"/>
      <c r="B92" s="23" t="s">
        <v>1124</v>
      </c>
      <c r="C92" s="22" t="s">
        <v>1125</v>
      </c>
      <c r="D92" s="22">
        <v>24660000</v>
      </c>
      <c r="E92" s="360"/>
      <c r="F92" s="360"/>
      <c r="G92" s="360"/>
      <c r="H92" s="360"/>
      <c r="K92" s="12"/>
      <c r="L92" s="23" t="s">
        <v>1124</v>
      </c>
      <c r="M92" s="22" t="s">
        <v>1125</v>
      </c>
      <c r="N92" s="22">
        <v>24660000</v>
      </c>
      <c r="O92" s="360"/>
      <c r="P92" s="360"/>
      <c r="Q92" s="360"/>
      <c r="R92" s="360"/>
      <c r="U92" s="12"/>
      <c r="V92" s="23" t="s">
        <v>1124</v>
      </c>
      <c r="W92" s="22" t="s">
        <v>1125</v>
      </c>
      <c r="X92" s="22"/>
      <c r="Y92" s="360"/>
      <c r="Z92" s="360"/>
      <c r="AA92" s="360"/>
      <c r="AB92" s="360"/>
      <c r="AE92" s="12"/>
      <c r="AF92" s="23" t="s">
        <v>1124</v>
      </c>
      <c r="AG92" s="22" t="s">
        <v>1125</v>
      </c>
      <c r="AH92" s="22">
        <v>24660000</v>
      </c>
      <c r="AI92" s="360"/>
      <c r="AJ92" s="360"/>
      <c r="AK92" s="360"/>
      <c r="AL92" s="360"/>
    </row>
    <row r="93" spans="1:38">
      <c r="A93" s="12"/>
      <c r="B93" s="23" t="s">
        <v>1114</v>
      </c>
      <c r="C93" s="22" t="s">
        <v>1140</v>
      </c>
      <c r="D93" s="22">
        <v>1000000</v>
      </c>
      <c r="E93" s="360"/>
      <c r="F93" s="360"/>
      <c r="G93" s="360"/>
      <c r="H93" s="360"/>
      <c r="K93" s="12"/>
      <c r="L93" s="23" t="s">
        <v>1114</v>
      </c>
      <c r="M93" s="22" t="s">
        <v>1140</v>
      </c>
      <c r="N93" s="22">
        <v>1000000</v>
      </c>
      <c r="O93" s="360"/>
      <c r="P93" s="360"/>
      <c r="Q93" s="360"/>
      <c r="R93" s="360"/>
      <c r="U93" s="12"/>
      <c r="V93" s="23" t="s">
        <v>1114</v>
      </c>
      <c r="W93" s="22" t="s">
        <v>1140</v>
      </c>
      <c r="X93" s="22">
        <v>1000000</v>
      </c>
      <c r="Y93" s="360"/>
      <c r="Z93" s="360"/>
      <c r="AA93" s="360"/>
      <c r="AB93" s="360"/>
      <c r="AE93" s="12"/>
      <c r="AF93" s="23" t="s">
        <v>1114</v>
      </c>
      <c r="AG93" s="22" t="s">
        <v>1140</v>
      </c>
      <c r="AH93" s="22"/>
      <c r="AI93" s="360"/>
      <c r="AJ93" s="360"/>
      <c r="AK93" s="360"/>
      <c r="AL93" s="360"/>
    </row>
    <row r="94" spans="1:38">
      <c r="A94" s="12"/>
      <c r="B94" s="13"/>
      <c r="C94" s="26" t="s">
        <v>55</v>
      </c>
      <c r="D94" s="27">
        <f>SUM(D67:D93)</f>
        <v>157557000</v>
      </c>
      <c r="E94" s="27">
        <v>0</v>
      </c>
      <c r="F94" s="27">
        <v>0</v>
      </c>
      <c r="G94" s="27"/>
      <c r="H94" s="27"/>
      <c r="K94" s="12"/>
      <c r="L94" s="13"/>
      <c r="M94" s="26" t="s">
        <v>55</v>
      </c>
      <c r="N94" s="27">
        <f>SUM(N67:N93)</f>
        <v>101923000</v>
      </c>
      <c r="O94" s="27">
        <v>0</v>
      </c>
      <c r="P94" s="27">
        <v>0</v>
      </c>
      <c r="Q94" s="27"/>
      <c r="R94" s="27"/>
      <c r="U94" s="12"/>
      <c r="V94" s="13"/>
      <c r="W94" s="26" t="s">
        <v>55</v>
      </c>
      <c r="X94" s="27">
        <f>SUM(X67:X93)</f>
        <v>48933000</v>
      </c>
      <c r="Y94" s="27">
        <v>0</v>
      </c>
      <c r="Z94" s="27">
        <v>0</v>
      </c>
      <c r="AA94" s="27"/>
      <c r="AB94" s="27"/>
      <c r="AE94" s="12"/>
      <c r="AF94" s="13"/>
      <c r="AG94" s="26" t="s">
        <v>55</v>
      </c>
      <c r="AH94" s="27">
        <f>SUM(AH67:AH93)</f>
        <v>52990000</v>
      </c>
      <c r="AI94" s="27">
        <v>0</v>
      </c>
      <c r="AJ94" s="27">
        <v>0</v>
      </c>
      <c r="AK94" s="27"/>
      <c r="AL94" s="27"/>
    </row>
    <row r="95" spans="1:38">
      <c r="A95" s="20"/>
      <c r="B95" s="19"/>
      <c r="C95" s="360" t="s">
        <v>21</v>
      </c>
      <c r="D95" s="10"/>
      <c r="E95" s="530">
        <f>D94</f>
        <v>157557000</v>
      </c>
      <c r="F95" s="530"/>
      <c r="G95" s="530"/>
      <c r="H95" s="530"/>
      <c r="K95" s="20"/>
      <c r="L95" s="19"/>
      <c r="M95" s="360" t="s">
        <v>21</v>
      </c>
      <c r="N95" s="10"/>
      <c r="O95" s="530">
        <f>N94</f>
        <v>101923000</v>
      </c>
      <c r="P95" s="530"/>
      <c r="Q95" s="530"/>
      <c r="R95" s="530"/>
      <c r="U95" s="20"/>
      <c r="V95" s="19"/>
      <c r="W95" s="360" t="s">
        <v>21</v>
      </c>
      <c r="X95" s="10"/>
      <c r="Y95" s="530">
        <f>X94</f>
        <v>48933000</v>
      </c>
      <c r="Z95" s="530"/>
      <c r="AA95" s="530"/>
      <c r="AB95" s="530"/>
      <c r="AE95" s="20"/>
      <c r="AF95" s="19"/>
      <c r="AG95" s="360" t="s">
        <v>21</v>
      </c>
      <c r="AH95" s="10"/>
      <c r="AI95" s="530">
        <f>AH94</f>
        <v>52990000</v>
      </c>
      <c r="AJ95" s="530"/>
      <c r="AK95" s="530"/>
      <c r="AL95" s="530"/>
    </row>
    <row r="96" spans="1:38">
      <c r="A96" s="524" t="s">
        <v>1047</v>
      </c>
      <c r="B96" s="524"/>
      <c r="C96" s="524"/>
      <c r="D96" s="524"/>
      <c r="E96" s="524"/>
      <c r="F96" s="524"/>
      <c r="G96" s="524"/>
      <c r="H96" s="524"/>
      <c r="K96" s="524" t="s">
        <v>1047</v>
      </c>
      <c r="L96" s="524"/>
      <c r="M96" s="524"/>
      <c r="N96" s="524"/>
      <c r="O96" s="524"/>
      <c r="P96" s="524"/>
      <c r="Q96" s="524"/>
      <c r="R96" s="524"/>
      <c r="U96" s="524" t="s">
        <v>1047</v>
      </c>
      <c r="V96" s="524"/>
      <c r="W96" s="524"/>
      <c r="X96" s="524"/>
      <c r="Y96" s="524"/>
      <c r="Z96" s="524"/>
      <c r="AA96" s="524"/>
      <c r="AB96" s="524"/>
      <c r="AE96" s="524" t="s">
        <v>1047</v>
      </c>
      <c r="AF96" s="524"/>
      <c r="AG96" s="524"/>
      <c r="AH96" s="524"/>
      <c r="AI96" s="524"/>
      <c r="AJ96" s="524"/>
      <c r="AK96" s="524"/>
      <c r="AL96" s="524"/>
    </row>
    <row r="97" spans="1:38">
      <c r="A97" s="28"/>
      <c r="B97" s="19" t="s">
        <v>1048</v>
      </c>
      <c r="C97" s="23" t="s">
        <v>1050</v>
      </c>
      <c r="D97" s="23">
        <v>300000</v>
      </c>
      <c r="E97" s="28"/>
      <c r="F97" s="28"/>
      <c r="G97" s="28"/>
      <c r="H97" s="28"/>
      <c r="K97" s="28"/>
      <c r="L97" s="19" t="s">
        <v>1048</v>
      </c>
      <c r="M97" s="23" t="s">
        <v>1050</v>
      </c>
      <c r="N97" s="23">
        <v>300000</v>
      </c>
      <c r="O97" s="28"/>
      <c r="P97" s="28"/>
      <c r="Q97" s="28"/>
      <c r="R97" s="28"/>
      <c r="U97" s="28"/>
      <c r="V97" s="19" t="s">
        <v>1048</v>
      </c>
      <c r="W97" s="23" t="s">
        <v>1050</v>
      </c>
      <c r="X97" s="23"/>
      <c r="Y97" s="28"/>
      <c r="Z97" s="28"/>
      <c r="AA97" s="28"/>
      <c r="AB97" s="28"/>
      <c r="AE97" s="28"/>
      <c r="AF97" s="19" t="s">
        <v>1048</v>
      </c>
      <c r="AG97" s="23" t="s">
        <v>1050</v>
      </c>
      <c r="AH97" s="23">
        <v>300000</v>
      </c>
      <c r="AI97" s="28"/>
      <c r="AJ97" s="28"/>
      <c r="AK97" s="28"/>
      <c r="AL97" s="28"/>
    </row>
    <row r="98" spans="1:38">
      <c r="A98" s="28"/>
      <c r="B98" s="19" t="s">
        <v>1126</v>
      </c>
      <c r="C98" s="23" t="s">
        <v>1128</v>
      </c>
      <c r="D98" s="23">
        <v>2806000</v>
      </c>
      <c r="E98" s="28"/>
      <c r="F98" s="28"/>
      <c r="G98" s="28"/>
      <c r="H98" s="28"/>
      <c r="K98" s="28"/>
      <c r="L98" s="19" t="s">
        <v>1126</v>
      </c>
      <c r="M98" s="23" t="s">
        <v>1128</v>
      </c>
      <c r="N98" s="23">
        <v>2806000</v>
      </c>
      <c r="O98" s="28"/>
      <c r="P98" s="28"/>
      <c r="Q98" s="28"/>
      <c r="R98" s="28"/>
      <c r="U98" s="28"/>
      <c r="V98" s="19" t="s">
        <v>1126</v>
      </c>
      <c r="W98" s="23" t="s">
        <v>1128</v>
      </c>
      <c r="X98" s="23">
        <v>2806000</v>
      </c>
      <c r="Y98" s="28"/>
      <c r="Z98" s="28"/>
      <c r="AA98" s="28"/>
      <c r="AB98" s="28"/>
      <c r="AE98" s="28"/>
      <c r="AF98" s="19" t="s">
        <v>1126</v>
      </c>
      <c r="AG98" s="23" t="s">
        <v>1128</v>
      </c>
      <c r="AH98" s="23"/>
      <c r="AI98" s="28"/>
      <c r="AJ98" s="28"/>
      <c r="AK98" s="28"/>
      <c r="AL98" s="28"/>
    </row>
    <row r="99" spans="1:38">
      <c r="A99" s="12"/>
      <c r="B99" s="19" t="s">
        <v>1126</v>
      </c>
      <c r="C99" s="24" t="s">
        <v>1127</v>
      </c>
      <c r="D99" s="23">
        <v>150000</v>
      </c>
      <c r="E99" s="360"/>
      <c r="F99" s="360"/>
      <c r="G99" s="360"/>
      <c r="H99" s="360"/>
      <c r="K99" s="12"/>
      <c r="L99" s="19" t="s">
        <v>1126</v>
      </c>
      <c r="M99" s="24" t="s">
        <v>1127</v>
      </c>
      <c r="N99" s="23">
        <v>150000</v>
      </c>
      <c r="O99" s="360"/>
      <c r="P99" s="360"/>
      <c r="Q99" s="360"/>
      <c r="R99" s="360"/>
      <c r="U99" s="12"/>
      <c r="V99" s="19" t="s">
        <v>1126</v>
      </c>
      <c r="W99" s="24" t="s">
        <v>1127</v>
      </c>
      <c r="X99" s="23">
        <v>150000</v>
      </c>
      <c r="Y99" s="360"/>
      <c r="Z99" s="360"/>
      <c r="AA99" s="360"/>
      <c r="AB99" s="360"/>
      <c r="AE99" s="12"/>
      <c r="AF99" s="19" t="s">
        <v>1126</v>
      </c>
      <c r="AG99" s="24" t="s">
        <v>1127</v>
      </c>
      <c r="AH99" s="23"/>
      <c r="AI99" s="360"/>
      <c r="AJ99" s="360"/>
      <c r="AK99" s="360"/>
      <c r="AL99" s="360"/>
    </row>
    <row r="100" spans="1:38">
      <c r="A100" s="12"/>
      <c r="B100" s="13"/>
      <c r="C100" s="26" t="s">
        <v>848</v>
      </c>
      <c r="D100" s="27">
        <f>SUM(D97:D99)</f>
        <v>3256000</v>
      </c>
      <c r="E100" s="27">
        <v>0</v>
      </c>
      <c r="F100" s="27">
        <v>0</v>
      </c>
      <c r="G100" s="27"/>
      <c r="H100" s="27"/>
      <c r="K100" s="12"/>
      <c r="L100" s="13"/>
      <c r="M100" s="26" t="s">
        <v>848</v>
      </c>
      <c r="N100" s="27">
        <f>SUM(N97:N99)</f>
        <v>3256000</v>
      </c>
      <c r="O100" s="27">
        <v>0</v>
      </c>
      <c r="P100" s="27">
        <v>0</v>
      </c>
      <c r="Q100" s="27"/>
      <c r="R100" s="27"/>
      <c r="U100" s="12"/>
      <c r="V100" s="13"/>
      <c r="W100" s="26" t="s">
        <v>848</v>
      </c>
      <c r="X100" s="27">
        <f>SUM(X97:X99)</f>
        <v>2956000</v>
      </c>
      <c r="Y100" s="27">
        <v>0</v>
      </c>
      <c r="Z100" s="27">
        <v>0</v>
      </c>
      <c r="AA100" s="27"/>
      <c r="AB100" s="27"/>
      <c r="AE100" s="12"/>
      <c r="AF100" s="13"/>
      <c r="AG100" s="26" t="s">
        <v>848</v>
      </c>
      <c r="AH100" s="27">
        <f>SUM(AH97:AH99)</f>
        <v>300000</v>
      </c>
      <c r="AI100" s="27">
        <v>0</v>
      </c>
      <c r="AJ100" s="27">
        <v>0</v>
      </c>
      <c r="AK100" s="27"/>
      <c r="AL100" s="27"/>
    </row>
    <row r="101" spans="1:38">
      <c r="A101" s="20"/>
      <c r="B101" s="19"/>
      <c r="C101" s="360" t="s">
        <v>21</v>
      </c>
      <c r="D101" s="10"/>
      <c r="E101" s="530">
        <f>D100</f>
        <v>3256000</v>
      </c>
      <c r="F101" s="530"/>
      <c r="G101" s="530"/>
      <c r="H101" s="530"/>
      <c r="K101" s="20"/>
      <c r="L101" s="19"/>
      <c r="M101" s="360" t="s">
        <v>21</v>
      </c>
      <c r="N101" s="10"/>
      <c r="O101" s="530">
        <f>N100</f>
        <v>3256000</v>
      </c>
      <c r="P101" s="530"/>
      <c r="Q101" s="530"/>
      <c r="R101" s="530"/>
      <c r="U101" s="20"/>
      <c r="V101" s="19"/>
      <c r="W101" s="360" t="s">
        <v>21</v>
      </c>
      <c r="X101" s="10"/>
      <c r="Y101" s="530">
        <f>X100</f>
        <v>2956000</v>
      </c>
      <c r="Z101" s="530"/>
      <c r="AA101" s="530"/>
      <c r="AB101" s="530"/>
      <c r="AE101" s="20"/>
      <c r="AF101" s="19"/>
      <c r="AG101" s="360" t="s">
        <v>21</v>
      </c>
      <c r="AH101" s="10"/>
      <c r="AI101" s="530">
        <f>AH100</f>
        <v>300000</v>
      </c>
      <c r="AJ101" s="530"/>
      <c r="AK101" s="530"/>
      <c r="AL101" s="530"/>
    </row>
    <row r="102" spans="1:38">
      <c r="A102" s="527" t="s">
        <v>26</v>
      </c>
      <c r="B102" s="528"/>
      <c r="C102" s="528"/>
      <c r="D102" s="528"/>
      <c r="E102" s="528"/>
      <c r="F102" s="528"/>
      <c r="G102" s="528"/>
      <c r="H102" s="529"/>
      <c r="K102" s="527" t="s">
        <v>26</v>
      </c>
      <c r="L102" s="528"/>
      <c r="M102" s="528"/>
      <c r="N102" s="528"/>
      <c r="O102" s="528"/>
      <c r="P102" s="528"/>
      <c r="Q102" s="528"/>
      <c r="R102" s="529"/>
      <c r="U102" s="527" t="s">
        <v>26</v>
      </c>
      <c r="V102" s="528"/>
      <c r="W102" s="528"/>
      <c r="X102" s="528"/>
      <c r="Y102" s="528"/>
      <c r="Z102" s="528"/>
      <c r="AA102" s="528"/>
      <c r="AB102" s="529"/>
      <c r="AE102" s="527" t="s">
        <v>26</v>
      </c>
      <c r="AF102" s="528"/>
      <c r="AG102" s="528"/>
      <c r="AH102" s="528"/>
      <c r="AI102" s="528"/>
      <c r="AJ102" s="528"/>
      <c r="AK102" s="528"/>
      <c r="AL102" s="529"/>
    </row>
    <row r="103" spans="1:38">
      <c r="A103" s="12"/>
      <c r="B103" s="23" t="s">
        <v>1129</v>
      </c>
      <c r="C103" s="24" t="s">
        <v>1130</v>
      </c>
      <c r="D103" s="23">
        <v>37000</v>
      </c>
      <c r="E103" s="22"/>
      <c r="F103" s="22"/>
      <c r="G103" s="16"/>
      <c r="H103" s="16"/>
      <c r="K103" s="12"/>
      <c r="L103" s="23" t="s">
        <v>1129</v>
      </c>
      <c r="M103" s="24" t="s">
        <v>1130</v>
      </c>
      <c r="N103" s="23"/>
      <c r="O103" s="22"/>
      <c r="P103" s="22"/>
      <c r="Q103" s="16"/>
      <c r="R103" s="16"/>
      <c r="U103" s="12"/>
      <c r="V103" s="23" t="s">
        <v>1129</v>
      </c>
      <c r="W103" s="24" t="s">
        <v>1130</v>
      </c>
      <c r="X103" s="23"/>
      <c r="Y103" s="22"/>
      <c r="Z103" s="22"/>
      <c r="AA103" s="16"/>
      <c r="AB103" s="16"/>
      <c r="AE103" s="12"/>
      <c r="AF103" s="23" t="s">
        <v>1129</v>
      </c>
      <c r="AG103" s="24" t="s">
        <v>1130</v>
      </c>
      <c r="AH103" s="23"/>
      <c r="AI103" s="22"/>
      <c r="AJ103" s="22"/>
      <c r="AK103" s="16"/>
      <c r="AL103" s="16"/>
    </row>
    <row r="104" spans="1:38">
      <c r="A104" s="12"/>
      <c r="B104" s="23" t="s">
        <v>1131</v>
      </c>
      <c r="C104" s="24" t="s">
        <v>1132</v>
      </c>
      <c r="D104" s="23">
        <v>283000</v>
      </c>
      <c r="E104" s="23"/>
      <c r="F104" s="22"/>
      <c r="G104" s="16"/>
      <c r="H104" s="280"/>
      <c r="K104" s="12"/>
      <c r="L104" s="23" t="s">
        <v>1131</v>
      </c>
      <c r="M104" s="24" t="s">
        <v>1132</v>
      </c>
      <c r="N104" s="23"/>
      <c r="O104" s="23"/>
      <c r="P104" s="22"/>
      <c r="Q104" s="16"/>
      <c r="R104" s="280"/>
      <c r="U104" s="12"/>
      <c r="V104" s="23" t="s">
        <v>1131</v>
      </c>
      <c r="W104" s="24" t="s">
        <v>1132</v>
      </c>
      <c r="X104" s="23"/>
      <c r="Y104" s="23"/>
      <c r="Z104" s="22"/>
      <c r="AA104" s="16"/>
      <c r="AB104" s="280"/>
      <c r="AE104" s="12"/>
      <c r="AF104" s="23" t="s">
        <v>1131</v>
      </c>
      <c r="AG104" s="24" t="s">
        <v>1132</v>
      </c>
      <c r="AH104" s="23"/>
      <c r="AI104" s="23"/>
      <c r="AJ104" s="22"/>
      <c r="AK104" s="16"/>
      <c r="AL104" s="280"/>
    </row>
    <row r="105" spans="1:38" hidden="1">
      <c r="A105" s="12"/>
      <c r="B105" s="23"/>
      <c r="C105" s="24"/>
      <c r="D105" s="23"/>
      <c r="E105" s="22"/>
      <c r="F105" s="22"/>
      <c r="G105" s="16"/>
      <c r="H105" s="16"/>
      <c r="K105" s="12"/>
      <c r="L105" s="23"/>
      <c r="M105" s="24"/>
      <c r="N105" s="23"/>
      <c r="O105" s="22"/>
      <c r="P105" s="22"/>
      <c r="Q105" s="16"/>
      <c r="R105" s="16"/>
      <c r="U105" s="12"/>
      <c r="V105" s="23"/>
      <c r="W105" s="24"/>
      <c r="X105" s="23"/>
      <c r="Y105" s="22"/>
      <c r="Z105" s="22"/>
      <c r="AA105" s="16"/>
      <c r="AB105" s="16"/>
      <c r="AE105" s="12"/>
      <c r="AF105" s="23"/>
      <c r="AG105" s="24"/>
      <c r="AH105" s="23"/>
      <c r="AI105" s="22"/>
      <c r="AJ105" s="22"/>
      <c r="AK105" s="16"/>
      <c r="AL105" s="16"/>
    </row>
    <row r="106" spans="1:38" hidden="1">
      <c r="A106" s="12"/>
      <c r="B106" s="23"/>
      <c r="C106" s="24"/>
      <c r="D106" s="23"/>
      <c r="E106" s="22"/>
      <c r="F106" s="22"/>
      <c r="G106" s="16"/>
      <c r="H106" s="16"/>
      <c r="K106" s="12"/>
      <c r="L106" s="23"/>
      <c r="M106" s="24"/>
      <c r="N106" s="23"/>
      <c r="O106" s="22"/>
      <c r="P106" s="22"/>
      <c r="Q106" s="16"/>
      <c r="R106" s="16"/>
      <c r="U106" s="12"/>
      <c r="V106" s="23"/>
      <c r="W106" s="24"/>
      <c r="X106" s="23"/>
      <c r="Y106" s="22"/>
      <c r="Z106" s="22"/>
      <c r="AA106" s="16"/>
      <c r="AB106" s="16"/>
      <c r="AE106" s="12"/>
      <c r="AF106" s="23"/>
      <c r="AG106" s="24"/>
      <c r="AH106" s="23"/>
      <c r="AI106" s="22"/>
      <c r="AJ106" s="22"/>
      <c r="AK106" s="16"/>
      <c r="AL106" s="16"/>
    </row>
    <row r="107" spans="1:38" hidden="1">
      <c r="A107" s="12"/>
      <c r="B107" s="19"/>
      <c r="C107" s="24"/>
      <c r="D107" s="23"/>
      <c r="E107" s="22"/>
      <c r="F107" s="22"/>
      <c r="G107" s="16"/>
      <c r="H107" s="16"/>
      <c r="K107" s="12"/>
      <c r="L107" s="19"/>
      <c r="M107" s="24"/>
      <c r="N107" s="23"/>
      <c r="O107" s="22"/>
      <c r="P107" s="22"/>
      <c r="Q107" s="16"/>
      <c r="R107" s="16"/>
      <c r="U107" s="12"/>
      <c r="V107" s="19"/>
      <c r="W107" s="24"/>
      <c r="X107" s="23"/>
      <c r="Y107" s="22"/>
      <c r="Z107" s="22"/>
      <c r="AA107" s="16"/>
      <c r="AB107" s="16"/>
      <c r="AE107" s="12"/>
      <c r="AF107" s="19"/>
      <c r="AG107" s="24"/>
      <c r="AH107" s="23"/>
      <c r="AI107" s="22"/>
      <c r="AJ107" s="22"/>
      <c r="AK107" s="16"/>
      <c r="AL107" s="16"/>
    </row>
    <row r="108" spans="1:38" hidden="1">
      <c r="A108" s="12"/>
      <c r="B108" s="19"/>
      <c r="C108" s="24"/>
      <c r="D108" s="23"/>
      <c r="E108" s="22"/>
      <c r="F108" s="22"/>
      <c r="G108" s="16"/>
      <c r="H108" s="16"/>
      <c r="K108" s="12"/>
      <c r="L108" s="19"/>
      <c r="M108" s="24"/>
      <c r="N108" s="23"/>
      <c r="O108" s="22"/>
      <c r="P108" s="22"/>
      <c r="Q108" s="16"/>
      <c r="R108" s="16"/>
      <c r="U108" s="12"/>
      <c r="V108" s="19"/>
      <c r="W108" s="24"/>
      <c r="X108" s="23"/>
      <c r="Y108" s="22"/>
      <c r="Z108" s="22"/>
      <c r="AA108" s="16"/>
      <c r="AB108" s="16"/>
      <c r="AE108" s="12"/>
      <c r="AF108" s="19"/>
      <c r="AG108" s="24"/>
      <c r="AH108" s="23"/>
      <c r="AI108" s="22"/>
      <c r="AJ108" s="22"/>
      <c r="AK108" s="16"/>
      <c r="AL108" s="16"/>
    </row>
    <row r="109" spans="1:38" hidden="1">
      <c r="A109" s="12"/>
      <c r="B109" s="23"/>
      <c r="C109" s="24"/>
      <c r="D109" s="23"/>
      <c r="E109" s="22"/>
      <c r="F109" s="22"/>
      <c r="G109" s="16"/>
      <c r="H109" s="16"/>
      <c r="K109" s="12"/>
      <c r="L109" s="23"/>
      <c r="M109" s="24"/>
      <c r="N109" s="23"/>
      <c r="O109" s="22"/>
      <c r="P109" s="22"/>
      <c r="Q109" s="16"/>
      <c r="R109" s="16"/>
      <c r="U109" s="12"/>
      <c r="V109" s="23"/>
      <c r="W109" s="24"/>
      <c r="X109" s="23"/>
      <c r="Y109" s="22"/>
      <c r="Z109" s="22"/>
      <c r="AA109" s="16"/>
      <c r="AB109" s="16"/>
      <c r="AE109" s="12"/>
      <c r="AF109" s="23"/>
      <c r="AG109" s="24"/>
      <c r="AH109" s="23"/>
      <c r="AI109" s="22"/>
      <c r="AJ109" s="22"/>
      <c r="AK109" s="16"/>
      <c r="AL109" s="16"/>
    </row>
    <row r="110" spans="1:38" hidden="1">
      <c r="A110" s="12"/>
      <c r="B110" s="19"/>
      <c r="C110" s="24"/>
      <c r="D110" s="23"/>
      <c r="E110" s="22"/>
      <c r="F110" s="22"/>
      <c r="G110" s="16"/>
      <c r="H110" s="16"/>
      <c r="K110" s="12"/>
      <c r="L110" s="19"/>
      <c r="M110" s="24"/>
      <c r="N110" s="23"/>
      <c r="O110" s="22"/>
      <c r="P110" s="22"/>
      <c r="Q110" s="16"/>
      <c r="R110" s="16"/>
      <c r="U110" s="12"/>
      <c r="V110" s="19"/>
      <c r="W110" s="24"/>
      <c r="X110" s="23"/>
      <c r="Y110" s="22"/>
      <c r="Z110" s="22"/>
      <c r="AA110" s="16"/>
      <c r="AB110" s="16"/>
      <c r="AE110" s="12"/>
      <c r="AF110" s="19"/>
      <c r="AG110" s="24"/>
      <c r="AH110" s="23"/>
      <c r="AI110" s="22"/>
      <c r="AJ110" s="22"/>
      <c r="AK110" s="16"/>
      <c r="AL110" s="16"/>
    </row>
    <row r="111" spans="1:38" hidden="1">
      <c r="A111" s="12"/>
      <c r="B111" s="19"/>
      <c r="C111" s="24"/>
      <c r="D111" s="23"/>
      <c r="E111" s="22"/>
      <c r="F111" s="22"/>
      <c r="G111" s="16"/>
      <c r="H111" s="16"/>
      <c r="K111" s="12"/>
      <c r="L111" s="19"/>
      <c r="M111" s="24"/>
      <c r="N111" s="23"/>
      <c r="O111" s="22"/>
      <c r="P111" s="22"/>
      <c r="Q111" s="16"/>
      <c r="R111" s="16"/>
      <c r="U111" s="12"/>
      <c r="V111" s="19"/>
      <c r="W111" s="24"/>
      <c r="X111" s="23"/>
      <c r="Y111" s="22"/>
      <c r="Z111" s="22"/>
      <c r="AA111" s="16"/>
      <c r="AB111" s="16"/>
      <c r="AE111" s="12"/>
      <c r="AF111" s="19"/>
      <c r="AG111" s="24"/>
      <c r="AH111" s="23"/>
      <c r="AI111" s="22"/>
      <c r="AJ111" s="22"/>
      <c r="AK111" s="16"/>
      <c r="AL111" s="16"/>
    </row>
    <row r="112" spans="1:38" hidden="1">
      <c r="A112" s="12"/>
      <c r="B112" s="19"/>
      <c r="C112" s="24"/>
      <c r="D112" s="23"/>
      <c r="E112" s="22"/>
      <c r="F112" s="22"/>
      <c r="G112" s="16"/>
      <c r="H112" s="16"/>
      <c r="K112" s="12"/>
      <c r="L112" s="19"/>
      <c r="M112" s="24"/>
      <c r="N112" s="23"/>
      <c r="O112" s="22"/>
      <c r="P112" s="22"/>
      <c r="Q112" s="16"/>
      <c r="R112" s="16"/>
      <c r="U112" s="12"/>
      <c r="V112" s="19"/>
      <c r="W112" s="24"/>
      <c r="X112" s="23"/>
      <c r="Y112" s="22"/>
      <c r="Z112" s="22"/>
      <c r="AA112" s="16"/>
      <c r="AB112" s="16"/>
      <c r="AE112" s="12"/>
      <c r="AF112" s="19"/>
      <c r="AG112" s="24"/>
      <c r="AH112" s="23"/>
      <c r="AI112" s="22"/>
      <c r="AJ112" s="22"/>
      <c r="AK112" s="16"/>
      <c r="AL112" s="16"/>
    </row>
    <row r="113" spans="1:38" hidden="1">
      <c r="A113" s="12"/>
      <c r="B113" s="19"/>
      <c r="C113" s="24"/>
      <c r="D113" s="23"/>
      <c r="E113" s="22"/>
      <c r="F113" s="22"/>
      <c r="G113" s="16"/>
      <c r="H113" s="16"/>
      <c r="K113" s="12"/>
      <c r="L113" s="19"/>
      <c r="M113" s="24"/>
      <c r="N113" s="23"/>
      <c r="O113" s="22"/>
      <c r="P113" s="22"/>
      <c r="Q113" s="16"/>
      <c r="R113" s="16"/>
      <c r="U113" s="12"/>
      <c r="V113" s="19"/>
      <c r="W113" s="24"/>
      <c r="X113" s="23"/>
      <c r="Y113" s="22"/>
      <c r="Z113" s="22"/>
      <c r="AA113" s="16"/>
      <c r="AB113" s="16"/>
      <c r="AE113" s="12"/>
      <c r="AF113" s="19"/>
      <c r="AG113" s="24"/>
      <c r="AH113" s="23"/>
      <c r="AI113" s="22"/>
      <c r="AJ113" s="22"/>
      <c r="AK113" s="16"/>
      <c r="AL113" s="16"/>
    </row>
    <row r="114" spans="1:38" hidden="1">
      <c r="A114" s="12"/>
      <c r="B114" s="19"/>
      <c r="C114" s="24"/>
      <c r="D114" s="23"/>
      <c r="E114" s="22"/>
      <c r="F114" s="22"/>
      <c r="G114" s="16"/>
      <c r="H114" s="16"/>
      <c r="K114" s="12"/>
      <c r="L114" s="19"/>
      <c r="M114" s="24"/>
      <c r="N114" s="23"/>
      <c r="O114" s="22"/>
      <c r="P114" s="22"/>
      <c r="Q114" s="16"/>
      <c r="R114" s="16"/>
      <c r="U114" s="12"/>
      <c r="V114" s="19"/>
      <c r="W114" s="24"/>
      <c r="X114" s="23"/>
      <c r="Y114" s="22"/>
      <c r="Z114" s="22"/>
      <c r="AA114" s="16"/>
      <c r="AB114" s="16"/>
      <c r="AE114" s="12"/>
      <c r="AF114" s="19"/>
      <c r="AG114" s="24"/>
      <c r="AH114" s="23"/>
      <c r="AI114" s="22"/>
      <c r="AJ114" s="22"/>
      <c r="AK114" s="16"/>
      <c r="AL114" s="16"/>
    </row>
    <row r="115" spans="1:38" hidden="1">
      <c r="A115" s="12"/>
      <c r="B115" s="19"/>
      <c r="C115" s="24"/>
      <c r="D115" s="23"/>
      <c r="E115" s="22"/>
      <c r="F115" s="22"/>
      <c r="G115" s="16"/>
      <c r="H115" s="16"/>
      <c r="K115" s="12"/>
      <c r="L115" s="19"/>
      <c r="M115" s="24"/>
      <c r="N115" s="23"/>
      <c r="O115" s="22"/>
      <c r="P115" s="22"/>
      <c r="Q115" s="16"/>
      <c r="R115" s="16"/>
      <c r="U115" s="12"/>
      <c r="V115" s="19"/>
      <c r="W115" s="24"/>
      <c r="X115" s="23"/>
      <c r="Y115" s="22"/>
      <c r="Z115" s="22"/>
      <c r="AA115" s="16"/>
      <c r="AB115" s="16"/>
      <c r="AE115" s="12"/>
      <c r="AF115" s="19"/>
      <c r="AG115" s="24"/>
      <c r="AH115" s="23"/>
      <c r="AI115" s="22"/>
      <c r="AJ115" s="22"/>
      <c r="AK115" s="16"/>
      <c r="AL115" s="16"/>
    </row>
    <row r="116" spans="1:38" hidden="1">
      <c r="A116" s="12"/>
      <c r="B116" s="19"/>
      <c r="C116" s="23"/>
      <c r="D116" s="23"/>
      <c r="E116" s="22"/>
      <c r="F116" s="22"/>
      <c r="G116" s="16"/>
      <c r="H116" s="16"/>
      <c r="K116" s="12"/>
      <c r="L116" s="19"/>
      <c r="M116" s="23"/>
      <c r="N116" s="23"/>
      <c r="O116" s="22"/>
      <c r="P116" s="22"/>
      <c r="Q116" s="16"/>
      <c r="R116" s="16"/>
      <c r="U116" s="12"/>
      <c r="V116" s="19"/>
      <c r="W116" s="23"/>
      <c r="X116" s="23"/>
      <c r="Y116" s="22"/>
      <c r="Z116" s="22"/>
      <c r="AA116" s="16"/>
      <c r="AB116" s="16"/>
      <c r="AE116" s="12"/>
      <c r="AF116" s="19"/>
      <c r="AG116" s="23"/>
      <c r="AH116" s="23"/>
      <c r="AI116" s="22"/>
      <c r="AJ116" s="22"/>
      <c r="AK116" s="16"/>
      <c r="AL116" s="16"/>
    </row>
    <row r="117" spans="1:38">
      <c r="A117" s="25"/>
      <c r="B117" s="19"/>
      <c r="C117" s="26" t="s">
        <v>31</v>
      </c>
      <c r="D117" s="27">
        <f>SUM(D103:D116)</f>
        <v>320000</v>
      </c>
      <c r="E117" s="27"/>
      <c r="F117" s="27"/>
      <c r="G117" s="27"/>
      <c r="H117" s="27"/>
      <c r="K117" s="25"/>
      <c r="L117" s="19"/>
      <c r="M117" s="26" t="s">
        <v>31</v>
      </c>
      <c r="N117" s="27">
        <f>SUM(N103:N116)</f>
        <v>0</v>
      </c>
      <c r="O117" s="27"/>
      <c r="P117" s="27"/>
      <c r="Q117" s="27"/>
      <c r="R117" s="27"/>
      <c r="U117" s="25"/>
      <c r="V117" s="19"/>
      <c r="W117" s="26" t="s">
        <v>31</v>
      </c>
      <c r="X117" s="27">
        <f>SUM(X103:X116)</f>
        <v>0</v>
      </c>
      <c r="Y117" s="27"/>
      <c r="Z117" s="27"/>
      <c r="AA117" s="27"/>
      <c r="AB117" s="27"/>
      <c r="AE117" s="25"/>
      <c r="AF117" s="19"/>
      <c r="AG117" s="26" t="s">
        <v>31</v>
      </c>
      <c r="AH117" s="27">
        <f>SUM(AH103:AH116)</f>
        <v>0</v>
      </c>
      <c r="AI117" s="27"/>
      <c r="AJ117" s="27"/>
      <c r="AK117" s="27"/>
      <c r="AL117" s="27"/>
    </row>
    <row r="118" spans="1:38">
      <c r="A118" s="20"/>
      <c r="B118" s="19"/>
      <c r="C118" s="360" t="s">
        <v>21</v>
      </c>
      <c r="D118" s="10"/>
      <c r="E118" s="530">
        <f>+D117</f>
        <v>320000</v>
      </c>
      <c r="F118" s="530"/>
      <c r="G118" s="530"/>
      <c r="H118" s="530"/>
      <c r="K118" s="20"/>
      <c r="L118" s="19"/>
      <c r="M118" s="360" t="s">
        <v>21</v>
      </c>
      <c r="N118" s="10"/>
      <c r="O118" s="530">
        <f>+N117</f>
        <v>0</v>
      </c>
      <c r="P118" s="530"/>
      <c r="Q118" s="530"/>
      <c r="R118" s="530"/>
      <c r="U118" s="20"/>
      <c r="V118" s="19"/>
      <c r="W118" s="360" t="s">
        <v>21</v>
      </c>
      <c r="X118" s="10"/>
      <c r="Y118" s="530">
        <f>+X117</f>
        <v>0</v>
      </c>
      <c r="Z118" s="530"/>
      <c r="AA118" s="530"/>
      <c r="AB118" s="530"/>
      <c r="AE118" s="20"/>
      <c r="AF118" s="19"/>
      <c r="AG118" s="360" t="s">
        <v>21</v>
      </c>
      <c r="AH118" s="10"/>
      <c r="AI118" s="530">
        <f>+AH117</f>
        <v>0</v>
      </c>
      <c r="AJ118" s="530"/>
      <c r="AK118" s="530"/>
      <c r="AL118" s="530"/>
    </row>
    <row r="119" spans="1:38">
      <c r="A119" s="527" t="s">
        <v>32</v>
      </c>
      <c r="B119" s="528"/>
      <c r="C119" s="528"/>
      <c r="D119" s="528"/>
      <c r="E119" s="528"/>
      <c r="F119" s="528"/>
      <c r="G119" s="528"/>
      <c r="H119" s="529"/>
      <c r="K119" s="527" t="s">
        <v>32</v>
      </c>
      <c r="L119" s="528"/>
      <c r="M119" s="528"/>
      <c r="N119" s="528"/>
      <c r="O119" s="528"/>
      <c r="P119" s="528"/>
      <c r="Q119" s="528"/>
      <c r="R119" s="529"/>
      <c r="U119" s="527" t="s">
        <v>32</v>
      </c>
      <c r="V119" s="528"/>
      <c r="W119" s="528"/>
      <c r="X119" s="528"/>
      <c r="Y119" s="528"/>
      <c r="Z119" s="528"/>
      <c r="AA119" s="528"/>
      <c r="AB119" s="529"/>
      <c r="AE119" s="527" t="s">
        <v>32</v>
      </c>
      <c r="AF119" s="528"/>
      <c r="AG119" s="528"/>
      <c r="AH119" s="528"/>
      <c r="AI119" s="528"/>
      <c r="AJ119" s="528"/>
      <c r="AK119" s="528"/>
      <c r="AL119" s="529"/>
    </row>
    <row r="120" spans="1:38">
      <c r="A120" s="12"/>
      <c r="B120" s="13"/>
      <c r="C120" s="22"/>
      <c r="D120" s="22"/>
      <c r="E120" s="360"/>
      <c r="F120" s="360"/>
      <c r="G120" s="360"/>
      <c r="H120" s="360"/>
      <c r="K120" s="12"/>
      <c r="L120" s="13"/>
      <c r="M120" s="22"/>
      <c r="N120" s="22"/>
      <c r="O120" s="360"/>
      <c r="P120" s="360"/>
      <c r="Q120" s="360"/>
      <c r="R120" s="360"/>
      <c r="U120" s="12"/>
      <c r="V120" s="13"/>
      <c r="W120" s="22"/>
      <c r="X120" s="22"/>
      <c r="Y120" s="360"/>
      <c r="Z120" s="360"/>
      <c r="AA120" s="360"/>
      <c r="AB120" s="360"/>
      <c r="AE120" s="12"/>
      <c r="AF120" s="13"/>
      <c r="AG120" s="22"/>
      <c r="AH120" s="22"/>
      <c r="AI120" s="360"/>
      <c r="AJ120" s="360"/>
      <c r="AK120" s="360"/>
      <c r="AL120" s="360"/>
    </row>
    <row r="121" spans="1:38">
      <c r="A121" s="12"/>
      <c r="B121" s="22"/>
      <c r="C121" s="22"/>
      <c r="D121" s="22"/>
      <c r="E121" s="360"/>
      <c r="F121" s="360"/>
      <c r="G121" s="360"/>
      <c r="H121" s="360"/>
      <c r="K121" s="12"/>
      <c r="L121" s="22"/>
      <c r="M121" s="22"/>
      <c r="N121" s="22"/>
      <c r="O121" s="360"/>
      <c r="P121" s="360"/>
      <c r="Q121" s="360"/>
      <c r="R121" s="360"/>
      <c r="U121" s="12"/>
      <c r="V121" s="22"/>
      <c r="W121" s="22"/>
      <c r="X121" s="22"/>
      <c r="Y121" s="360"/>
      <c r="Z121" s="360"/>
      <c r="AA121" s="360"/>
      <c r="AB121" s="360"/>
      <c r="AE121" s="12"/>
      <c r="AF121" s="22"/>
      <c r="AG121" s="22"/>
      <c r="AH121" s="22"/>
      <c r="AI121" s="360"/>
      <c r="AJ121" s="360"/>
      <c r="AK121" s="360"/>
      <c r="AL121" s="360"/>
    </row>
    <row r="122" spans="1:38">
      <c r="A122" s="12"/>
      <c r="B122" s="13"/>
      <c r="C122" s="22"/>
      <c r="D122" s="22"/>
      <c r="E122" s="360"/>
      <c r="F122" s="360"/>
      <c r="G122" s="360"/>
      <c r="H122" s="360"/>
      <c r="K122" s="12"/>
      <c r="L122" s="13"/>
      <c r="M122" s="22"/>
      <c r="N122" s="22"/>
      <c r="O122" s="360"/>
      <c r="P122" s="360"/>
      <c r="Q122" s="360"/>
      <c r="R122" s="360"/>
      <c r="U122" s="12"/>
      <c r="V122" s="13"/>
      <c r="W122" s="22"/>
      <c r="X122" s="22"/>
      <c r="Y122" s="360"/>
      <c r="Z122" s="360"/>
      <c r="AA122" s="360"/>
      <c r="AB122" s="360"/>
      <c r="AE122" s="12"/>
      <c r="AF122" s="13"/>
      <c r="AG122" s="22"/>
      <c r="AH122" s="22"/>
      <c r="AI122" s="360"/>
      <c r="AJ122" s="360"/>
      <c r="AK122" s="360"/>
      <c r="AL122" s="360"/>
    </row>
    <row r="123" spans="1:38">
      <c r="A123" s="12"/>
      <c r="B123" s="13"/>
      <c r="C123" s="22"/>
      <c r="D123" s="29"/>
      <c r="E123" s="360"/>
      <c r="F123" s="360"/>
      <c r="G123" s="360"/>
      <c r="H123" s="360"/>
      <c r="K123" s="12"/>
      <c r="L123" s="13"/>
      <c r="M123" s="22"/>
      <c r="N123" s="29"/>
      <c r="O123" s="360"/>
      <c r="P123" s="360"/>
      <c r="Q123" s="360"/>
      <c r="R123" s="360"/>
      <c r="U123" s="12"/>
      <c r="V123" s="13"/>
      <c r="W123" s="22"/>
      <c r="X123" s="29"/>
      <c r="Y123" s="360"/>
      <c r="Z123" s="360"/>
      <c r="AA123" s="360"/>
      <c r="AB123" s="360"/>
      <c r="AE123" s="12"/>
      <c r="AF123" s="13"/>
      <c r="AG123" s="22"/>
      <c r="AH123" s="29"/>
      <c r="AI123" s="360"/>
      <c r="AJ123" s="360"/>
      <c r="AK123" s="360"/>
      <c r="AL123" s="360"/>
    </row>
    <row r="124" spans="1:38" hidden="1">
      <c r="A124" s="12"/>
      <c r="B124" s="13"/>
      <c r="C124" s="22"/>
      <c r="D124" s="29"/>
      <c r="E124" s="360"/>
      <c r="F124" s="360"/>
      <c r="G124" s="360"/>
      <c r="H124" s="360"/>
      <c r="K124" s="12"/>
      <c r="L124" s="13"/>
      <c r="M124" s="22"/>
      <c r="N124" s="29"/>
      <c r="O124" s="360"/>
      <c r="P124" s="360"/>
      <c r="Q124" s="360"/>
      <c r="R124" s="360"/>
      <c r="U124" s="12"/>
      <c r="V124" s="13"/>
      <c r="W124" s="22"/>
      <c r="X124" s="29"/>
      <c r="Y124" s="360"/>
      <c r="Z124" s="360"/>
      <c r="AA124" s="360"/>
      <c r="AB124" s="360"/>
      <c r="AE124" s="12"/>
      <c r="AF124" s="13"/>
      <c r="AG124" s="22"/>
      <c r="AH124" s="29"/>
      <c r="AI124" s="360"/>
      <c r="AJ124" s="360"/>
      <c r="AK124" s="360"/>
      <c r="AL124" s="360"/>
    </row>
    <row r="125" spans="1:38" hidden="1">
      <c r="A125" s="12"/>
      <c r="B125" s="13"/>
      <c r="C125" s="22"/>
      <c r="D125" s="29"/>
      <c r="E125" s="360"/>
      <c r="F125" s="360"/>
      <c r="G125" s="360"/>
      <c r="H125" s="360"/>
      <c r="K125" s="12"/>
      <c r="L125" s="13"/>
      <c r="M125" s="22"/>
      <c r="N125" s="29"/>
      <c r="O125" s="360"/>
      <c r="P125" s="360"/>
      <c r="Q125" s="360"/>
      <c r="R125" s="360"/>
      <c r="U125" s="12"/>
      <c r="V125" s="13"/>
      <c r="W125" s="22"/>
      <c r="X125" s="29"/>
      <c r="Y125" s="360"/>
      <c r="Z125" s="360"/>
      <c r="AA125" s="360"/>
      <c r="AB125" s="360"/>
      <c r="AE125" s="12"/>
      <c r="AF125" s="13"/>
      <c r="AG125" s="22"/>
      <c r="AH125" s="29"/>
      <c r="AI125" s="360"/>
      <c r="AJ125" s="360"/>
      <c r="AK125" s="360"/>
      <c r="AL125" s="360"/>
    </row>
    <row r="126" spans="1:38" hidden="1">
      <c r="A126" s="12"/>
      <c r="B126" s="13"/>
      <c r="C126" s="22"/>
      <c r="D126" s="29"/>
      <c r="E126" s="360"/>
      <c r="F126" s="360"/>
      <c r="G126" s="360"/>
      <c r="H126" s="360"/>
      <c r="K126" s="12"/>
      <c r="L126" s="13"/>
      <c r="M126" s="22"/>
      <c r="N126" s="29"/>
      <c r="O126" s="360"/>
      <c r="P126" s="360"/>
      <c r="Q126" s="360"/>
      <c r="R126" s="360"/>
      <c r="U126" s="12"/>
      <c r="V126" s="13"/>
      <c r="W126" s="22"/>
      <c r="X126" s="29"/>
      <c r="Y126" s="360"/>
      <c r="Z126" s="360"/>
      <c r="AA126" s="360"/>
      <c r="AB126" s="360"/>
      <c r="AE126" s="12"/>
      <c r="AF126" s="13"/>
      <c r="AG126" s="22"/>
      <c r="AH126" s="29"/>
      <c r="AI126" s="360"/>
      <c r="AJ126" s="360"/>
      <c r="AK126" s="360"/>
      <c r="AL126" s="360"/>
    </row>
    <row r="127" spans="1:38">
      <c r="A127" s="12"/>
      <c r="B127" s="13"/>
      <c r="C127" s="22"/>
      <c r="D127" s="29"/>
      <c r="E127" s="360"/>
      <c r="F127" s="360"/>
      <c r="G127" s="360"/>
      <c r="H127" s="360"/>
      <c r="K127" s="12"/>
      <c r="L127" s="13"/>
      <c r="M127" s="22"/>
      <c r="N127" s="29"/>
      <c r="O127" s="360"/>
      <c r="P127" s="360"/>
      <c r="Q127" s="360"/>
      <c r="R127" s="360"/>
      <c r="U127" s="12"/>
      <c r="V127" s="13"/>
      <c r="W127" s="22"/>
      <c r="X127" s="29"/>
      <c r="Y127" s="360"/>
      <c r="Z127" s="360"/>
      <c r="AA127" s="360"/>
      <c r="AB127" s="360"/>
      <c r="AE127" s="12"/>
      <c r="AF127" s="13"/>
      <c r="AG127" s="22"/>
      <c r="AH127" s="29"/>
      <c r="AI127" s="360"/>
      <c r="AJ127" s="360"/>
      <c r="AK127" s="360"/>
      <c r="AL127" s="360"/>
    </row>
    <row r="128" spans="1:38">
      <c r="A128" s="12"/>
      <c r="B128" s="13"/>
      <c r="C128" s="22"/>
      <c r="D128" s="29"/>
      <c r="E128" s="360"/>
      <c r="F128" s="360"/>
      <c r="G128" s="360"/>
      <c r="H128" s="360"/>
      <c r="K128" s="12"/>
      <c r="L128" s="13"/>
      <c r="M128" s="22"/>
      <c r="N128" s="29"/>
      <c r="O128" s="360"/>
      <c r="P128" s="360"/>
      <c r="Q128" s="360"/>
      <c r="R128" s="360"/>
      <c r="U128" s="12"/>
      <c r="V128" s="13"/>
      <c r="W128" s="22"/>
      <c r="X128" s="29"/>
      <c r="Y128" s="360"/>
      <c r="Z128" s="360"/>
      <c r="AA128" s="360"/>
      <c r="AB128" s="360"/>
      <c r="AE128" s="12"/>
      <c r="AF128" s="13"/>
      <c r="AG128" s="22"/>
      <c r="AH128" s="29"/>
      <c r="AI128" s="360"/>
      <c r="AJ128" s="360"/>
      <c r="AK128" s="360"/>
      <c r="AL128" s="360"/>
    </row>
    <row r="129" spans="1:41">
      <c r="A129" s="12"/>
      <c r="B129" s="13"/>
      <c r="C129" s="26" t="s">
        <v>34</v>
      </c>
      <c r="D129" s="27">
        <f>SUM(D120:D126)</f>
        <v>0</v>
      </c>
      <c r="E129" s="27">
        <v>0</v>
      </c>
      <c r="F129" s="27">
        <v>0</v>
      </c>
      <c r="G129" s="27"/>
      <c r="H129" s="27"/>
      <c r="K129" s="12"/>
      <c r="L129" s="13"/>
      <c r="M129" s="26" t="s">
        <v>34</v>
      </c>
      <c r="N129" s="27">
        <f>SUM(N120:N126)</f>
        <v>0</v>
      </c>
      <c r="O129" s="27">
        <v>0</v>
      </c>
      <c r="P129" s="27">
        <v>0</v>
      </c>
      <c r="Q129" s="27"/>
      <c r="R129" s="27"/>
      <c r="U129" s="12"/>
      <c r="V129" s="13"/>
      <c r="W129" s="26" t="s">
        <v>34</v>
      </c>
      <c r="X129" s="27">
        <f>SUM(X120:X126)</f>
        <v>0</v>
      </c>
      <c r="Y129" s="27">
        <v>0</v>
      </c>
      <c r="Z129" s="27">
        <v>0</v>
      </c>
      <c r="AA129" s="27"/>
      <c r="AB129" s="27"/>
      <c r="AE129" s="12"/>
      <c r="AF129" s="13"/>
      <c r="AG129" s="26" t="s">
        <v>34</v>
      </c>
      <c r="AH129" s="27">
        <f>SUM(AH120:AH126)</f>
        <v>0</v>
      </c>
      <c r="AI129" s="27">
        <v>0</v>
      </c>
      <c r="AJ129" s="27">
        <v>0</v>
      </c>
      <c r="AK129" s="27"/>
      <c r="AL129" s="27"/>
    </row>
    <row r="130" spans="1:41">
      <c r="A130" s="20"/>
      <c r="B130" s="19"/>
      <c r="C130" s="360" t="s">
        <v>21</v>
      </c>
      <c r="D130" s="10"/>
      <c r="E130" s="531">
        <f>D129</f>
        <v>0</v>
      </c>
      <c r="F130" s="532"/>
      <c r="G130" s="532"/>
      <c r="H130" s="533"/>
      <c r="K130" s="20"/>
      <c r="L130" s="19"/>
      <c r="M130" s="360" t="s">
        <v>21</v>
      </c>
      <c r="N130" s="10"/>
      <c r="O130" s="531">
        <f>N129</f>
        <v>0</v>
      </c>
      <c r="P130" s="532"/>
      <c r="Q130" s="532"/>
      <c r="R130" s="533"/>
      <c r="U130" s="20"/>
      <c r="V130" s="19"/>
      <c r="W130" s="360" t="s">
        <v>21</v>
      </c>
      <c r="X130" s="10"/>
      <c r="Y130" s="531">
        <f>X129</f>
        <v>0</v>
      </c>
      <c r="Z130" s="532"/>
      <c r="AA130" s="532"/>
      <c r="AB130" s="533"/>
      <c r="AE130" s="20"/>
      <c r="AF130" s="19"/>
      <c r="AG130" s="360" t="s">
        <v>21</v>
      </c>
      <c r="AH130" s="10"/>
      <c r="AI130" s="531">
        <f>AH129</f>
        <v>0</v>
      </c>
      <c r="AJ130" s="532"/>
      <c r="AK130" s="532"/>
      <c r="AL130" s="533"/>
    </row>
    <row r="131" spans="1:41">
      <c r="A131" s="525" t="s">
        <v>35</v>
      </c>
      <c r="B131" s="525"/>
      <c r="C131" s="525"/>
      <c r="D131" s="357"/>
      <c r="E131" s="526">
        <f>E51+E57+E118+E130+E95+E101+E65</f>
        <v>188220500</v>
      </c>
      <c r="F131" s="526"/>
      <c r="G131" s="526"/>
      <c r="H131" s="526"/>
      <c r="K131" s="525" t="s">
        <v>35</v>
      </c>
      <c r="L131" s="525"/>
      <c r="M131" s="525"/>
      <c r="N131" s="357"/>
      <c r="O131" s="526">
        <f>O51+O57+O118+O130+O95+O101+O65</f>
        <v>126283000</v>
      </c>
      <c r="P131" s="526"/>
      <c r="Q131" s="526"/>
      <c r="R131" s="526"/>
      <c r="U131" s="525" t="s">
        <v>35</v>
      </c>
      <c r="V131" s="525"/>
      <c r="W131" s="525"/>
      <c r="X131" s="357"/>
      <c r="Y131" s="526">
        <f>Y51+Y57+Y118+Y130+Y95+Y101+Y65</f>
        <v>72993000</v>
      </c>
      <c r="Z131" s="526"/>
      <c r="AA131" s="526"/>
      <c r="AB131" s="526"/>
      <c r="AE131" s="525" t="s">
        <v>35</v>
      </c>
      <c r="AF131" s="525"/>
      <c r="AG131" s="525"/>
      <c r="AH131" s="357"/>
      <c r="AI131" s="526">
        <f>AI51+AI57+AI118+AI130+AI95+AI101+AI65</f>
        <v>53290000</v>
      </c>
      <c r="AJ131" s="526"/>
      <c r="AK131" s="526"/>
      <c r="AL131" s="526"/>
      <c r="AO131" s="72">
        <f>+Y132+AI132</f>
        <v>129586000</v>
      </c>
    </row>
    <row r="132" spans="1:41">
      <c r="A132" s="522" t="s">
        <v>36</v>
      </c>
      <c r="B132" s="522"/>
      <c r="C132" s="522"/>
      <c r="D132" s="359"/>
      <c r="E132" s="523">
        <f>+E29+E131</f>
        <v>192293000</v>
      </c>
      <c r="F132" s="523"/>
      <c r="G132" s="523"/>
      <c r="H132" s="523"/>
      <c r="K132" s="522" t="s">
        <v>36</v>
      </c>
      <c r="L132" s="522"/>
      <c r="M132" s="522"/>
      <c r="N132" s="359"/>
      <c r="O132" s="523">
        <f>+O29+O131</f>
        <v>129586000</v>
      </c>
      <c r="P132" s="523"/>
      <c r="Q132" s="523"/>
      <c r="R132" s="523"/>
      <c r="U132" s="522" t="s">
        <v>36</v>
      </c>
      <c r="V132" s="522"/>
      <c r="W132" s="522"/>
      <c r="X132" s="359"/>
      <c r="Y132" s="523">
        <f>+Y29+Y131</f>
        <v>72993000</v>
      </c>
      <c r="Z132" s="523"/>
      <c r="AA132" s="523"/>
      <c r="AB132" s="523"/>
      <c r="AE132" s="522" t="s">
        <v>36</v>
      </c>
      <c r="AF132" s="522"/>
      <c r="AG132" s="522"/>
      <c r="AH132" s="359"/>
      <c r="AI132" s="523">
        <f>+AI29+AI131</f>
        <v>56593000</v>
      </c>
      <c r="AJ132" s="523"/>
      <c r="AK132" s="523"/>
      <c r="AL132" s="523"/>
    </row>
    <row r="133" spans="1:41" ht="7.5" customHeight="1">
      <c r="A133" s="37"/>
      <c r="B133" s="38"/>
      <c r="C133" s="39"/>
      <c r="D133" s="39"/>
      <c r="E133" s="39"/>
      <c r="F133" s="39"/>
      <c r="G133" s="39"/>
      <c r="H133" s="39"/>
      <c r="K133" s="37"/>
      <c r="L133" s="38"/>
      <c r="M133" s="39"/>
      <c r="N133" s="39"/>
      <c r="O133" s="39"/>
      <c r="P133" s="39"/>
      <c r="Q133" s="39"/>
      <c r="R133" s="39"/>
      <c r="U133" s="37"/>
      <c r="V133" s="38"/>
      <c r="W133" s="39"/>
      <c r="X133" s="39"/>
      <c r="Y133" s="39"/>
      <c r="Z133" s="39"/>
      <c r="AA133" s="39"/>
      <c r="AB133" s="39"/>
      <c r="AE133" s="37"/>
      <c r="AF133" s="38"/>
      <c r="AG133" s="39"/>
      <c r="AH133" s="39"/>
      <c r="AI133" s="39"/>
      <c r="AJ133" s="39"/>
      <c r="AK133" s="39"/>
      <c r="AL133" s="39"/>
    </row>
    <row r="134" spans="1:41">
      <c r="A134" s="519" t="s">
        <v>13</v>
      </c>
      <c r="B134" s="520"/>
      <c r="C134" s="520"/>
      <c r="D134" s="520"/>
      <c r="E134" s="521"/>
      <c r="F134" s="39"/>
      <c r="G134" s="39"/>
      <c r="H134" s="40"/>
      <c r="K134" s="519" t="s">
        <v>13</v>
      </c>
      <c r="L134" s="520"/>
      <c r="M134" s="520"/>
      <c r="N134" s="520"/>
      <c r="O134" s="521"/>
      <c r="P134" s="39"/>
      <c r="Q134" s="39"/>
      <c r="R134" s="40"/>
      <c r="U134" s="519" t="s">
        <v>13</v>
      </c>
      <c r="V134" s="520"/>
      <c r="W134" s="520"/>
      <c r="X134" s="520"/>
      <c r="Y134" s="521"/>
      <c r="Z134" s="39"/>
      <c r="AA134" s="39"/>
      <c r="AB134" s="40"/>
      <c r="AE134" s="519" t="s">
        <v>13</v>
      </c>
      <c r="AF134" s="520"/>
      <c r="AG134" s="520"/>
      <c r="AH134" s="520"/>
      <c r="AI134" s="521"/>
      <c r="AJ134" s="39"/>
      <c r="AK134" s="39"/>
      <c r="AL134" s="40"/>
    </row>
    <row r="135" spans="1:41">
      <c r="A135" s="41" t="s">
        <v>39</v>
      </c>
      <c r="B135" s="42" t="s">
        <v>40</v>
      </c>
      <c r="C135" s="43" t="s">
        <v>980</v>
      </c>
      <c r="D135" s="43" t="s">
        <v>42</v>
      </c>
      <c r="E135" s="43" t="s">
        <v>43</v>
      </c>
      <c r="F135" s="39"/>
      <c r="G135" s="39"/>
      <c r="H135" s="39"/>
      <c r="K135" s="41" t="s">
        <v>39</v>
      </c>
      <c r="L135" s="42" t="s">
        <v>40</v>
      </c>
      <c r="M135" s="43" t="s">
        <v>980</v>
      </c>
      <c r="N135" s="43" t="s">
        <v>42</v>
      </c>
      <c r="O135" s="43" t="s">
        <v>43</v>
      </c>
      <c r="P135" s="39"/>
      <c r="Q135" s="39"/>
      <c r="R135" s="39"/>
      <c r="U135" s="41" t="s">
        <v>39</v>
      </c>
      <c r="V135" s="42" t="s">
        <v>40</v>
      </c>
      <c r="W135" s="43" t="s">
        <v>980</v>
      </c>
      <c r="X135" s="43" t="s">
        <v>42</v>
      </c>
      <c r="Y135" s="43" t="s">
        <v>43</v>
      </c>
      <c r="Z135" s="39"/>
      <c r="AA135" s="39"/>
      <c r="AB135" s="39"/>
      <c r="AE135" s="41" t="s">
        <v>39</v>
      </c>
      <c r="AF135" s="42" t="s">
        <v>40</v>
      </c>
      <c r="AG135" s="43" t="s">
        <v>980</v>
      </c>
      <c r="AH135" s="43" t="s">
        <v>42</v>
      </c>
      <c r="AI135" s="43" t="s">
        <v>43</v>
      </c>
      <c r="AJ135" s="39"/>
      <c r="AK135" s="39"/>
      <c r="AL135" s="39"/>
    </row>
    <row r="136" spans="1:41">
      <c r="A136" s="41"/>
      <c r="B136" s="110"/>
      <c r="C136" s="45"/>
      <c r="D136" s="46"/>
      <c r="E136" s="46"/>
      <c r="F136" s="39"/>
      <c r="G136" s="39"/>
      <c r="H136" s="39"/>
      <c r="K136" s="41"/>
      <c r="L136" s="110"/>
      <c r="M136" s="45"/>
      <c r="N136" s="46"/>
      <c r="O136" s="46"/>
      <c r="P136" s="39"/>
      <c r="Q136" s="39"/>
      <c r="R136" s="39"/>
      <c r="U136" s="41"/>
      <c r="V136" s="110"/>
      <c r="W136" s="45"/>
      <c r="X136" s="46"/>
      <c r="Y136" s="46"/>
      <c r="Z136" s="39"/>
      <c r="AA136" s="39"/>
      <c r="AB136" s="39"/>
      <c r="AE136" s="41"/>
      <c r="AF136" s="110"/>
      <c r="AG136" s="45"/>
      <c r="AH136" s="46"/>
      <c r="AI136" s="46"/>
      <c r="AJ136" s="39"/>
      <c r="AK136" s="39"/>
      <c r="AL136" s="39"/>
    </row>
    <row r="137" spans="1:41">
      <c r="A137" s="41"/>
      <c r="B137" s="44"/>
      <c r="C137" s="45"/>
      <c r="D137" s="46"/>
      <c r="E137" s="46"/>
      <c r="F137" s="39"/>
      <c r="G137" s="39"/>
      <c r="H137" s="40"/>
      <c r="K137" s="41"/>
      <c r="L137" s="44"/>
      <c r="M137" s="45"/>
      <c r="N137" s="46"/>
      <c r="O137" s="46"/>
      <c r="P137" s="39"/>
      <c r="Q137" s="39"/>
      <c r="R137" s="40"/>
      <c r="U137" s="41"/>
      <c r="V137" s="44"/>
      <c r="W137" s="45"/>
      <c r="X137" s="46"/>
      <c r="Y137" s="46"/>
      <c r="Z137" s="39"/>
      <c r="AA137" s="39"/>
      <c r="AB137" s="40"/>
      <c r="AE137" s="41"/>
      <c r="AF137" s="44"/>
      <c r="AG137" s="45"/>
      <c r="AH137" s="46"/>
      <c r="AI137" s="46"/>
      <c r="AJ137" s="39"/>
      <c r="AK137" s="39"/>
      <c r="AL137" s="40"/>
    </row>
    <row r="138" spans="1:41">
      <c r="A138" s="41"/>
      <c r="B138" s="44"/>
      <c r="C138" s="46"/>
      <c r="D138" s="46"/>
      <c r="E138" s="46"/>
      <c r="F138" s="39"/>
      <c r="G138" s="39"/>
      <c r="H138" s="39"/>
      <c r="K138" s="41"/>
      <c r="L138" s="44"/>
      <c r="M138" s="46"/>
      <c r="N138" s="46"/>
      <c r="O138" s="46"/>
      <c r="P138" s="39"/>
      <c r="Q138" s="39"/>
      <c r="R138" s="39"/>
      <c r="U138" s="41"/>
      <c r="V138" s="44"/>
      <c r="W138" s="46"/>
      <c r="X138" s="46"/>
      <c r="Y138" s="46"/>
      <c r="Z138" s="39"/>
      <c r="AA138" s="39"/>
      <c r="AB138" s="39"/>
      <c r="AE138" s="41"/>
      <c r="AF138" s="44"/>
      <c r="AG138" s="46"/>
      <c r="AH138" s="46"/>
      <c r="AI138" s="46"/>
      <c r="AJ138" s="39"/>
      <c r="AK138" s="39"/>
      <c r="AL138" s="39"/>
    </row>
    <row r="139" spans="1:41">
      <c r="A139" s="41"/>
      <c r="B139" s="44"/>
      <c r="C139" s="327"/>
      <c r="D139" s="46"/>
      <c r="E139" s="46"/>
      <c r="F139" s="39"/>
      <c r="G139" s="39"/>
      <c r="H139" s="39"/>
      <c r="K139" s="41"/>
      <c r="L139" s="44"/>
      <c r="M139" s="327"/>
      <c r="N139" s="46"/>
      <c r="O139" s="46"/>
      <c r="P139" s="39"/>
      <c r="Q139" s="39"/>
      <c r="R139" s="39"/>
      <c r="U139" s="41"/>
      <c r="V139" s="44"/>
      <c r="W139" s="327"/>
      <c r="X139" s="46"/>
      <c r="Y139" s="46"/>
      <c r="Z139" s="39"/>
      <c r="AA139" s="39"/>
      <c r="AB139" s="39"/>
      <c r="AE139" s="41"/>
      <c r="AF139" s="44"/>
      <c r="AG139" s="327"/>
      <c r="AH139" s="46"/>
      <c r="AI139" s="46"/>
      <c r="AJ139" s="39"/>
      <c r="AK139" s="39"/>
      <c r="AL139" s="39"/>
    </row>
    <row r="140" spans="1:41">
      <c r="A140" s="41"/>
      <c r="B140" s="44"/>
      <c r="C140" s="46"/>
      <c r="D140" s="48"/>
      <c r="E140" s="46"/>
      <c r="F140" s="39"/>
      <c r="G140" s="39"/>
      <c r="H140" s="39"/>
      <c r="K140" s="41"/>
      <c r="L140" s="44"/>
      <c r="M140" s="46"/>
      <c r="N140" s="48"/>
      <c r="O140" s="46"/>
      <c r="P140" s="39"/>
      <c r="Q140" s="39"/>
      <c r="R140" s="39"/>
      <c r="U140" s="41"/>
      <c r="V140" s="44"/>
      <c r="W140" s="46"/>
      <c r="X140" s="48"/>
      <c r="Y140" s="46"/>
      <c r="Z140" s="39"/>
      <c r="AA140" s="39"/>
      <c r="AB140" s="39"/>
      <c r="AE140" s="41"/>
      <c r="AF140" s="44"/>
      <c r="AG140" s="46"/>
      <c r="AH140" s="48"/>
      <c r="AI140" s="46"/>
      <c r="AJ140" s="39"/>
      <c r="AK140" s="39"/>
      <c r="AL140" s="39"/>
    </row>
    <row r="141" spans="1:41">
      <c r="A141" s="49"/>
      <c r="B141" s="50"/>
      <c r="C141" s="51" t="s">
        <v>44</v>
      </c>
      <c r="D141" s="51">
        <f>SUM(D136:D140)</f>
        <v>0</v>
      </c>
      <c r="E141" s="52"/>
      <c r="F141" s="39"/>
      <c r="G141" s="39"/>
      <c r="H141" s="39"/>
      <c r="K141" s="49"/>
      <c r="L141" s="50"/>
      <c r="M141" s="51" t="s">
        <v>44</v>
      </c>
      <c r="N141" s="51">
        <f>SUM(N136:N140)</f>
        <v>0</v>
      </c>
      <c r="O141" s="52"/>
      <c r="P141" s="39"/>
      <c r="Q141" s="39"/>
      <c r="R141" s="39"/>
      <c r="U141" s="49"/>
      <c r="V141" s="50"/>
      <c r="W141" s="51" t="s">
        <v>44</v>
      </c>
      <c r="X141" s="51">
        <f>SUM(X136:X140)</f>
        <v>0</v>
      </c>
      <c r="Y141" s="52"/>
      <c r="Z141" s="39"/>
      <c r="AA141" s="39"/>
      <c r="AB141" s="39"/>
      <c r="AE141" s="49"/>
      <c r="AF141" s="50"/>
      <c r="AG141" s="51" t="s">
        <v>44</v>
      </c>
      <c r="AH141" s="51">
        <f>SUM(AH136:AH140)</f>
        <v>0</v>
      </c>
      <c r="AI141" s="52"/>
      <c r="AJ141" s="39"/>
      <c r="AK141" s="39"/>
      <c r="AL141" s="39"/>
    </row>
    <row r="142" spans="1:41">
      <c r="A142" s="53"/>
      <c r="B142" s="54"/>
      <c r="C142" s="55" t="s">
        <v>779</v>
      </c>
      <c r="D142" s="116"/>
      <c r="E142" s="3"/>
      <c r="F142" s="39"/>
      <c r="G142" s="39"/>
      <c r="H142" s="39"/>
      <c r="K142" s="53"/>
      <c r="L142" s="54"/>
      <c r="M142" s="55" t="s">
        <v>779</v>
      </c>
      <c r="N142" s="116"/>
      <c r="O142" s="3"/>
      <c r="P142" s="39"/>
      <c r="Q142" s="39"/>
      <c r="R142" s="39"/>
      <c r="U142" s="53"/>
      <c r="V142" s="54"/>
      <c r="W142" s="55" t="s">
        <v>779</v>
      </c>
      <c r="X142" s="116"/>
      <c r="Y142" s="3"/>
      <c r="Z142" s="39"/>
      <c r="AA142" s="39"/>
      <c r="AB142" s="39"/>
      <c r="AE142" s="53"/>
      <c r="AF142" s="54"/>
      <c r="AG142" s="55" t="s">
        <v>779</v>
      </c>
      <c r="AH142" s="116"/>
      <c r="AI142" s="3"/>
      <c r="AJ142" s="39"/>
      <c r="AK142" s="39"/>
      <c r="AL142" s="39"/>
    </row>
    <row r="144" spans="1:41">
      <c r="D144" s="72"/>
      <c r="N144" s="72"/>
      <c r="X144" s="72"/>
      <c r="AH144" s="72"/>
    </row>
    <row r="146" spans="28:28">
      <c r="AB146" s="72">
        <f>+Y132-X4</f>
        <v>-4481500</v>
      </c>
    </row>
    <row r="148" spans="28:28">
      <c r="AB148" s="72">
        <f>+[1]KAS!$E$569+[1]KAS!$E$570+[1]KAS!$E$571+[1]KAS!$E$572+[1]KAS!$E$573+[1]KAS!$E$574+[1]KAS!$E$575+[1]KAS!$E$576+[1]KAS!$E$577+[1]KAS!$E$578</f>
        <v>2137000</v>
      </c>
    </row>
    <row r="149" spans="28:28">
      <c r="AB149" s="72">
        <f>+AB146+AB148</f>
        <v>-2344500</v>
      </c>
    </row>
    <row r="151" spans="28:28">
      <c r="AB151">
        <v>2344500</v>
      </c>
    </row>
  </sheetData>
  <mergeCells count="116">
    <mergeCell ref="AE132:AG132"/>
    <mergeCell ref="AI132:AL132"/>
    <mergeCell ref="AE134:AI134"/>
    <mergeCell ref="AI101:AL101"/>
    <mergeCell ref="AE102:AL102"/>
    <mergeCell ref="AI118:AL118"/>
    <mergeCell ref="AE119:AL119"/>
    <mergeCell ref="AI130:AL130"/>
    <mergeCell ref="AE131:AG131"/>
    <mergeCell ref="AI131:AL131"/>
    <mergeCell ref="AI57:AL57"/>
    <mergeCell ref="AE58:AL58"/>
    <mergeCell ref="AI65:AL65"/>
    <mergeCell ref="AE66:AL66"/>
    <mergeCell ref="AI95:AL95"/>
    <mergeCell ref="AE96:AL96"/>
    <mergeCell ref="AI14:AL14"/>
    <mergeCell ref="AE29:AH29"/>
    <mergeCell ref="AI29:AL29"/>
    <mergeCell ref="AE30:AL30"/>
    <mergeCell ref="AI51:AL51"/>
    <mergeCell ref="AE52:AL52"/>
    <mergeCell ref="U132:W132"/>
    <mergeCell ref="Y132:AB132"/>
    <mergeCell ref="U134:Y134"/>
    <mergeCell ref="AE3:AL3"/>
    <mergeCell ref="AE12:AK12"/>
    <mergeCell ref="AE13:AL13"/>
    <mergeCell ref="AE14:AE15"/>
    <mergeCell ref="AF14:AF15"/>
    <mergeCell ref="AG14:AG15"/>
    <mergeCell ref="AH14:AH15"/>
    <mergeCell ref="Y101:AB101"/>
    <mergeCell ref="U102:AB102"/>
    <mergeCell ref="Y118:AB118"/>
    <mergeCell ref="U119:AB119"/>
    <mergeCell ref="Y130:AB130"/>
    <mergeCell ref="U131:W131"/>
    <mergeCell ref="Y131:AB131"/>
    <mergeCell ref="Y57:AB57"/>
    <mergeCell ref="U58:AB58"/>
    <mergeCell ref="Y65:AB65"/>
    <mergeCell ref="U66:AB66"/>
    <mergeCell ref="Y95:AB95"/>
    <mergeCell ref="U96:AB96"/>
    <mergeCell ref="Y14:AB14"/>
    <mergeCell ref="U29:X29"/>
    <mergeCell ref="Y29:AB29"/>
    <mergeCell ref="U30:AB30"/>
    <mergeCell ref="Y51:AB51"/>
    <mergeCell ref="U52:AB52"/>
    <mergeCell ref="K132:M132"/>
    <mergeCell ref="O132:R132"/>
    <mergeCell ref="K134:O134"/>
    <mergeCell ref="U3:AB3"/>
    <mergeCell ref="U12:AA12"/>
    <mergeCell ref="U13:AB13"/>
    <mergeCell ref="U14:U15"/>
    <mergeCell ref="V14:V15"/>
    <mergeCell ref="W14:W15"/>
    <mergeCell ref="X14:X15"/>
    <mergeCell ref="O101:R101"/>
    <mergeCell ref="K102:R102"/>
    <mergeCell ref="O118:R118"/>
    <mergeCell ref="K119:R119"/>
    <mergeCell ref="O130:R130"/>
    <mergeCell ref="K131:M131"/>
    <mergeCell ref="O131:R131"/>
    <mergeCell ref="O57:R57"/>
    <mergeCell ref="K58:R58"/>
    <mergeCell ref="O65:R65"/>
    <mergeCell ref="K66:R66"/>
    <mergeCell ref="O95:R95"/>
    <mergeCell ref="K96:R96"/>
    <mergeCell ref="O14:R14"/>
    <mergeCell ref="K29:N29"/>
    <mergeCell ref="O29:R29"/>
    <mergeCell ref="K30:R30"/>
    <mergeCell ref="O51:R51"/>
    <mergeCell ref="K52:R52"/>
    <mergeCell ref="A132:C132"/>
    <mergeCell ref="E132:H132"/>
    <mergeCell ref="A134:E134"/>
    <mergeCell ref="K3:R3"/>
    <mergeCell ref="K12:Q12"/>
    <mergeCell ref="K13:R13"/>
    <mergeCell ref="K14:K15"/>
    <mergeCell ref="L14:L15"/>
    <mergeCell ref="M14:M15"/>
    <mergeCell ref="N14:N15"/>
    <mergeCell ref="A102:H102"/>
    <mergeCell ref="E118:H118"/>
    <mergeCell ref="A119:H119"/>
    <mergeCell ref="E130:H130"/>
    <mergeCell ref="A131:C131"/>
    <mergeCell ref="E131:H131"/>
    <mergeCell ref="A58:H58"/>
    <mergeCell ref="E65:H65"/>
    <mergeCell ref="A66:H66"/>
    <mergeCell ref="E95:H95"/>
    <mergeCell ref="A96:H96"/>
    <mergeCell ref="E101:H101"/>
    <mergeCell ref="A29:D29"/>
    <mergeCell ref="E29:H29"/>
    <mergeCell ref="A30:H30"/>
    <mergeCell ref="E51:H51"/>
    <mergeCell ref="A52:H52"/>
    <mergeCell ref="E57:H57"/>
    <mergeCell ref="A3:H3"/>
    <mergeCell ref="A12:G12"/>
    <mergeCell ref="A13:H13"/>
    <mergeCell ref="A14:A15"/>
    <mergeCell ref="B14:B15"/>
    <mergeCell ref="C14:C15"/>
    <mergeCell ref="D14:D15"/>
    <mergeCell ref="E14:H14"/>
  </mergeCells>
  <phoneticPr fontId="16" type="noConversion"/>
  <pageMargins left="0.55000000000000004" right="0.16" top="0.28000000000000003" bottom="0.18" header="0.19" footer="0.12"/>
  <pageSetup scale="85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21"/>
  <sheetViews>
    <sheetView workbookViewId="0"/>
  </sheetViews>
  <sheetFormatPr defaultRowHeight="15"/>
  <cols>
    <col min="1" max="1" width="51" customWidth="1"/>
    <col min="2" max="2" width="11.5703125" bestFit="1" customWidth="1"/>
    <col min="3" max="3" width="40.42578125" bestFit="1" customWidth="1"/>
    <col min="4" max="4" width="10.5703125" style="77" bestFit="1" customWidth="1"/>
    <col min="5" max="5" width="35.28515625" bestFit="1" customWidth="1"/>
    <col min="6" max="6" width="11.5703125" bestFit="1" customWidth="1"/>
    <col min="7" max="7" width="52.28515625" bestFit="1" customWidth="1"/>
    <col min="8" max="8" width="12.5703125" bestFit="1" customWidth="1"/>
    <col min="9" max="9" width="47.28515625" bestFit="1" customWidth="1"/>
    <col min="10" max="10" width="10.5703125" bestFit="1" customWidth="1"/>
    <col min="11" max="11" width="12.5703125" bestFit="1" customWidth="1"/>
    <col min="13" max="13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>
      <c r="A2" s="15" t="s">
        <v>1142</v>
      </c>
      <c r="B2" s="23">
        <v>382000</v>
      </c>
      <c r="C2" s="15" t="s">
        <v>1016</v>
      </c>
      <c r="D2" s="23">
        <v>150000</v>
      </c>
      <c r="E2" s="15" t="s">
        <v>1089</v>
      </c>
      <c r="F2" s="23">
        <v>5488000</v>
      </c>
      <c r="G2" s="14"/>
      <c r="H2" s="15"/>
      <c r="I2" s="14"/>
      <c r="J2" s="15"/>
    </row>
    <row r="3" spans="1:10">
      <c r="A3" s="15" t="s">
        <v>1099</v>
      </c>
      <c r="B3" s="23">
        <v>988000</v>
      </c>
      <c r="C3" s="15" t="s">
        <v>961</v>
      </c>
      <c r="D3" s="23">
        <v>450000</v>
      </c>
      <c r="E3" s="15" t="s">
        <v>1101</v>
      </c>
      <c r="F3" s="23">
        <v>7312000</v>
      </c>
      <c r="G3" s="14"/>
      <c r="H3" s="15"/>
      <c r="I3" s="14"/>
      <c r="J3" s="15"/>
    </row>
    <row r="4" spans="1:10">
      <c r="A4" s="23" t="s">
        <v>1135</v>
      </c>
      <c r="B4" s="23">
        <v>300000</v>
      </c>
      <c r="C4" s="22" t="s">
        <v>1121</v>
      </c>
      <c r="D4" s="22">
        <v>300000</v>
      </c>
      <c r="E4" s="23" t="s">
        <v>1128</v>
      </c>
      <c r="F4" s="23">
        <v>2806000</v>
      </c>
      <c r="G4" s="14"/>
      <c r="H4" s="15"/>
      <c r="I4" s="14"/>
      <c r="J4" s="15"/>
    </row>
    <row r="5" spans="1:10">
      <c r="A5" s="23" t="s">
        <v>1033</v>
      </c>
      <c r="B5" s="23">
        <v>5936000</v>
      </c>
      <c r="C5" s="24" t="s">
        <v>1127</v>
      </c>
      <c r="D5" s="23">
        <v>150000</v>
      </c>
      <c r="E5" s="15"/>
      <c r="F5" s="23"/>
      <c r="G5" s="14"/>
      <c r="H5" s="15"/>
      <c r="I5" s="14"/>
      <c r="J5" s="15"/>
    </row>
    <row r="6" spans="1:10">
      <c r="A6" s="23" t="s">
        <v>1116</v>
      </c>
      <c r="B6" s="23">
        <v>1300000</v>
      </c>
      <c r="C6" s="15"/>
      <c r="D6" s="22"/>
      <c r="E6" s="15"/>
      <c r="F6" s="23"/>
      <c r="G6" s="14"/>
      <c r="H6" s="15"/>
      <c r="I6" s="14"/>
      <c r="J6" s="15"/>
    </row>
    <row r="7" spans="1:10">
      <c r="A7" s="22" t="s">
        <v>1115</v>
      </c>
      <c r="B7" s="22">
        <v>5595000</v>
      </c>
      <c r="C7" s="15"/>
      <c r="D7" s="22"/>
      <c r="E7" s="15"/>
      <c r="F7" s="23"/>
      <c r="G7" s="14"/>
      <c r="H7" s="15"/>
      <c r="I7" s="14"/>
      <c r="J7" s="15"/>
    </row>
    <row r="8" spans="1:10">
      <c r="A8" s="22" t="s">
        <v>1120</v>
      </c>
      <c r="B8" s="22">
        <v>1540000</v>
      </c>
      <c r="C8" s="15"/>
      <c r="D8" s="22"/>
      <c r="E8" s="15"/>
      <c r="F8" s="23"/>
      <c r="G8" s="15" t="s">
        <v>1136</v>
      </c>
      <c r="H8" s="23">
        <v>6034000</v>
      </c>
      <c r="I8" s="14"/>
      <c r="J8" s="15"/>
    </row>
    <row r="9" spans="1:10">
      <c r="A9" s="22" t="s">
        <v>1123</v>
      </c>
      <c r="B9" s="22">
        <v>3262000</v>
      </c>
      <c r="C9" s="15"/>
      <c r="D9" s="22"/>
      <c r="E9" s="15"/>
      <c r="F9" s="23"/>
      <c r="G9" s="23"/>
      <c r="H9" s="23"/>
      <c r="I9" s="14"/>
      <c r="J9" s="15"/>
    </row>
    <row r="10" spans="1:10">
      <c r="A10" s="22" t="s">
        <v>1140</v>
      </c>
      <c r="B10" s="22">
        <v>1000000</v>
      </c>
      <c r="C10" s="15"/>
      <c r="D10" s="22"/>
      <c r="E10" s="15"/>
      <c r="F10" s="23"/>
      <c r="G10" s="23"/>
      <c r="H10" s="23"/>
      <c r="I10" s="14"/>
      <c r="J10" s="15"/>
    </row>
    <row r="11" spans="1:10">
      <c r="A11" s="22"/>
      <c r="B11" s="22"/>
      <c r="C11" s="15"/>
      <c r="D11" s="22"/>
      <c r="E11" s="15"/>
      <c r="F11" s="23"/>
      <c r="G11" s="23"/>
      <c r="H11" s="23"/>
      <c r="I11" s="14"/>
      <c r="J11" s="15"/>
    </row>
    <row r="12" spans="1:10">
      <c r="A12" s="22"/>
      <c r="B12" s="22"/>
      <c r="C12" s="15"/>
      <c r="D12" s="22"/>
      <c r="E12" s="15"/>
      <c r="F12" s="23"/>
      <c r="G12" s="22" t="s">
        <v>1119</v>
      </c>
      <c r="H12" s="22">
        <v>30000000</v>
      </c>
      <c r="I12" s="14"/>
      <c r="J12" s="15"/>
    </row>
    <row r="13" spans="1:10">
      <c r="A13" s="22"/>
      <c r="B13" s="22"/>
      <c r="C13" s="15"/>
      <c r="D13" s="22"/>
      <c r="E13" s="15"/>
      <c r="F13" s="23"/>
      <c r="G13" s="22"/>
      <c r="H13" s="22"/>
      <c r="I13" s="14"/>
      <c r="J13" s="15"/>
    </row>
    <row r="14" spans="1:10">
      <c r="A14" s="23"/>
      <c r="B14" s="23"/>
      <c r="C14" s="15"/>
      <c r="D14" s="22"/>
      <c r="E14" s="15"/>
      <c r="F14" s="23"/>
      <c r="G14" s="23"/>
      <c r="H14" s="23"/>
      <c r="I14" s="14"/>
      <c r="J14" s="15"/>
    </row>
    <row r="15" spans="1:10">
      <c r="A15" s="23"/>
      <c r="B15" s="23"/>
      <c r="C15" s="194"/>
      <c r="D15" s="194"/>
      <c r="E15" s="194"/>
      <c r="F15" s="194"/>
      <c r="G15" s="15"/>
      <c r="H15" s="23"/>
      <c r="I15" s="193"/>
      <c r="J15" s="194"/>
    </row>
    <row r="16" spans="1:10">
      <c r="A16" s="68"/>
      <c r="B16" s="69"/>
      <c r="C16" s="69"/>
      <c r="D16" s="69"/>
      <c r="E16" s="69"/>
      <c r="F16" s="69"/>
      <c r="G16" s="23"/>
      <c r="H16" s="23"/>
      <c r="I16" s="68"/>
      <c r="J16" s="69"/>
    </row>
    <row r="17" spans="1:13">
      <c r="A17" s="68"/>
      <c r="B17" s="69"/>
      <c r="C17" s="69"/>
      <c r="D17" s="69"/>
      <c r="E17" s="69"/>
      <c r="F17" s="69"/>
      <c r="G17" s="119"/>
      <c r="H17" s="120"/>
      <c r="I17" s="68"/>
      <c r="J17" s="69"/>
    </row>
    <row r="18" spans="1:13">
      <c r="A18" s="70"/>
      <c r="B18" s="71">
        <f t="shared" ref="B18:J18" si="0">SUM(B2:B16)</f>
        <v>20303000</v>
      </c>
      <c r="C18" s="71">
        <f t="shared" si="0"/>
        <v>0</v>
      </c>
      <c r="D18" s="71">
        <f t="shared" si="0"/>
        <v>1050000</v>
      </c>
      <c r="E18" s="71">
        <f t="shared" si="0"/>
        <v>0</v>
      </c>
      <c r="F18" s="71">
        <f t="shared" si="0"/>
        <v>15606000</v>
      </c>
      <c r="G18" s="71">
        <f t="shared" si="0"/>
        <v>0</v>
      </c>
      <c r="H18" s="71">
        <f t="shared" si="0"/>
        <v>36034000</v>
      </c>
      <c r="I18" s="71">
        <f t="shared" si="0"/>
        <v>0</v>
      </c>
      <c r="J18" s="71">
        <f t="shared" si="0"/>
        <v>0</v>
      </c>
      <c r="K18" s="72">
        <f>+J18+H18+F18+D18+B18</f>
        <v>72993000</v>
      </c>
      <c r="M18" s="72">
        <v>129586000</v>
      </c>
    </row>
    <row r="19" spans="1:13">
      <c r="D19" s="77">
        <v>100000</v>
      </c>
      <c r="M19" s="72">
        <f>+M18-K18</f>
        <v>56593000</v>
      </c>
    </row>
    <row r="21" spans="1:13">
      <c r="D21" s="77">
        <f>+D18-D19</f>
        <v>950000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150"/>
  <sheetViews>
    <sheetView workbookViewId="0"/>
  </sheetViews>
  <sheetFormatPr defaultRowHeight="15"/>
  <cols>
    <col min="1" max="1" width="7.42578125" customWidth="1"/>
    <col min="2" max="2" width="9.7109375" bestFit="1" customWidth="1"/>
    <col min="3" max="3" width="49.85546875" customWidth="1"/>
    <col min="4" max="4" width="12" style="77" bestFit="1" customWidth="1"/>
    <col min="5" max="5" width="7.5703125" bestFit="1" customWidth="1"/>
    <col min="6" max="6" width="6.28515625" bestFit="1" customWidth="1"/>
    <col min="7" max="7" width="6" bestFit="1" customWidth="1"/>
    <col min="8" max="8" width="11.5703125" customWidth="1"/>
    <col min="10" max="10" width="7.42578125" customWidth="1"/>
    <col min="11" max="11" width="10.42578125" bestFit="1" customWidth="1"/>
    <col min="12" max="12" width="49.85546875" customWidth="1"/>
    <col min="13" max="13" width="12" style="77" bestFit="1" customWidth="1"/>
    <col min="14" max="14" width="7.5703125" bestFit="1" customWidth="1"/>
    <col min="15" max="15" width="6.28515625" bestFit="1" customWidth="1"/>
    <col min="16" max="16" width="6" bestFit="1" customWidth="1"/>
    <col min="17" max="17" width="11.5703125" customWidth="1"/>
    <col min="19" max="19" width="7.42578125" customWidth="1"/>
    <col min="20" max="20" width="10.42578125" bestFit="1" customWidth="1"/>
    <col min="21" max="21" width="49.85546875" customWidth="1"/>
    <col min="22" max="22" width="12" style="77" bestFit="1" customWidth="1"/>
    <col min="23" max="23" width="7.5703125" bestFit="1" customWidth="1"/>
    <col min="24" max="24" width="6.28515625" bestFit="1" customWidth="1"/>
    <col min="25" max="25" width="6" bestFit="1" customWidth="1"/>
    <col min="26" max="26" width="11.5703125" customWidth="1"/>
  </cols>
  <sheetData>
    <row r="1" spans="1:26" ht="15.75">
      <c r="A1" s="347" t="s">
        <v>0</v>
      </c>
      <c r="B1" s="2"/>
      <c r="C1" s="3"/>
      <c r="D1" s="3"/>
      <c r="E1" s="3"/>
      <c r="F1" s="3"/>
      <c r="G1" s="3"/>
      <c r="H1" s="3"/>
      <c r="J1" s="347" t="s">
        <v>0</v>
      </c>
      <c r="K1" s="2"/>
      <c r="L1" s="3"/>
      <c r="M1" s="3"/>
      <c r="N1" s="3"/>
      <c r="O1" s="3"/>
      <c r="P1" s="3"/>
      <c r="Q1" s="3"/>
      <c r="S1" s="347" t="s">
        <v>0</v>
      </c>
      <c r="T1" s="2"/>
      <c r="U1" s="3"/>
      <c r="V1" s="3"/>
      <c r="W1" s="3"/>
      <c r="X1" s="3"/>
      <c r="Y1" s="3"/>
      <c r="Z1" s="3"/>
    </row>
    <row r="2" spans="1:26" ht="15.75">
      <c r="A2" s="347" t="s">
        <v>1184</v>
      </c>
      <c r="B2" s="2"/>
      <c r="C2" s="3"/>
      <c r="D2" s="3"/>
      <c r="E2" s="3"/>
      <c r="F2" s="3"/>
      <c r="G2" s="3"/>
      <c r="H2" s="3"/>
      <c r="J2" s="347" t="s">
        <v>1187</v>
      </c>
      <c r="K2" s="2"/>
      <c r="L2" s="3"/>
      <c r="M2" s="3"/>
      <c r="N2" s="3"/>
      <c r="O2" s="3"/>
      <c r="P2" s="3"/>
      <c r="Q2" s="3"/>
      <c r="S2" s="347" t="s">
        <v>1188</v>
      </c>
      <c r="T2" s="2"/>
      <c r="U2" s="3"/>
      <c r="V2" s="3"/>
      <c r="W2" s="3"/>
      <c r="X2" s="3"/>
      <c r="Y2" s="3"/>
      <c r="Z2" s="3"/>
    </row>
    <row r="3" spans="1:26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  <c r="S3" s="534" t="s">
        <v>1</v>
      </c>
      <c r="T3" s="534"/>
      <c r="U3" s="534"/>
      <c r="V3" s="534"/>
      <c r="W3" s="534"/>
      <c r="X3" s="534"/>
      <c r="Y3" s="534"/>
      <c r="Z3" s="534"/>
    </row>
    <row r="4" spans="1:26">
      <c r="A4" s="4"/>
      <c r="B4" s="5"/>
      <c r="C4" s="6" t="s">
        <v>2</v>
      </c>
      <c r="D4" s="77">
        <v>2344500</v>
      </c>
      <c r="E4" s="6"/>
      <c r="F4" s="6"/>
      <c r="G4" s="6"/>
      <c r="H4" s="6"/>
      <c r="J4" s="4"/>
      <c r="K4" s="5"/>
      <c r="L4" s="6" t="s">
        <v>2</v>
      </c>
      <c r="M4" s="77">
        <v>2344500</v>
      </c>
      <c r="N4" s="6"/>
      <c r="O4" s="6"/>
      <c r="P4" s="6"/>
      <c r="Q4" s="6"/>
      <c r="S4" s="4"/>
      <c r="T4" s="5"/>
      <c r="U4" s="6" t="s">
        <v>2</v>
      </c>
      <c r="V4" s="77">
        <v>4807815</v>
      </c>
      <c r="W4" s="6"/>
      <c r="X4" s="6"/>
      <c r="Y4" s="6"/>
      <c r="Z4" s="6"/>
    </row>
    <row r="5" spans="1:26">
      <c r="A5" s="4"/>
      <c r="B5" s="5"/>
      <c r="C5" s="6" t="s">
        <v>590</v>
      </c>
      <c r="D5" s="7" t="s">
        <v>849</v>
      </c>
      <c r="E5" s="6"/>
      <c r="F5" s="6"/>
      <c r="G5" s="6"/>
      <c r="H5" s="6"/>
      <c r="J5" s="4"/>
      <c r="K5" s="5"/>
      <c r="L5" s="6" t="s">
        <v>590</v>
      </c>
      <c r="M5" s="7" t="s">
        <v>849</v>
      </c>
      <c r="N5" s="6"/>
      <c r="O5" s="6"/>
      <c r="P5" s="6"/>
      <c r="Q5" s="6"/>
      <c r="S5" s="4"/>
      <c r="T5" s="5"/>
      <c r="U5" s="6" t="s">
        <v>590</v>
      </c>
      <c r="V5" s="7" t="s">
        <v>849</v>
      </c>
      <c r="W5" s="6"/>
      <c r="X5" s="6"/>
      <c r="Y5" s="6"/>
      <c r="Z5" s="6"/>
    </row>
    <row r="6" spans="1:26">
      <c r="A6" s="4"/>
      <c r="B6" s="5"/>
      <c r="C6" s="6" t="s">
        <v>3</v>
      </c>
      <c r="D6" s="8">
        <v>2995815</v>
      </c>
      <c r="E6" s="6"/>
      <c r="F6" s="6"/>
      <c r="G6" s="6"/>
      <c r="H6" s="6"/>
      <c r="J6" s="4"/>
      <c r="K6" s="5"/>
      <c r="L6" s="6" t="s">
        <v>3</v>
      </c>
      <c r="M6" s="8">
        <v>2995815</v>
      </c>
      <c r="N6" s="6"/>
      <c r="O6" s="6"/>
      <c r="P6" s="6"/>
      <c r="Q6" s="6"/>
      <c r="S6" s="4"/>
      <c r="T6" s="5"/>
      <c r="U6" s="6" t="s">
        <v>3</v>
      </c>
      <c r="V6" s="8">
        <v>2995815</v>
      </c>
      <c r="W6" s="6"/>
      <c r="X6" s="6"/>
      <c r="Y6" s="6"/>
      <c r="Z6" s="6"/>
    </row>
    <row r="7" spans="1:26">
      <c r="A7" s="4"/>
      <c r="B7" s="5"/>
      <c r="C7" s="6" t="s">
        <v>4</v>
      </c>
      <c r="D7" s="115">
        <v>1139810</v>
      </c>
      <c r="E7" s="6"/>
      <c r="F7" s="6"/>
      <c r="G7" s="6"/>
      <c r="H7" s="6"/>
      <c r="J7" s="4"/>
      <c r="K7" s="5"/>
      <c r="L7" s="6" t="s">
        <v>4</v>
      </c>
      <c r="M7" s="115">
        <v>1139810</v>
      </c>
      <c r="N7" s="6"/>
      <c r="O7" s="6"/>
      <c r="P7" s="6"/>
      <c r="Q7" s="6"/>
      <c r="S7" s="4"/>
      <c r="T7" s="5"/>
      <c r="U7" s="6" t="s">
        <v>4</v>
      </c>
      <c r="V7" s="115">
        <v>1139810</v>
      </c>
      <c r="W7" s="6"/>
      <c r="X7" s="6"/>
      <c r="Y7" s="6"/>
      <c r="Z7" s="6"/>
    </row>
    <row r="8" spans="1:26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  <c r="S8" s="4"/>
      <c r="T8" s="5"/>
      <c r="U8" s="6" t="s">
        <v>5</v>
      </c>
      <c r="V8" s="6">
        <v>1146153</v>
      </c>
      <c r="W8" s="6"/>
      <c r="X8" s="6"/>
      <c r="Y8" s="6"/>
      <c r="Z8" s="6"/>
    </row>
    <row r="9" spans="1:26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  <c r="S9" s="4"/>
      <c r="T9" s="5"/>
      <c r="U9" s="6" t="s">
        <v>6</v>
      </c>
      <c r="V9" s="6">
        <v>3297735.5133333281</v>
      </c>
      <c r="W9" s="6"/>
      <c r="X9" s="6"/>
      <c r="Y9" s="6"/>
      <c r="Z9" s="6"/>
    </row>
    <row r="10" spans="1:26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J10" s="4"/>
      <c r="K10" s="5"/>
      <c r="L10" s="6" t="s">
        <v>7</v>
      </c>
      <c r="M10" s="6">
        <v>2363662</v>
      </c>
      <c r="N10" s="6"/>
      <c r="O10" s="6"/>
      <c r="P10" s="6"/>
      <c r="Q10" s="6"/>
      <c r="S10" s="4"/>
      <c r="T10" s="5"/>
      <c r="U10" s="6" t="s">
        <v>7</v>
      </c>
      <c r="V10" s="6">
        <v>2363662</v>
      </c>
      <c r="W10" s="6"/>
      <c r="X10" s="6"/>
      <c r="Y10" s="6"/>
      <c r="Z10" s="6"/>
    </row>
    <row r="11" spans="1:26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  <c r="S11" s="4"/>
      <c r="T11" s="5"/>
      <c r="U11" s="6"/>
      <c r="V11" s="6"/>
      <c r="W11" s="6"/>
      <c r="X11" s="6"/>
      <c r="Y11" s="6"/>
      <c r="Z11" s="6"/>
    </row>
    <row r="12" spans="1:26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13287675.513333328</v>
      </c>
      <c r="J12" s="531" t="s">
        <v>1071</v>
      </c>
      <c r="K12" s="532"/>
      <c r="L12" s="532"/>
      <c r="M12" s="532"/>
      <c r="N12" s="532"/>
      <c r="O12" s="532"/>
      <c r="P12" s="533"/>
      <c r="Q12" s="10">
        <f>SUM(M4:M10)</f>
        <v>13287675.513333328</v>
      </c>
      <c r="S12" s="531" t="s">
        <v>1071</v>
      </c>
      <c r="T12" s="532"/>
      <c r="U12" s="532"/>
      <c r="V12" s="532"/>
      <c r="W12" s="532"/>
      <c r="X12" s="532"/>
      <c r="Y12" s="533"/>
      <c r="Z12" s="10">
        <f>SUM(V4:V10)</f>
        <v>15750990.513333328</v>
      </c>
    </row>
    <row r="13" spans="1:26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  <c r="S13" s="535" t="s">
        <v>8</v>
      </c>
      <c r="T13" s="535"/>
      <c r="U13" s="535"/>
      <c r="V13" s="535"/>
      <c r="W13" s="535"/>
      <c r="X13" s="535"/>
      <c r="Y13" s="535"/>
      <c r="Z13" s="535"/>
    </row>
    <row r="14" spans="1:26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  <c r="S14" s="536" t="s">
        <v>9</v>
      </c>
      <c r="T14" s="537" t="s">
        <v>10</v>
      </c>
      <c r="U14" s="538" t="s">
        <v>11</v>
      </c>
      <c r="V14" s="538" t="s">
        <v>12</v>
      </c>
      <c r="W14" s="530" t="s">
        <v>13</v>
      </c>
      <c r="X14" s="530"/>
      <c r="Y14" s="530"/>
      <c r="Z14" s="530"/>
    </row>
    <row r="15" spans="1:26">
      <c r="A15" s="536"/>
      <c r="B15" s="537"/>
      <c r="C15" s="538"/>
      <c r="D15" s="538"/>
      <c r="E15" s="364" t="s">
        <v>14</v>
      </c>
      <c r="F15" s="364" t="s">
        <v>15</v>
      </c>
      <c r="G15" s="364" t="s">
        <v>16</v>
      </c>
      <c r="H15" s="364" t="s">
        <v>17</v>
      </c>
      <c r="J15" s="536"/>
      <c r="K15" s="537"/>
      <c r="L15" s="538"/>
      <c r="M15" s="538"/>
      <c r="N15" s="367" t="s">
        <v>14</v>
      </c>
      <c r="O15" s="367" t="s">
        <v>15</v>
      </c>
      <c r="P15" s="367" t="s">
        <v>16</v>
      </c>
      <c r="Q15" s="367" t="s">
        <v>17</v>
      </c>
      <c r="S15" s="536"/>
      <c r="T15" s="537"/>
      <c r="U15" s="538"/>
      <c r="V15" s="538"/>
      <c r="W15" s="367" t="s">
        <v>14</v>
      </c>
      <c r="X15" s="367" t="s">
        <v>15</v>
      </c>
      <c r="Y15" s="367" t="s">
        <v>16</v>
      </c>
      <c r="Z15" s="367" t="s">
        <v>17</v>
      </c>
    </row>
    <row r="16" spans="1:26">
      <c r="A16" s="12"/>
      <c r="B16" s="19" t="s">
        <v>1062</v>
      </c>
      <c r="C16" s="14" t="s">
        <v>1059</v>
      </c>
      <c r="D16" s="15">
        <v>450000</v>
      </c>
      <c r="E16" s="168"/>
      <c r="F16" s="168"/>
      <c r="G16" s="168"/>
      <c r="H16" s="168"/>
      <c r="J16" s="12"/>
      <c r="K16" s="19" t="s">
        <v>1062</v>
      </c>
      <c r="L16" s="14" t="s">
        <v>1059</v>
      </c>
      <c r="M16" s="15"/>
      <c r="N16" s="168"/>
      <c r="O16" s="168"/>
      <c r="P16" s="168"/>
      <c r="Q16" s="168"/>
      <c r="S16" s="12"/>
      <c r="T16" s="19" t="s">
        <v>1062</v>
      </c>
      <c r="U16" s="14" t="s">
        <v>1059</v>
      </c>
      <c r="V16" s="15">
        <v>450000</v>
      </c>
      <c r="W16" s="168"/>
      <c r="X16" s="168"/>
      <c r="Y16" s="168"/>
      <c r="Z16" s="168"/>
    </row>
    <row r="17" spans="1:26">
      <c r="A17" s="12"/>
      <c r="B17" s="19" t="s">
        <v>1062</v>
      </c>
      <c r="C17" s="14" t="s">
        <v>1001</v>
      </c>
      <c r="D17" s="15">
        <v>503000</v>
      </c>
      <c r="E17" s="16"/>
      <c r="F17" s="16"/>
      <c r="G17" s="16"/>
      <c r="H17" s="16"/>
      <c r="J17" s="12"/>
      <c r="K17" s="19" t="s">
        <v>1062</v>
      </c>
      <c r="L17" s="14" t="s">
        <v>1001</v>
      </c>
      <c r="M17" s="15"/>
      <c r="N17" s="16"/>
      <c r="O17" s="16"/>
      <c r="P17" s="16"/>
      <c r="Q17" s="16"/>
      <c r="S17" s="12"/>
      <c r="T17" s="19" t="s">
        <v>1062</v>
      </c>
      <c r="U17" s="14" t="s">
        <v>1001</v>
      </c>
      <c r="V17" s="15">
        <v>503000</v>
      </c>
      <c r="W17" s="16"/>
      <c r="X17" s="16"/>
      <c r="Y17" s="16"/>
      <c r="Z17" s="16"/>
    </row>
    <row r="18" spans="1:26">
      <c r="A18" s="12"/>
      <c r="B18" s="19" t="s">
        <v>1062</v>
      </c>
      <c r="C18" s="14" t="s">
        <v>1002</v>
      </c>
      <c r="D18" s="15">
        <v>503000</v>
      </c>
      <c r="E18" s="16"/>
      <c r="F18" s="16"/>
      <c r="G18" s="16"/>
      <c r="H18" s="16"/>
      <c r="J18" s="12"/>
      <c r="K18" s="19" t="s">
        <v>1062</v>
      </c>
      <c r="L18" s="14" t="s">
        <v>1002</v>
      </c>
      <c r="M18" s="15"/>
      <c r="N18" s="16"/>
      <c r="O18" s="16"/>
      <c r="P18" s="16"/>
      <c r="Q18" s="16"/>
      <c r="S18" s="12"/>
      <c r="T18" s="19" t="s">
        <v>1062</v>
      </c>
      <c r="U18" s="14" t="s">
        <v>1002</v>
      </c>
      <c r="V18" s="15">
        <v>503000</v>
      </c>
      <c r="W18" s="16"/>
      <c r="X18" s="16"/>
      <c r="Y18" s="16"/>
      <c r="Z18" s="16"/>
    </row>
    <row r="19" spans="1:26">
      <c r="A19" s="12"/>
      <c r="B19" s="19" t="s">
        <v>1062</v>
      </c>
      <c r="C19" s="14" t="s">
        <v>802</v>
      </c>
      <c r="D19" s="15">
        <v>185000</v>
      </c>
      <c r="E19" s="16"/>
      <c r="F19" s="16"/>
      <c r="G19" s="16"/>
      <c r="H19" s="16"/>
      <c r="J19" s="12"/>
      <c r="K19" s="19" t="s">
        <v>1062</v>
      </c>
      <c r="L19" s="14" t="s">
        <v>802</v>
      </c>
      <c r="M19" s="15">
        <v>185000</v>
      </c>
      <c r="N19" s="16"/>
      <c r="O19" s="16"/>
      <c r="P19" s="16"/>
      <c r="Q19" s="16"/>
      <c r="S19" s="12"/>
      <c r="T19" s="19"/>
      <c r="U19" s="14"/>
      <c r="V19" s="15"/>
      <c r="W19" s="16"/>
      <c r="X19" s="16"/>
      <c r="Y19" s="16"/>
      <c r="Z19" s="16"/>
    </row>
    <row r="20" spans="1:26">
      <c r="A20" s="12"/>
      <c r="B20" s="19" t="s">
        <v>1062</v>
      </c>
      <c r="C20" s="14" t="s">
        <v>1003</v>
      </c>
      <c r="D20" s="15">
        <v>450500</v>
      </c>
      <c r="E20" s="16"/>
      <c r="F20" s="16"/>
      <c r="G20" s="16"/>
      <c r="H20" s="16"/>
      <c r="J20" s="12"/>
      <c r="K20" s="19" t="s">
        <v>1062</v>
      </c>
      <c r="L20" s="14" t="s">
        <v>1003</v>
      </c>
      <c r="M20" s="15">
        <v>450500</v>
      </c>
      <c r="N20" s="16"/>
      <c r="O20" s="16"/>
      <c r="P20" s="16"/>
      <c r="Q20" s="16"/>
      <c r="S20" s="12"/>
      <c r="T20" s="19"/>
      <c r="U20" s="14"/>
      <c r="V20" s="15"/>
      <c r="W20" s="16"/>
      <c r="X20" s="16"/>
      <c r="Y20" s="16"/>
      <c r="Z20" s="16"/>
    </row>
    <row r="21" spans="1:26">
      <c r="A21" s="12"/>
      <c r="B21" s="19" t="s">
        <v>1062</v>
      </c>
      <c r="C21" s="14" t="s">
        <v>180</v>
      </c>
      <c r="D21" s="15">
        <v>1194000</v>
      </c>
      <c r="E21" s="16"/>
      <c r="F21" s="16"/>
      <c r="G21" s="16"/>
      <c r="H21" s="16"/>
      <c r="J21" s="12"/>
      <c r="K21" s="19" t="s">
        <v>1062</v>
      </c>
      <c r="L21" s="14" t="s">
        <v>180</v>
      </c>
      <c r="M21" s="15">
        <v>1194000</v>
      </c>
      <c r="N21" s="16"/>
      <c r="O21" s="16"/>
      <c r="P21" s="16"/>
      <c r="Q21" s="16"/>
      <c r="S21" s="12"/>
      <c r="T21" s="19"/>
      <c r="U21" s="14"/>
      <c r="V21" s="15"/>
      <c r="W21" s="16"/>
      <c r="X21" s="16"/>
      <c r="Y21" s="16"/>
      <c r="Z21" s="16"/>
    </row>
    <row r="22" spans="1:26">
      <c r="A22" s="12"/>
      <c r="B22" s="19" t="s">
        <v>1062</v>
      </c>
      <c r="C22" s="14" t="s">
        <v>1005</v>
      </c>
      <c r="D22" s="15">
        <v>202500</v>
      </c>
      <c r="E22" s="16"/>
      <c r="F22" s="16"/>
      <c r="G22" s="16"/>
      <c r="H22" s="16"/>
      <c r="J22" s="12"/>
      <c r="K22" s="19" t="s">
        <v>1062</v>
      </c>
      <c r="L22" s="14" t="s">
        <v>1005</v>
      </c>
      <c r="M22" s="15">
        <v>202500</v>
      </c>
      <c r="N22" s="16"/>
      <c r="O22" s="16"/>
      <c r="P22" s="16"/>
      <c r="Q22" s="16"/>
      <c r="S22" s="12"/>
      <c r="T22" s="19"/>
      <c r="U22" s="14"/>
      <c r="V22" s="15"/>
      <c r="W22" s="16"/>
      <c r="X22" s="16"/>
      <c r="Y22" s="16"/>
      <c r="Z22" s="16"/>
    </row>
    <row r="23" spans="1:26">
      <c r="A23" s="12"/>
      <c r="B23" s="19" t="s">
        <v>1062</v>
      </c>
      <c r="C23" s="14" t="s">
        <v>1006</v>
      </c>
      <c r="D23" s="15">
        <v>100000</v>
      </c>
      <c r="E23" s="16"/>
      <c r="F23" s="16"/>
      <c r="G23" s="16"/>
      <c r="H23" s="16"/>
      <c r="J23" s="12"/>
      <c r="K23" s="19" t="s">
        <v>1062</v>
      </c>
      <c r="L23" s="14" t="s">
        <v>1006</v>
      </c>
      <c r="M23" s="15"/>
      <c r="N23" s="16"/>
      <c r="O23" s="16"/>
      <c r="P23" s="16"/>
      <c r="Q23" s="16"/>
      <c r="S23" s="12"/>
      <c r="T23" s="19"/>
      <c r="U23" s="14"/>
      <c r="V23" s="15"/>
      <c r="W23" s="16"/>
      <c r="X23" s="16"/>
      <c r="Y23" s="16"/>
      <c r="Z23" s="16"/>
    </row>
    <row r="24" spans="1:26">
      <c r="A24" s="12"/>
      <c r="B24" s="19" t="s">
        <v>883</v>
      </c>
      <c r="C24" s="14" t="s">
        <v>1083</v>
      </c>
      <c r="D24" s="15">
        <v>270000</v>
      </c>
      <c r="E24" s="16"/>
      <c r="F24" s="16"/>
      <c r="G24" s="16"/>
      <c r="H24" s="16"/>
      <c r="J24" s="12"/>
      <c r="K24" s="19" t="s">
        <v>883</v>
      </c>
      <c r="L24" s="14" t="s">
        <v>1083</v>
      </c>
      <c r="M24" s="15">
        <v>270000</v>
      </c>
      <c r="N24" s="16"/>
      <c r="O24" s="16"/>
      <c r="P24" s="16"/>
      <c r="Q24" s="16"/>
      <c r="S24" s="12"/>
      <c r="T24" s="19"/>
      <c r="U24" s="14"/>
      <c r="V24" s="15"/>
      <c r="W24" s="16"/>
      <c r="X24" s="16"/>
      <c r="Y24" s="16"/>
      <c r="Z24" s="16"/>
    </row>
    <row r="25" spans="1:26">
      <c r="A25" s="12"/>
      <c r="B25" s="19" t="s">
        <v>1084</v>
      </c>
      <c r="C25" s="14" t="s">
        <v>1085</v>
      </c>
      <c r="D25" s="15">
        <v>214500</v>
      </c>
      <c r="E25" s="16"/>
      <c r="F25" s="16"/>
      <c r="G25" s="16"/>
      <c r="H25" s="16"/>
      <c r="J25" s="12"/>
      <c r="K25" s="19" t="s">
        <v>1084</v>
      </c>
      <c r="L25" s="14" t="s">
        <v>1085</v>
      </c>
      <c r="M25" s="15">
        <v>214500</v>
      </c>
      <c r="N25" s="16"/>
      <c r="O25" s="16"/>
      <c r="P25" s="16"/>
      <c r="Q25" s="16"/>
      <c r="S25" s="12"/>
      <c r="T25" s="19"/>
      <c r="U25" s="14"/>
      <c r="V25" s="15"/>
      <c r="W25" s="16"/>
      <c r="X25" s="16"/>
      <c r="Y25" s="16"/>
      <c r="Z25" s="16"/>
    </row>
    <row r="26" spans="1:26">
      <c r="A26" s="12"/>
      <c r="B26" s="19" t="s">
        <v>1148</v>
      </c>
      <c r="C26" s="14" t="s">
        <v>1149</v>
      </c>
      <c r="D26" s="15">
        <v>70000</v>
      </c>
      <c r="E26" s="16"/>
      <c r="F26" s="16"/>
      <c r="G26" s="16"/>
      <c r="H26" s="16"/>
      <c r="J26" s="12"/>
      <c r="K26" s="19" t="s">
        <v>1148</v>
      </c>
      <c r="L26" s="14" t="s">
        <v>1149</v>
      </c>
      <c r="M26" s="15">
        <v>70000</v>
      </c>
      <c r="N26" s="16"/>
      <c r="O26" s="16"/>
      <c r="P26" s="16"/>
      <c r="Q26" s="16"/>
      <c r="S26" s="12"/>
      <c r="T26" s="19"/>
      <c r="U26" s="14"/>
      <c r="V26" s="15"/>
      <c r="W26" s="16"/>
      <c r="X26" s="16"/>
      <c r="Y26" s="16"/>
      <c r="Z26" s="16"/>
    </row>
    <row r="27" spans="1:26">
      <c r="A27" s="12"/>
      <c r="B27" s="19" t="s">
        <v>1148</v>
      </c>
      <c r="C27" s="14" t="s">
        <v>1150</v>
      </c>
      <c r="D27" s="15">
        <v>2000000</v>
      </c>
      <c r="E27" s="16"/>
      <c r="F27" s="16"/>
      <c r="G27" s="16"/>
      <c r="H27" s="16"/>
      <c r="J27" s="12"/>
      <c r="K27" s="19" t="s">
        <v>1148</v>
      </c>
      <c r="L27" s="14" t="s">
        <v>1150</v>
      </c>
      <c r="M27" s="15"/>
      <c r="N27" s="16"/>
      <c r="O27" s="16"/>
      <c r="P27" s="16"/>
      <c r="Q27" s="16"/>
      <c r="S27" s="12"/>
      <c r="T27" s="19" t="s">
        <v>1148</v>
      </c>
      <c r="U27" s="14" t="s">
        <v>1150</v>
      </c>
      <c r="V27" s="15">
        <v>1800000</v>
      </c>
      <c r="W27" s="16"/>
      <c r="X27" s="16"/>
      <c r="Y27" s="16"/>
      <c r="Z27" s="16"/>
    </row>
    <row r="28" spans="1:26">
      <c r="A28" s="12"/>
      <c r="B28" s="19" t="s">
        <v>1148</v>
      </c>
      <c r="C28" s="14" t="s">
        <v>1151</v>
      </c>
      <c r="D28" s="15">
        <v>2000000</v>
      </c>
      <c r="E28" s="16"/>
      <c r="F28" s="16"/>
      <c r="G28" s="16"/>
      <c r="H28" s="16"/>
      <c r="J28" s="12"/>
      <c r="K28" s="19" t="s">
        <v>1148</v>
      </c>
      <c r="L28" s="14" t="s">
        <v>1151</v>
      </c>
      <c r="M28" s="15"/>
      <c r="N28" s="16"/>
      <c r="O28" s="16"/>
      <c r="P28" s="16"/>
      <c r="Q28" s="16"/>
      <c r="S28" s="12"/>
      <c r="T28" s="19"/>
      <c r="U28" s="14"/>
      <c r="V28" s="15"/>
      <c r="W28" s="16"/>
      <c r="X28" s="16"/>
      <c r="Y28" s="16"/>
      <c r="Z28" s="16"/>
    </row>
    <row r="29" spans="1:26">
      <c r="A29" s="12"/>
      <c r="B29" s="19" t="s">
        <v>1148</v>
      </c>
      <c r="C29" s="14" t="s">
        <v>1152</v>
      </c>
      <c r="D29" s="15">
        <v>300000</v>
      </c>
      <c r="E29" s="16"/>
      <c r="F29" s="16"/>
      <c r="G29" s="16"/>
      <c r="H29" s="16"/>
      <c r="J29" s="12"/>
      <c r="K29" s="19" t="s">
        <v>1148</v>
      </c>
      <c r="L29" s="14" t="s">
        <v>1152</v>
      </c>
      <c r="M29" s="15"/>
      <c r="N29" s="16"/>
      <c r="O29" s="16"/>
      <c r="P29" s="16"/>
      <c r="Q29" s="16"/>
      <c r="S29" s="12"/>
      <c r="T29" s="19" t="s">
        <v>1148</v>
      </c>
      <c r="U29" s="14" t="s">
        <v>1152</v>
      </c>
      <c r="V29" s="15">
        <v>300000</v>
      </c>
      <c r="W29" s="16"/>
      <c r="X29" s="16"/>
      <c r="Y29" s="16"/>
      <c r="Z29" s="16"/>
    </row>
    <row r="30" spans="1:26">
      <c r="A30" s="12"/>
      <c r="B30" s="19" t="s">
        <v>1148</v>
      </c>
      <c r="C30" s="14" t="s">
        <v>1006</v>
      </c>
      <c r="D30" s="15">
        <v>300000</v>
      </c>
      <c r="E30" s="16"/>
      <c r="F30" s="16"/>
      <c r="G30" s="16"/>
      <c r="H30" s="16"/>
      <c r="J30" s="12"/>
      <c r="K30" s="19" t="s">
        <v>1148</v>
      </c>
      <c r="L30" s="14" t="s">
        <v>1006</v>
      </c>
      <c r="M30" s="15"/>
      <c r="N30" s="16"/>
      <c r="O30" s="16"/>
      <c r="P30" s="16"/>
      <c r="Q30" s="16"/>
      <c r="S30" s="12"/>
      <c r="T30" s="19" t="s">
        <v>1148</v>
      </c>
      <c r="U30" s="14" t="s">
        <v>1006</v>
      </c>
      <c r="V30" s="15">
        <v>300000</v>
      </c>
      <c r="W30" s="16"/>
      <c r="X30" s="16"/>
      <c r="Y30" s="16"/>
      <c r="Z30" s="16"/>
    </row>
    <row r="31" spans="1:26">
      <c r="A31" s="12"/>
      <c r="B31" s="19" t="s">
        <v>1148</v>
      </c>
      <c r="C31" s="14" t="s">
        <v>1153</v>
      </c>
      <c r="D31" s="15">
        <v>500000</v>
      </c>
      <c r="E31" s="16"/>
      <c r="F31" s="16"/>
      <c r="G31" s="16"/>
      <c r="H31" s="16"/>
      <c r="J31" s="12"/>
      <c r="K31" s="19" t="s">
        <v>1148</v>
      </c>
      <c r="L31" s="14" t="s">
        <v>1153</v>
      </c>
      <c r="M31" s="15"/>
      <c r="N31" s="16"/>
      <c r="O31" s="16"/>
      <c r="P31" s="16"/>
      <c r="Q31" s="16"/>
      <c r="S31" s="12"/>
      <c r="T31" s="19"/>
      <c r="U31" s="14"/>
      <c r="V31" s="15"/>
      <c r="W31" s="16"/>
      <c r="X31" s="16"/>
      <c r="Y31" s="16"/>
      <c r="Z31" s="16"/>
    </row>
    <row r="32" spans="1:26">
      <c r="A32" s="12"/>
      <c r="B32" s="19"/>
      <c r="C32" s="14"/>
      <c r="D32" s="15"/>
      <c r="E32" s="16"/>
      <c r="F32" s="16"/>
      <c r="G32" s="16"/>
      <c r="H32" s="16"/>
      <c r="J32" s="12"/>
      <c r="K32" s="19"/>
      <c r="L32" s="14"/>
      <c r="M32" s="15"/>
      <c r="N32" s="16"/>
      <c r="O32" s="16"/>
      <c r="P32" s="16"/>
      <c r="Q32" s="16"/>
      <c r="S32" s="12"/>
      <c r="T32" s="19"/>
      <c r="U32" s="14"/>
      <c r="V32" s="15"/>
      <c r="W32" s="16"/>
      <c r="X32" s="16"/>
      <c r="Y32" s="16"/>
      <c r="Z32" s="16"/>
    </row>
    <row r="33" spans="1:26">
      <c r="A33" s="18"/>
      <c r="B33" s="19"/>
      <c r="C33" s="364" t="s">
        <v>20</v>
      </c>
      <c r="D33" s="10">
        <f>SUM(D16:D32)</f>
        <v>9242500</v>
      </c>
      <c r="E33" s="10"/>
      <c r="F33" s="10"/>
      <c r="G33" s="10"/>
      <c r="H33" s="10"/>
      <c r="J33" s="18"/>
      <c r="K33" s="19"/>
      <c r="L33" s="367" t="s">
        <v>20</v>
      </c>
      <c r="M33" s="10">
        <f>SUM(M16:M32)</f>
        <v>2586500</v>
      </c>
      <c r="N33" s="10"/>
      <c r="O33" s="10"/>
      <c r="P33" s="10"/>
      <c r="Q33" s="10"/>
      <c r="S33" s="18"/>
      <c r="T33" s="19"/>
      <c r="U33" s="367" t="s">
        <v>20</v>
      </c>
      <c r="V33" s="10">
        <f>SUM(V16:V32)</f>
        <v>3856000</v>
      </c>
      <c r="W33" s="10"/>
      <c r="X33" s="10"/>
      <c r="Y33" s="10"/>
      <c r="Z33" s="10"/>
    </row>
    <row r="34" spans="1:26">
      <c r="A34" s="20"/>
      <c r="B34" s="362"/>
      <c r="C34" s="152" t="s">
        <v>21</v>
      </c>
      <c r="D34" s="150"/>
      <c r="E34" s="150"/>
      <c r="F34" s="150"/>
      <c r="G34" s="151"/>
      <c r="H34" s="21">
        <f>+D33</f>
        <v>9242500</v>
      </c>
      <c r="J34" s="20"/>
      <c r="K34" s="368"/>
      <c r="L34" s="152" t="s">
        <v>21</v>
      </c>
      <c r="M34" s="150"/>
      <c r="N34" s="150"/>
      <c r="O34" s="150"/>
      <c r="P34" s="151"/>
      <c r="Q34" s="21">
        <f>+M33</f>
        <v>2586500</v>
      </c>
      <c r="S34" s="20"/>
      <c r="T34" s="368"/>
      <c r="U34" s="152" t="s">
        <v>21</v>
      </c>
      <c r="V34" s="150"/>
      <c r="W34" s="150"/>
      <c r="X34" s="150"/>
      <c r="Y34" s="151"/>
      <c r="Z34" s="21">
        <f>+V33</f>
        <v>3856000</v>
      </c>
    </row>
    <row r="35" spans="1:26">
      <c r="A35" s="526" t="s">
        <v>22</v>
      </c>
      <c r="B35" s="526"/>
      <c r="C35" s="526"/>
      <c r="D35" s="526"/>
      <c r="E35" s="526">
        <f>+H34</f>
        <v>9242500</v>
      </c>
      <c r="F35" s="526"/>
      <c r="G35" s="526"/>
      <c r="H35" s="526"/>
      <c r="J35" s="526" t="s">
        <v>22</v>
      </c>
      <c r="K35" s="526"/>
      <c r="L35" s="526"/>
      <c r="M35" s="526"/>
      <c r="N35" s="526">
        <f>+Q34</f>
        <v>2586500</v>
      </c>
      <c r="O35" s="526"/>
      <c r="P35" s="526"/>
      <c r="Q35" s="526"/>
      <c r="S35" s="526" t="s">
        <v>22</v>
      </c>
      <c r="T35" s="526"/>
      <c r="U35" s="526"/>
      <c r="V35" s="526"/>
      <c r="W35" s="526">
        <f>+Z34</f>
        <v>3856000</v>
      </c>
      <c r="X35" s="526"/>
      <c r="Y35" s="526"/>
      <c r="Z35" s="526"/>
    </row>
    <row r="36" spans="1:26">
      <c r="A36" s="524" t="s">
        <v>23</v>
      </c>
      <c r="B36" s="524"/>
      <c r="C36" s="524"/>
      <c r="D36" s="524"/>
      <c r="E36" s="524"/>
      <c r="F36" s="524"/>
      <c r="G36" s="524"/>
      <c r="H36" s="524"/>
      <c r="J36" s="524" t="s">
        <v>23</v>
      </c>
      <c r="K36" s="524"/>
      <c r="L36" s="524"/>
      <c r="M36" s="524"/>
      <c r="N36" s="524"/>
      <c r="O36" s="524"/>
      <c r="P36" s="524"/>
      <c r="Q36" s="524"/>
      <c r="S36" s="524" t="s">
        <v>23</v>
      </c>
      <c r="T36" s="524"/>
      <c r="U36" s="524"/>
      <c r="V36" s="524"/>
      <c r="W36" s="524"/>
      <c r="X36" s="524"/>
      <c r="Y36" s="524"/>
      <c r="Z36" s="524"/>
    </row>
    <row r="37" spans="1:26">
      <c r="A37" s="12"/>
      <c r="B37" s="13" t="s">
        <v>1021</v>
      </c>
      <c r="C37" s="15" t="s">
        <v>1024</v>
      </c>
      <c r="D37" s="23">
        <v>4256000</v>
      </c>
      <c r="E37" s="22"/>
      <c r="F37" s="22"/>
      <c r="G37" s="16"/>
      <c r="H37" s="16"/>
      <c r="J37" s="12"/>
      <c r="K37" s="13" t="s">
        <v>1021</v>
      </c>
      <c r="L37" s="15" t="s">
        <v>1024</v>
      </c>
      <c r="M37" s="23">
        <v>4256000</v>
      </c>
      <c r="N37" s="22"/>
      <c r="O37" s="22"/>
      <c r="P37" s="16"/>
      <c r="Q37" s="16"/>
      <c r="S37" s="12"/>
      <c r="T37" s="13"/>
      <c r="U37" s="15"/>
      <c r="V37" s="23"/>
      <c r="W37" s="22"/>
      <c r="X37" s="22"/>
      <c r="Y37" s="16"/>
      <c r="Z37" s="16"/>
    </row>
    <row r="38" spans="1:26">
      <c r="A38" s="12"/>
      <c r="B38" s="13" t="s">
        <v>1022</v>
      </c>
      <c r="C38" s="15" t="s">
        <v>1025</v>
      </c>
      <c r="D38" s="23">
        <v>138000</v>
      </c>
      <c r="E38" s="22"/>
      <c r="F38" s="22"/>
      <c r="G38" s="16"/>
      <c r="H38" s="16"/>
      <c r="J38" s="12"/>
      <c r="K38" s="13" t="s">
        <v>1022</v>
      </c>
      <c r="L38" s="15" t="s">
        <v>1025</v>
      </c>
      <c r="M38" s="23">
        <v>138000</v>
      </c>
      <c r="N38" s="22"/>
      <c r="O38" s="22"/>
      <c r="P38" s="16"/>
      <c r="Q38" s="16"/>
      <c r="S38" s="12"/>
      <c r="T38" s="13"/>
      <c r="U38" s="15"/>
      <c r="V38" s="23"/>
      <c r="W38" s="22"/>
      <c r="X38" s="22"/>
      <c r="Y38" s="16"/>
      <c r="Z38" s="16"/>
    </row>
    <row r="39" spans="1:26">
      <c r="A39" s="12"/>
      <c r="B39" s="19" t="s">
        <v>1086</v>
      </c>
      <c r="C39" s="15" t="s">
        <v>1087</v>
      </c>
      <c r="D39" s="22">
        <v>30000</v>
      </c>
      <c r="E39" s="22"/>
      <c r="F39" s="22"/>
      <c r="G39" s="16"/>
      <c r="H39" s="16"/>
      <c r="J39" s="12"/>
      <c r="K39" s="19" t="s">
        <v>1086</v>
      </c>
      <c r="L39" s="15" t="s">
        <v>1087</v>
      </c>
      <c r="M39" s="22">
        <v>30000</v>
      </c>
      <c r="N39" s="22"/>
      <c r="O39" s="22"/>
      <c r="P39" s="16"/>
      <c r="Q39" s="16"/>
      <c r="S39" s="12"/>
      <c r="T39" s="19"/>
      <c r="U39" s="15"/>
      <c r="V39" s="22"/>
      <c r="W39" s="22"/>
      <c r="X39" s="22"/>
      <c r="Y39" s="16"/>
      <c r="Z39" s="16"/>
    </row>
    <row r="40" spans="1:26">
      <c r="A40" s="12"/>
      <c r="B40" s="19" t="s">
        <v>1088</v>
      </c>
      <c r="C40" s="15" t="s">
        <v>1090</v>
      </c>
      <c r="D40" s="23">
        <v>200000</v>
      </c>
      <c r="E40" s="22"/>
      <c r="F40" s="22"/>
      <c r="G40" s="16"/>
      <c r="H40" s="16"/>
      <c r="J40" s="12"/>
      <c r="K40" s="19" t="s">
        <v>1088</v>
      </c>
      <c r="L40" s="15" t="s">
        <v>1090</v>
      </c>
      <c r="M40" s="23">
        <v>200000</v>
      </c>
      <c r="N40" s="22"/>
      <c r="O40" s="22"/>
      <c r="P40" s="16"/>
      <c r="Q40" s="16"/>
      <c r="S40" s="12"/>
      <c r="T40" s="19"/>
      <c r="U40" s="15"/>
      <c r="V40" s="23"/>
      <c r="W40" s="22"/>
      <c r="X40" s="22"/>
      <c r="Y40" s="16"/>
      <c r="Z40" s="16"/>
    </row>
    <row r="41" spans="1:26">
      <c r="A41" s="12"/>
      <c r="B41" s="13" t="s">
        <v>1100</v>
      </c>
      <c r="C41" s="15" t="s">
        <v>1102</v>
      </c>
      <c r="D41" s="23">
        <v>200000</v>
      </c>
      <c r="E41" s="22"/>
      <c r="F41" s="22"/>
      <c r="G41" s="16"/>
      <c r="H41" s="16"/>
      <c r="J41" s="12"/>
      <c r="K41" s="13" t="s">
        <v>1100</v>
      </c>
      <c r="L41" s="15" t="s">
        <v>1102</v>
      </c>
      <c r="M41" s="23">
        <v>200000</v>
      </c>
      <c r="N41" s="22"/>
      <c r="O41" s="22"/>
      <c r="P41" s="16"/>
      <c r="Q41" s="16"/>
      <c r="S41" s="12"/>
      <c r="T41" s="13"/>
      <c r="U41" s="15"/>
      <c r="V41" s="23"/>
      <c r="W41" s="22"/>
      <c r="X41" s="22"/>
      <c r="Y41" s="16"/>
      <c r="Z41" s="16"/>
    </row>
    <row r="42" spans="1:26">
      <c r="A42" s="12"/>
      <c r="B42" s="13" t="s">
        <v>1138</v>
      </c>
      <c r="C42" s="15" t="s">
        <v>1139</v>
      </c>
      <c r="D42" s="23">
        <v>610000</v>
      </c>
      <c r="E42" s="22"/>
      <c r="F42" s="22"/>
      <c r="G42" s="16"/>
      <c r="H42" s="16"/>
      <c r="J42" s="12"/>
      <c r="K42" s="13" t="s">
        <v>1138</v>
      </c>
      <c r="L42" s="15" t="s">
        <v>1139</v>
      </c>
      <c r="M42" s="23">
        <v>610000</v>
      </c>
      <c r="N42" s="22"/>
      <c r="O42" s="22"/>
      <c r="P42" s="16"/>
      <c r="Q42" s="16"/>
      <c r="S42" s="12"/>
      <c r="T42" s="13"/>
      <c r="U42" s="15"/>
      <c r="V42" s="23"/>
      <c r="W42" s="22"/>
      <c r="X42" s="22"/>
      <c r="Y42" s="16"/>
      <c r="Z42" s="16"/>
    </row>
    <row r="43" spans="1:26">
      <c r="A43" s="12"/>
      <c r="B43" s="13" t="s">
        <v>1147</v>
      </c>
      <c r="C43" s="15" t="s">
        <v>1146</v>
      </c>
      <c r="D43" s="23">
        <v>500000</v>
      </c>
      <c r="E43" s="22"/>
      <c r="F43" s="22"/>
      <c r="G43" s="16"/>
      <c r="H43" s="16"/>
      <c r="J43" s="12"/>
      <c r="K43" s="13" t="s">
        <v>1147</v>
      </c>
      <c r="L43" s="15" t="s">
        <v>1146</v>
      </c>
      <c r="M43" s="23">
        <v>500000</v>
      </c>
      <c r="N43" s="22"/>
      <c r="O43" s="22"/>
      <c r="P43" s="16"/>
      <c r="Q43" s="16"/>
      <c r="S43" s="12"/>
      <c r="T43" s="13"/>
      <c r="U43" s="15"/>
      <c r="V43" s="23"/>
      <c r="W43" s="22"/>
      <c r="X43" s="22"/>
      <c r="Y43" s="16"/>
      <c r="Z43" s="16"/>
    </row>
    <row r="44" spans="1:26">
      <c r="A44" s="12"/>
      <c r="B44" s="13" t="s">
        <v>1154</v>
      </c>
      <c r="C44" s="15" t="s">
        <v>1155</v>
      </c>
      <c r="D44" s="23">
        <v>175000</v>
      </c>
      <c r="E44" s="22"/>
      <c r="F44" s="22"/>
      <c r="G44" s="16"/>
      <c r="H44" s="16"/>
      <c r="J44" s="12"/>
      <c r="K44" s="13" t="s">
        <v>1154</v>
      </c>
      <c r="L44" s="15" t="s">
        <v>1155</v>
      </c>
      <c r="M44" s="23">
        <v>175000</v>
      </c>
      <c r="N44" s="22"/>
      <c r="O44" s="22"/>
      <c r="P44" s="16"/>
      <c r="Q44" s="16"/>
      <c r="S44" s="12"/>
      <c r="T44" s="13"/>
      <c r="U44" s="15"/>
      <c r="V44" s="23"/>
      <c r="W44" s="22"/>
      <c r="X44" s="22"/>
      <c r="Y44" s="16"/>
      <c r="Z44" s="16"/>
    </row>
    <row r="45" spans="1:26">
      <c r="A45" s="12"/>
      <c r="B45" s="13" t="s">
        <v>1156</v>
      </c>
      <c r="C45" s="15" t="s">
        <v>1157</v>
      </c>
      <c r="D45" s="23">
        <v>7926000</v>
      </c>
      <c r="E45" s="22"/>
      <c r="F45" s="22"/>
      <c r="G45" s="16"/>
      <c r="H45" s="16"/>
      <c r="J45" s="12"/>
      <c r="K45" s="13" t="s">
        <v>1156</v>
      </c>
      <c r="L45" s="15" t="s">
        <v>1157</v>
      </c>
      <c r="M45" s="23">
        <v>7926000</v>
      </c>
      <c r="N45" s="22"/>
      <c r="O45" s="22"/>
      <c r="P45" s="16"/>
      <c r="Q45" s="16"/>
      <c r="S45" s="12"/>
      <c r="T45" s="13"/>
      <c r="U45" s="15"/>
      <c r="V45" s="23"/>
      <c r="W45" s="22"/>
      <c r="X45" s="22"/>
      <c r="Y45" s="16"/>
      <c r="Z45" s="16"/>
    </row>
    <row r="46" spans="1:26">
      <c r="A46" s="12"/>
      <c r="B46" s="13" t="s">
        <v>1156</v>
      </c>
      <c r="C46" s="15" t="s">
        <v>961</v>
      </c>
      <c r="D46" s="23">
        <v>450000</v>
      </c>
      <c r="E46" s="22"/>
      <c r="F46" s="22"/>
      <c r="G46" s="16"/>
      <c r="H46" s="16"/>
      <c r="J46" s="12"/>
      <c r="K46" s="13" t="s">
        <v>1156</v>
      </c>
      <c r="L46" s="15" t="s">
        <v>961</v>
      </c>
      <c r="M46" s="23">
        <v>450000</v>
      </c>
      <c r="N46" s="22"/>
      <c r="O46" s="22"/>
      <c r="P46" s="16"/>
      <c r="Q46" s="16"/>
      <c r="S46" s="12"/>
      <c r="T46" s="13"/>
      <c r="U46" s="15"/>
      <c r="V46" s="23"/>
      <c r="W46" s="22"/>
      <c r="X46" s="22"/>
      <c r="Y46" s="16"/>
      <c r="Z46" s="16"/>
    </row>
    <row r="47" spans="1:26">
      <c r="A47" s="12"/>
      <c r="B47" s="13" t="s">
        <v>1156</v>
      </c>
      <c r="C47" s="15" t="s">
        <v>1160</v>
      </c>
      <c r="D47" s="23">
        <v>65000</v>
      </c>
      <c r="E47" s="22"/>
      <c r="F47" s="22"/>
      <c r="G47" s="16"/>
      <c r="H47" s="16"/>
      <c r="J47" s="12"/>
      <c r="K47" s="13" t="s">
        <v>1156</v>
      </c>
      <c r="L47" s="15" t="s">
        <v>1160</v>
      </c>
      <c r="M47" s="23">
        <v>65000</v>
      </c>
      <c r="N47" s="22"/>
      <c r="O47" s="22"/>
      <c r="P47" s="16"/>
      <c r="Q47" s="16"/>
      <c r="S47" s="12"/>
      <c r="T47" s="13"/>
      <c r="U47" s="15"/>
      <c r="V47" s="23"/>
      <c r="W47" s="22"/>
      <c r="X47" s="22"/>
      <c r="Y47" s="16"/>
      <c r="Z47" s="16"/>
    </row>
    <row r="48" spans="1:26">
      <c r="A48" s="12"/>
      <c r="B48" s="13" t="s">
        <v>1156</v>
      </c>
      <c r="C48" s="15" t="s">
        <v>1159</v>
      </c>
      <c r="D48" s="23">
        <v>100000</v>
      </c>
      <c r="E48" s="22"/>
      <c r="F48" s="22"/>
      <c r="G48" s="16"/>
      <c r="H48" s="16"/>
      <c r="J48" s="12"/>
      <c r="K48" s="13" t="s">
        <v>1156</v>
      </c>
      <c r="L48" s="15" t="s">
        <v>1159</v>
      </c>
      <c r="M48" s="23">
        <v>100000</v>
      </c>
      <c r="N48" s="22"/>
      <c r="O48" s="22"/>
      <c r="P48" s="16"/>
      <c r="Q48" s="16"/>
      <c r="S48" s="12"/>
      <c r="T48" s="13"/>
      <c r="U48" s="15"/>
      <c r="V48" s="23"/>
      <c r="W48" s="22"/>
      <c r="X48" s="22"/>
      <c r="Y48" s="16"/>
      <c r="Z48" s="16"/>
    </row>
    <row r="49" spans="1:26">
      <c r="A49" s="12"/>
      <c r="B49" s="13" t="s">
        <v>1158</v>
      </c>
      <c r="C49" s="15" t="s">
        <v>1161</v>
      </c>
      <c r="D49" s="23">
        <v>1350000</v>
      </c>
      <c r="E49" s="22"/>
      <c r="F49" s="22"/>
      <c r="G49" s="16"/>
      <c r="H49" s="16"/>
      <c r="J49" s="12"/>
      <c r="K49" s="13" t="s">
        <v>1158</v>
      </c>
      <c r="L49" s="15" t="s">
        <v>1161</v>
      </c>
      <c r="M49" s="23">
        <v>1350000</v>
      </c>
      <c r="N49" s="22"/>
      <c r="O49" s="22"/>
      <c r="P49" s="16"/>
      <c r="Q49" s="16"/>
      <c r="S49" s="12"/>
      <c r="T49" s="13"/>
      <c r="U49" s="15"/>
      <c r="V49" s="23"/>
      <c r="W49" s="22"/>
      <c r="X49" s="22"/>
      <c r="Y49" s="16"/>
      <c r="Z49" s="16"/>
    </row>
    <row r="50" spans="1:26" ht="15" hidden="1" customHeight="1">
      <c r="A50" s="12"/>
      <c r="B50" s="13"/>
      <c r="C50" s="15"/>
      <c r="D50" s="23"/>
      <c r="E50" s="22"/>
      <c r="F50" s="22"/>
      <c r="G50" s="16"/>
      <c r="H50" s="16"/>
      <c r="J50" s="12"/>
      <c r="K50" s="13"/>
      <c r="L50" s="15"/>
      <c r="M50" s="23"/>
      <c r="N50" s="22"/>
      <c r="O50" s="22"/>
      <c r="P50" s="16"/>
      <c r="Q50" s="16"/>
      <c r="S50" s="12"/>
      <c r="T50" s="13"/>
      <c r="U50" s="15"/>
      <c r="V50" s="23"/>
      <c r="W50" s="22"/>
      <c r="X50" s="22"/>
      <c r="Y50" s="16"/>
      <c r="Z50" s="16"/>
    </row>
    <row r="51" spans="1:26" ht="15" hidden="1" customHeight="1">
      <c r="A51" s="12"/>
      <c r="B51" s="13"/>
      <c r="C51" s="15"/>
      <c r="D51" s="23"/>
      <c r="E51" s="22"/>
      <c r="F51" s="22"/>
      <c r="G51" s="16"/>
      <c r="H51" s="16"/>
      <c r="J51" s="12"/>
      <c r="K51" s="13"/>
      <c r="L51" s="15"/>
      <c r="M51" s="23"/>
      <c r="N51" s="22"/>
      <c r="O51" s="22"/>
      <c r="P51" s="16"/>
      <c r="Q51" s="16"/>
      <c r="S51" s="12"/>
      <c r="T51" s="13"/>
      <c r="U51" s="15"/>
      <c r="V51" s="23"/>
      <c r="W51" s="22"/>
      <c r="X51" s="22"/>
      <c r="Y51" s="16"/>
      <c r="Z51" s="16"/>
    </row>
    <row r="52" spans="1:26" ht="15" hidden="1" customHeight="1">
      <c r="A52" s="12"/>
      <c r="B52" s="13"/>
      <c r="C52" s="15"/>
      <c r="D52" s="23"/>
      <c r="E52" s="22"/>
      <c r="F52" s="22"/>
      <c r="G52" s="16"/>
      <c r="H52" s="16"/>
      <c r="J52" s="12"/>
      <c r="K52" s="13"/>
      <c r="L52" s="15"/>
      <c r="M52" s="23"/>
      <c r="N52" s="22"/>
      <c r="O52" s="22"/>
      <c r="P52" s="16"/>
      <c r="Q52" s="16"/>
      <c r="S52" s="12"/>
      <c r="T52" s="13"/>
      <c r="U52" s="15"/>
      <c r="V52" s="23"/>
      <c r="W52" s="22"/>
      <c r="X52" s="22"/>
      <c r="Y52" s="16"/>
      <c r="Z52" s="16"/>
    </row>
    <row r="53" spans="1:26" ht="15" hidden="1" customHeight="1">
      <c r="A53" s="12"/>
      <c r="B53" s="13"/>
      <c r="C53" s="15"/>
      <c r="D53" s="23"/>
      <c r="E53" s="22"/>
      <c r="F53" s="22"/>
      <c r="G53" s="16"/>
      <c r="H53" s="16"/>
      <c r="J53" s="12"/>
      <c r="K53" s="13"/>
      <c r="L53" s="15"/>
      <c r="M53" s="23"/>
      <c r="N53" s="22"/>
      <c r="O53" s="22"/>
      <c r="P53" s="16"/>
      <c r="Q53" s="16"/>
      <c r="S53" s="12"/>
      <c r="T53" s="13"/>
      <c r="U53" s="15"/>
      <c r="V53" s="23"/>
      <c r="W53" s="22"/>
      <c r="X53" s="22"/>
      <c r="Y53" s="16"/>
      <c r="Z53" s="16"/>
    </row>
    <row r="54" spans="1:26">
      <c r="A54" s="25"/>
      <c r="B54" s="19"/>
      <c r="C54" s="26" t="s">
        <v>24</v>
      </c>
      <c r="D54" s="27">
        <f>SUM(D37:D53)</f>
        <v>16000000</v>
      </c>
      <c r="E54" s="27"/>
      <c r="F54" s="27"/>
      <c r="G54" s="27"/>
      <c r="H54" s="27"/>
      <c r="J54" s="25"/>
      <c r="K54" s="19"/>
      <c r="L54" s="26" t="s">
        <v>24</v>
      </c>
      <c r="M54" s="27">
        <f>SUM(M37:M53)</f>
        <v>16000000</v>
      </c>
      <c r="N54" s="27"/>
      <c r="O54" s="27"/>
      <c r="P54" s="27"/>
      <c r="Q54" s="27"/>
      <c r="S54" s="25"/>
      <c r="T54" s="19"/>
      <c r="U54" s="26" t="s">
        <v>24</v>
      </c>
      <c r="V54" s="27">
        <f>SUM(V37:V53)</f>
        <v>0</v>
      </c>
      <c r="W54" s="27"/>
      <c r="X54" s="27"/>
      <c r="Y54" s="27"/>
      <c r="Z54" s="27"/>
    </row>
    <row r="55" spans="1:26">
      <c r="A55" s="20"/>
      <c r="B55" s="19"/>
      <c r="C55" s="364" t="s">
        <v>21</v>
      </c>
      <c r="D55" s="10"/>
      <c r="E55" s="530">
        <f>D54</f>
        <v>16000000</v>
      </c>
      <c r="F55" s="530"/>
      <c r="G55" s="530"/>
      <c r="H55" s="530"/>
      <c r="J55" s="20"/>
      <c r="K55" s="19"/>
      <c r="L55" s="367" t="s">
        <v>21</v>
      </c>
      <c r="M55" s="10"/>
      <c r="N55" s="530">
        <f>M54</f>
        <v>16000000</v>
      </c>
      <c r="O55" s="530"/>
      <c r="P55" s="530"/>
      <c r="Q55" s="530"/>
      <c r="S55" s="20"/>
      <c r="T55" s="19"/>
      <c r="U55" s="367" t="s">
        <v>21</v>
      </c>
      <c r="V55" s="10"/>
      <c r="W55" s="530">
        <f>V54</f>
        <v>0</v>
      </c>
      <c r="X55" s="530"/>
      <c r="Y55" s="530"/>
      <c r="Z55" s="530"/>
    </row>
    <row r="56" spans="1:26">
      <c r="A56" s="524" t="s">
        <v>1029</v>
      </c>
      <c r="B56" s="524"/>
      <c r="C56" s="524"/>
      <c r="D56" s="524"/>
      <c r="E56" s="524"/>
      <c r="F56" s="524"/>
      <c r="G56" s="524"/>
      <c r="H56" s="524"/>
      <c r="J56" s="524" t="s">
        <v>1029</v>
      </c>
      <c r="K56" s="524"/>
      <c r="L56" s="524"/>
      <c r="M56" s="524"/>
      <c r="N56" s="524"/>
      <c r="O56" s="524"/>
      <c r="P56" s="524"/>
      <c r="Q56" s="524"/>
      <c r="S56" s="524" t="s">
        <v>1029</v>
      </c>
      <c r="T56" s="524"/>
      <c r="U56" s="524"/>
      <c r="V56" s="524"/>
      <c r="W56" s="524"/>
      <c r="X56" s="524"/>
      <c r="Y56" s="524"/>
      <c r="Z56" s="524"/>
    </row>
    <row r="57" spans="1:26">
      <c r="A57" s="28"/>
      <c r="B57" s="188" t="s">
        <v>1030</v>
      </c>
      <c r="C57" s="23" t="s">
        <v>1031</v>
      </c>
      <c r="D57" s="23">
        <v>117000</v>
      </c>
      <c r="E57" s="28"/>
      <c r="F57" s="28"/>
      <c r="G57" s="28"/>
      <c r="H57" s="28"/>
      <c r="J57" s="28"/>
      <c r="K57" s="188" t="s">
        <v>1030</v>
      </c>
      <c r="L57" s="23" t="s">
        <v>1031</v>
      </c>
      <c r="M57" s="23">
        <v>117000</v>
      </c>
      <c r="N57" s="28"/>
      <c r="O57" s="28"/>
      <c r="P57" s="28"/>
      <c r="Q57" s="28"/>
      <c r="S57" s="28"/>
      <c r="T57" s="188"/>
      <c r="U57" s="23"/>
      <c r="V57" s="23"/>
      <c r="W57" s="28"/>
      <c r="X57" s="28"/>
      <c r="Y57" s="28"/>
      <c r="Z57" s="28"/>
    </row>
    <row r="58" spans="1:26" ht="15" hidden="1" customHeight="1">
      <c r="A58" s="28"/>
      <c r="B58" s="23"/>
      <c r="C58" s="23"/>
      <c r="D58" s="23"/>
      <c r="E58" s="28"/>
      <c r="F58" s="28"/>
      <c r="G58" s="28"/>
      <c r="H58" s="28"/>
      <c r="J58" s="28"/>
      <c r="K58" s="23"/>
      <c r="L58" s="23"/>
      <c r="M58" s="23"/>
      <c r="N58" s="28"/>
      <c r="O58" s="28"/>
      <c r="P58" s="28"/>
      <c r="Q58" s="28"/>
      <c r="S58" s="28"/>
      <c r="T58" s="23"/>
      <c r="U58" s="23"/>
      <c r="V58" s="23"/>
      <c r="W58" s="28"/>
      <c r="X58" s="28"/>
      <c r="Y58" s="28"/>
      <c r="Z58" s="28"/>
    </row>
    <row r="59" spans="1:26" ht="15" hidden="1" customHeight="1">
      <c r="A59" s="28"/>
      <c r="B59" s="188"/>
      <c r="C59" s="23"/>
      <c r="D59" s="23"/>
      <c r="E59" s="28"/>
      <c r="F59" s="28"/>
      <c r="G59" s="28"/>
      <c r="H59" s="28"/>
      <c r="J59" s="28"/>
      <c r="K59" s="188"/>
      <c r="L59" s="23"/>
      <c r="M59" s="23"/>
      <c r="N59" s="28"/>
      <c r="O59" s="28"/>
      <c r="P59" s="28"/>
      <c r="Q59" s="28"/>
      <c r="S59" s="28"/>
      <c r="T59" s="188"/>
      <c r="U59" s="23"/>
      <c r="V59" s="23"/>
      <c r="W59" s="28"/>
      <c r="X59" s="28"/>
      <c r="Y59" s="28"/>
      <c r="Z59" s="28"/>
    </row>
    <row r="60" spans="1:26">
      <c r="A60" s="12"/>
      <c r="B60" s="13"/>
      <c r="C60" s="26" t="s">
        <v>448</v>
      </c>
      <c r="D60" s="27">
        <f>SUM(D57:D59)</f>
        <v>117000</v>
      </c>
      <c r="E60" s="27">
        <v>0</v>
      </c>
      <c r="F60" s="27">
        <v>0</v>
      </c>
      <c r="G60" s="27"/>
      <c r="H60" s="27"/>
      <c r="J60" s="12"/>
      <c r="K60" s="13"/>
      <c r="L60" s="26" t="s">
        <v>448</v>
      </c>
      <c r="M60" s="27">
        <f>SUM(M57:M59)</f>
        <v>117000</v>
      </c>
      <c r="N60" s="27">
        <v>0</v>
      </c>
      <c r="O60" s="27">
        <v>0</v>
      </c>
      <c r="P60" s="27"/>
      <c r="Q60" s="27"/>
      <c r="S60" s="12"/>
      <c r="T60" s="13"/>
      <c r="U60" s="26" t="s">
        <v>448</v>
      </c>
      <c r="V60" s="27">
        <f>SUM(V57:V59)</f>
        <v>0</v>
      </c>
      <c r="W60" s="27">
        <v>0</v>
      </c>
      <c r="X60" s="27">
        <v>0</v>
      </c>
      <c r="Y60" s="27"/>
      <c r="Z60" s="27"/>
    </row>
    <row r="61" spans="1:26">
      <c r="A61" s="20"/>
      <c r="B61" s="19"/>
      <c r="C61" s="364" t="s">
        <v>21</v>
      </c>
      <c r="D61" s="10"/>
      <c r="E61" s="530">
        <f>D60</f>
        <v>117000</v>
      </c>
      <c r="F61" s="530"/>
      <c r="G61" s="530"/>
      <c r="H61" s="530"/>
      <c r="J61" s="20"/>
      <c r="K61" s="19"/>
      <c r="L61" s="367" t="s">
        <v>21</v>
      </c>
      <c r="M61" s="10"/>
      <c r="N61" s="530">
        <f>M60</f>
        <v>117000</v>
      </c>
      <c r="O61" s="530"/>
      <c r="P61" s="530"/>
      <c r="Q61" s="530"/>
      <c r="S61" s="20"/>
      <c r="T61" s="19"/>
      <c r="U61" s="367" t="s">
        <v>21</v>
      </c>
      <c r="V61" s="10"/>
      <c r="W61" s="530">
        <f>V60</f>
        <v>0</v>
      </c>
      <c r="X61" s="530"/>
      <c r="Y61" s="530"/>
      <c r="Z61" s="530"/>
    </row>
    <row r="62" spans="1:26" ht="15" hidden="1" customHeight="1">
      <c r="A62" s="524" t="s">
        <v>1133</v>
      </c>
      <c r="B62" s="524"/>
      <c r="C62" s="524"/>
      <c r="D62" s="524"/>
      <c r="E62" s="524"/>
      <c r="F62" s="524"/>
      <c r="G62" s="524"/>
      <c r="H62" s="524"/>
      <c r="J62" s="524" t="s">
        <v>1133</v>
      </c>
      <c r="K62" s="524"/>
      <c r="L62" s="524"/>
      <c r="M62" s="524"/>
      <c r="N62" s="524"/>
      <c r="O62" s="524"/>
      <c r="P62" s="524"/>
      <c r="Q62" s="524"/>
      <c r="S62" s="524" t="s">
        <v>1133</v>
      </c>
      <c r="T62" s="524"/>
      <c r="U62" s="524"/>
      <c r="V62" s="524"/>
      <c r="W62" s="524"/>
      <c r="X62" s="524"/>
      <c r="Y62" s="524"/>
      <c r="Z62" s="524"/>
    </row>
    <row r="63" spans="1:26" ht="15" hidden="1" customHeight="1">
      <c r="A63" s="28"/>
      <c r="B63" s="19"/>
      <c r="C63" s="23"/>
      <c r="D63" s="23"/>
      <c r="E63" s="28"/>
      <c r="F63" s="28"/>
      <c r="G63" s="28"/>
      <c r="H63" s="28"/>
      <c r="J63" s="28"/>
      <c r="K63" s="19"/>
      <c r="L63" s="23"/>
      <c r="M63" s="23"/>
      <c r="N63" s="28"/>
      <c r="O63" s="28"/>
      <c r="P63" s="28"/>
      <c r="Q63" s="28"/>
      <c r="S63" s="28"/>
      <c r="T63" s="19"/>
      <c r="U63" s="23"/>
      <c r="V63" s="23"/>
      <c r="W63" s="28"/>
      <c r="X63" s="28"/>
      <c r="Y63" s="28"/>
      <c r="Z63" s="28"/>
    </row>
    <row r="64" spans="1:26" ht="15" hidden="1" customHeight="1">
      <c r="A64" s="28"/>
      <c r="B64" s="19"/>
      <c r="C64" s="23"/>
      <c r="D64" s="23"/>
      <c r="E64" s="28"/>
      <c r="F64" s="28"/>
      <c r="G64" s="28"/>
      <c r="H64" s="28"/>
      <c r="J64" s="28"/>
      <c r="K64" s="19"/>
      <c r="L64" s="23"/>
      <c r="M64" s="23"/>
      <c r="N64" s="28"/>
      <c r="O64" s="28"/>
      <c r="P64" s="28"/>
      <c r="Q64" s="28"/>
      <c r="S64" s="28"/>
      <c r="T64" s="19"/>
      <c r="U64" s="23"/>
      <c r="V64" s="23"/>
      <c r="W64" s="28"/>
      <c r="X64" s="28"/>
      <c r="Y64" s="28"/>
      <c r="Z64" s="28"/>
    </row>
    <row r="65" spans="1:26" ht="15" hidden="1" customHeight="1">
      <c r="A65" s="28"/>
      <c r="B65" s="19"/>
      <c r="C65" s="23"/>
      <c r="D65" s="23"/>
      <c r="E65" s="28"/>
      <c r="F65" s="28"/>
      <c r="G65" s="28"/>
      <c r="H65" s="28"/>
      <c r="J65" s="28"/>
      <c r="K65" s="19"/>
      <c r="L65" s="23"/>
      <c r="M65" s="23"/>
      <c r="N65" s="28"/>
      <c r="O65" s="28"/>
      <c r="P65" s="28"/>
      <c r="Q65" s="28"/>
      <c r="S65" s="28"/>
      <c r="T65" s="19"/>
      <c r="U65" s="23"/>
      <c r="V65" s="23"/>
      <c r="W65" s="28"/>
      <c r="X65" s="28"/>
      <c r="Y65" s="28"/>
      <c r="Z65" s="28"/>
    </row>
    <row r="66" spans="1:26" ht="15" hidden="1" customHeight="1">
      <c r="A66" s="28"/>
      <c r="B66" s="23"/>
      <c r="C66" s="23"/>
      <c r="D66" s="23"/>
      <c r="E66" s="28"/>
      <c r="F66" s="28"/>
      <c r="G66" s="28"/>
      <c r="H66" s="28"/>
      <c r="J66" s="28"/>
      <c r="K66" s="23"/>
      <c r="L66" s="23"/>
      <c r="M66" s="23"/>
      <c r="N66" s="28"/>
      <c r="O66" s="28"/>
      <c r="P66" s="28"/>
      <c r="Q66" s="28"/>
      <c r="S66" s="28"/>
      <c r="T66" s="23"/>
      <c r="U66" s="23"/>
      <c r="V66" s="23"/>
      <c r="W66" s="28"/>
      <c r="X66" s="28"/>
      <c r="Y66" s="28"/>
      <c r="Z66" s="28"/>
    </row>
    <row r="67" spans="1:26" ht="15" hidden="1" customHeight="1">
      <c r="A67" s="28"/>
      <c r="B67" s="23"/>
      <c r="C67" s="23"/>
      <c r="D67" s="23"/>
      <c r="E67" s="28"/>
      <c r="F67" s="28"/>
      <c r="G67" s="28"/>
      <c r="H67" s="28"/>
      <c r="J67" s="28"/>
      <c r="K67" s="23"/>
      <c r="L67" s="23"/>
      <c r="M67" s="23"/>
      <c r="N67" s="28"/>
      <c r="O67" s="28"/>
      <c r="P67" s="28"/>
      <c r="Q67" s="28"/>
      <c r="S67" s="28"/>
      <c r="T67" s="23"/>
      <c r="U67" s="23"/>
      <c r="V67" s="23"/>
      <c r="W67" s="28"/>
      <c r="X67" s="28"/>
      <c r="Y67" s="28"/>
      <c r="Z67" s="28"/>
    </row>
    <row r="68" spans="1:26" ht="15" hidden="1" customHeight="1">
      <c r="A68" s="12"/>
      <c r="B68" s="13"/>
      <c r="C68" s="26" t="s">
        <v>896</v>
      </c>
      <c r="D68" s="27">
        <f>SUM(D63:D66)</f>
        <v>0</v>
      </c>
      <c r="E68" s="27">
        <v>0</v>
      </c>
      <c r="F68" s="27">
        <v>0</v>
      </c>
      <c r="G68" s="27"/>
      <c r="H68" s="27"/>
      <c r="J68" s="12"/>
      <c r="K68" s="13"/>
      <c r="L68" s="26" t="s">
        <v>896</v>
      </c>
      <c r="M68" s="27">
        <f>SUM(M63:M66)</f>
        <v>0</v>
      </c>
      <c r="N68" s="27">
        <v>0</v>
      </c>
      <c r="O68" s="27">
        <v>0</v>
      </c>
      <c r="P68" s="27"/>
      <c r="Q68" s="27"/>
      <c r="S68" s="12"/>
      <c r="T68" s="13"/>
      <c r="U68" s="26" t="s">
        <v>896</v>
      </c>
      <c r="V68" s="27">
        <f>SUM(V63:V66)</f>
        <v>0</v>
      </c>
      <c r="W68" s="27">
        <v>0</v>
      </c>
      <c r="X68" s="27">
        <v>0</v>
      </c>
      <c r="Y68" s="27"/>
      <c r="Z68" s="27"/>
    </row>
    <row r="69" spans="1:26" ht="15" hidden="1" customHeight="1">
      <c r="A69" s="20"/>
      <c r="B69" s="19"/>
      <c r="C69" s="364" t="s">
        <v>21</v>
      </c>
      <c r="D69" s="10"/>
      <c r="E69" s="530">
        <f>D68</f>
        <v>0</v>
      </c>
      <c r="F69" s="530"/>
      <c r="G69" s="530"/>
      <c r="H69" s="530"/>
      <c r="J69" s="20"/>
      <c r="K69" s="19"/>
      <c r="L69" s="367" t="s">
        <v>21</v>
      </c>
      <c r="M69" s="10"/>
      <c r="N69" s="530">
        <f>M68</f>
        <v>0</v>
      </c>
      <c r="O69" s="530"/>
      <c r="P69" s="530"/>
      <c r="Q69" s="530"/>
      <c r="S69" s="20"/>
      <c r="T69" s="19"/>
      <c r="U69" s="367" t="s">
        <v>21</v>
      </c>
      <c r="V69" s="10"/>
      <c r="W69" s="530">
        <f>V68</f>
        <v>0</v>
      </c>
      <c r="X69" s="530"/>
      <c r="Y69" s="530"/>
      <c r="Z69" s="530"/>
    </row>
    <row r="70" spans="1:26">
      <c r="A70" s="524" t="s">
        <v>54</v>
      </c>
      <c r="B70" s="524"/>
      <c r="C70" s="524"/>
      <c r="D70" s="524"/>
      <c r="E70" s="524"/>
      <c r="F70" s="524"/>
      <c r="G70" s="524"/>
      <c r="H70" s="524"/>
      <c r="J70" s="524" t="s">
        <v>54</v>
      </c>
      <c r="K70" s="524"/>
      <c r="L70" s="524"/>
      <c r="M70" s="524"/>
      <c r="N70" s="524"/>
      <c r="O70" s="524"/>
      <c r="P70" s="524"/>
      <c r="Q70" s="524"/>
      <c r="S70" s="524" t="s">
        <v>54</v>
      </c>
      <c r="T70" s="524"/>
      <c r="U70" s="524"/>
      <c r="V70" s="524"/>
      <c r="W70" s="524"/>
      <c r="X70" s="524"/>
      <c r="Y70" s="524"/>
      <c r="Z70" s="524"/>
    </row>
    <row r="71" spans="1:26">
      <c r="A71" s="28"/>
      <c r="B71" s="23" t="s">
        <v>967</v>
      </c>
      <c r="C71" s="23" t="s">
        <v>1038</v>
      </c>
      <c r="D71" s="23">
        <v>20000000</v>
      </c>
      <c r="E71" s="28"/>
      <c r="F71" s="28"/>
      <c r="G71" s="28"/>
      <c r="H71" s="28"/>
      <c r="J71" s="28"/>
      <c r="K71" s="23" t="s">
        <v>967</v>
      </c>
      <c r="L71" s="23" t="s">
        <v>1038</v>
      </c>
      <c r="M71" s="23">
        <v>20000000</v>
      </c>
      <c r="N71" s="28"/>
      <c r="O71" s="28"/>
      <c r="P71" s="28"/>
      <c r="Q71" s="28"/>
      <c r="S71" s="28"/>
      <c r="T71" s="23"/>
      <c r="U71" s="23"/>
      <c r="V71" s="23"/>
      <c r="W71" s="28"/>
      <c r="X71" s="28"/>
      <c r="Y71" s="28"/>
      <c r="Z71" s="28"/>
    </row>
    <row r="72" spans="1:26">
      <c r="A72" s="28"/>
      <c r="B72" s="23" t="s">
        <v>1032</v>
      </c>
      <c r="C72" s="23" t="s">
        <v>1034</v>
      </c>
      <c r="D72" s="23">
        <v>1524000</v>
      </c>
      <c r="E72" s="28"/>
      <c r="F72" s="28"/>
      <c r="G72" s="28"/>
      <c r="H72" s="28"/>
      <c r="J72" s="28"/>
      <c r="K72" s="23"/>
      <c r="L72" s="23"/>
      <c r="M72" s="23"/>
      <c r="N72" s="28"/>
      <c r="O72" s="28"/>
      <c r="P72" s="28"/>
      <c r="Q72" s="28"/>
      <c r="S72" s="28"/>
      <c r="T72" s="23" t="s">
        <v>1032</v>
      </c>
      <c r="U72" s="23" t="s">
        <v>1034</v>
      </c>
      <c r="V72" s="23">
        <v>1524000</v>
      </c>
      <c r="W72" s="28"/>
      <c r="X72" s="28"/>
      <c r="Y72" s="28"/>
      <c r="Z72" s="28"/>
    </row>
    <row r="73" spans="1:26">
      <c r="A73" s="28"/>
      <c r="B73" s="23" t="s">
        <v>1035</v>
      </c>
      <c r="C73" s="23" t="s">
        <v>1037</v>
      </c>
      <c r="D73" s="23">
        <v>11226000</v>
      </c>
      <c r="E73" s="28"/>
      <c r="F73" s="28"/>
      <c r="G73" s="28"/>
      <c r="H73" s="28"/>
      <c r="J73" s="28"/>
      <c r="K73" s="23"/>
      <c r="L73" s="23"/>
      <c r="M73" s="23"/>
      <c r="N73" s="28"/>
      <c r="O73" s="28"/>
      <c r="P73" s="28"/>
      <c r="Q73" s="28"/>
      <c r="S73" s="28"/>
      <c r="T73" s="23" t="s">
        <v>1035</v>
      </c>
      <c r="U73" s="23" t="s">
        <v>1037</v>
      </c>
      <c r="V73" s="23">
        <f>11379500-10000000</f>
        <v>1379500</v>
      </c>
      <c r="W73" s="28"/>
      <c r="X73" s="28"/>
      <c r="Y73" s="28"/>
      <c r="Z73" s="28"/>
    </row>
    <row r="74" spans="1:26">
      <c r="A74" s="28"/>
      <c r="B74" s="23" t="s">
        <v>1035</v>
      </c>
      <c r="C74" s="23" t="s">
        <v>1036</v>
      </c>
      <c r="D74" s="23">
        <v>810000</v>
      </c>
      <c r="E74" s="28"/>
      <c r="F74" s="28"/>
      <c r="G74" s="28"/>
      <c r="H74" s="28"/>
      <c r="J74" s="28"/>
      <c r="K74" s="23"/>
      <c r="L74" s="23"/>
      <c r="M74" s="23"/>
      <c r="N74" s="28"/>
      <c r="O74" s="28"/>
      <c r="P74" s="28"/>
      <c r="Q74" s="28"/>
      <c r="S74" s="28"/>
      <c r="T74" s="23" t="s">
        <v>1035</v>
      </c>
      <c r="U74" s="23" t="s">
        <v>1036</v>
      </c>
      <c r="V74" s="23">
        <v>810000</v>
      </c>
      <c r="W74" s="28"/>
      <c r="X74" s="28"/>
      <c r="Y74" s="28"/>
      <c r="Z74" s="28"/>
    </row>
    <row r="75" spans="1:26">
      <c r="A75" s="12"/>
      <c r="B75" s="23" t="s">
        <v>1039</v>
      </c>
      <c r="C75" s="23" t="s">
        <v>1044</v>
      </c>
      <c r="D75" s="23">
        <v>300000</v>
      </c>
      <c r="E75" s="364"/>
      <c r="F75" s="364"/>
      <c r="G75" s="364"/>
      <c r="H75" s="364"/>
      <c r="J75" s="12"/>
      <c r="K75" s="23"/>
      <c r="L75" s="23"/>
      <c r="M75" s="23"/>
      <c r="N75" s="367"/>
      <c r="O75" s="367"/>
      <c r="P75" s="367"/>
      <c r="Q75" s="367"/>
      <c r="S75" s="12"/>
      <c r="T75" s="23" t="s">
        <v>1039</v>
      </c>
      <c r="U75" s="23" t="s">
        <v>1044</v>
      </c>
      <c r="V75" s="23">
        <v>300000</v>
      </c>
      <c r="W75" s="367"/>
      <c r="X75" s="367"/>
      <c r="Y75" s="367"/>
      <c r="Z75" s="367"/>
    </row>
    <row r="76" spans="1:26">
      <c r="A76" s="12"/>
      <c r="B76" s="23" t="s">
        <v>1039</v>
      </c>
      <c r="C76" s="24" t="s">
        <v>1046</v>
      </c>
      <c r="D76" s="23">
        <v>1050000</v>
      </c>
      <c r="E76" s="364"/>
      <c r="F76" s="364"/>
      <c r="G76" s="364"/>
      <c r="H76" s="364"/>
      <c r="J76" s="12"/>
      <c r="K76" s="23"/>
      <c r="L76" s="24"/>
      <c r="M76" s="23"/>
      <c r="N76" s="367"/>
      <c r="O76" s="367"/>
      <c r="P76" s="367"/>
      <c r="Q76" s="367"/>
      <c r="S76" s="12"/>
      <c r="T76" s="23" t="s">
        <v>1039</v>
      </c>
      <c r="U76" s="24" t="s">
        <v>1046</v>
      </c>
      <c r="V76" s="23">
        <v>1050000</v>
      </c>
      <c r="W76" s="367"/>
      <c r="X76" s="367"/>
      <c r="Y76" s="367"/>
      <c r="Z76" s="367"/>
    </row>
    <row r="77" spans="1:26">
      <c r="A77" s="12"/>
      <c r="B77" s="22" t="s">
        <v>1065</v>
      </c>
      <c r="C77" s="22" t="s">
        <v>1066</v>
      </c>
      <c r="D77" s="22">
        <v>12208500</v>
      </c>
      <c r="E77" s="364"/>
      <c r="F77" s="364"/>
      <c r="G77" s="364"/>
      <c r="H77" s="364"/>
      <c r="J77" s="12"/>
      <c r="K77" s="22"/>
      <c r="L77" s="22"/>
      <c r="M77" s="22"/>
      <c r="N77" s="367"/>
      <c r="O77" s="367"/>
      <c r="P77" s="367"/>
      <c r="Q77" s="367"/>
      <c r="S77" s="12"/>
      <c r="T77" s="22" t="s">
        <v>1065</v>
      </c>
      <c r="U77" s="22" t="s">
        <v>1066</v>
      </c>
      <c r="V77" s="22">
        <f>12208500-3000000-5000000</f>
        <v>4208500</v>
      </c>
      <c r="W77" s="367"/>
      <c r="X77" s="367"/>
      <c r="Y77" s="367"/>
      <c r="Z77" s="367"/>
    </row>
    <row r="78" spans="1:26">
      <c r="A78" s="12"/>
      <c r="B78" s="13" t="s">
        <v>1065</v>
      </c>
      <c r="C78" s="22" t="s">
        <v>1070</v>
      </c>
      <c r="D78" s="22">
        <v>50000</v>
      </c>
      <c r="E78" s="364"/>
      <c r="F78" s="364"/>
      <c r="G78" s="364"/>
      <c r="H78" s="364"/>
      <c r="J78" s="12"/>
      <c r="K78" s="13"/>
      <c r="L78" s="22"/>
      <c r="M78" s="22"/>
      <c r="N78" s="367"/>
      <c r="O78" s="367"/>
      <c r="P78" s="367"/>
      <c r="Q78" s="367"/>
      <c r="S78" s="12"/>
      <c r="T78" s="13" t="s">
        <v>1065</v>
      </c>
      <c r="U78" s="22" t="s">
        <v>1070</v>
      </c>
      <c r="V78" s="22">
        <v>50000</v>
      </c>
      <c r="W78" s="367"/>
      <c r="X78" s="367"/>
      <c r="Y78" s="367"/>
      <c r="Z78" s="367"/>
    </row>
    <row r="79" spans="1:26">
      <c r="A79" s="12"/>
      <c r="B79" s="23" t="s">
        <v>1103</v>
      </c>
      <c r="C79" s="23" t="s">
        <v>1104</v>
      </c>
      <c r="D79" s="23">
        <v>565000</v>
      </c>
      <c r="E79" s="364"/>
      <c r="F79" s="364"/>
      <c r="G79" s="364"/>
      <c r="H79" s="364"/>
      <c r="J79" s="12"/>
      <c r="K79" s="23"/>
      <c r="L79" s="23"/>
      <c r="M79" s="23"/>
      <c r="N79" s="367"/>
      <c r="O79" s="367"/>
      <c r="P79" s="367"/>
      <c r="Q79" s="367"/>
      <c r="S79" s="12"/>
      <c r="T79" s="23" t="s">
        <v>1103</v>
      </c>
      <c r="U79" s="23" t="s">
        <v>1104</v>
      </c>
      <c r="V79" s="23">
        <v>565000</v>
      </c>
      <c r="W79" s="367"/>
      <c r="X79" s="367"/>
      <c r="Y79" s="367"/>
      <c r="Z79" s="367"/>
    </row>
    <row r="80" spans="1:26">
      <c r="A80" s="12"/>
      <c r="B80" s="23" t="s">
        <v>1105</v>
      </c>
      <c r="C80" s="23" t="s">
        <v>1106</v>
      </c>
      <c r="D80" s="23">
        <v>50000</v>
      </c>
      <c r="E80" s="364"/>
      <c r="F80" s="364"/>
      <c r="G80" s="364"/>
      <c r="H80" s="364"/>
      <c r="J80" s="12"/>
      <c r="K80" s="23"/>
      <c r="L80" s="23"/>
      <c r="M80" s="23"/>
      <c r="N80" s="367"/>
      <c r="O80" s="367"/>
      <c r="P80" s="367"/>
      <c r="Q80" s="367"/>
      <c r="S80" s="12"/>
      <c r="T80" s="23" t="s">
        <v>1105</v>
      </c>
      <c r="U80" s="23" t="s">
        <v>1106</v>
      </c>
      <c r="V80" s="23">
        <v>50000</v>
      </c>
      <c r="W80" s="367"/>
      <c r="X80" s="367"/>
      <c r="Y80" s="367"/>
      <c r="Z80" s="367"/>
    </row>
    <row r="81" spans="1:26">
      <c r="A81" s="12"/>
      <c r="B81" s="23" t="s">
        <v>1105</v>
      </c>
      <c r="C81" s="24" t="s">
        <v>1107</v>
      </c>
      <c r="D81" s="23">
        <v>50000</v>
      </c>
      <c r="E81" s="364"/>
      <c r="F81" s="364"/>
      <c r="G81" s="364"/>
      <c r="H81" s="364"/>
      <c r="J81" s="12"/>
      <c r="K81" s="23"/>
      <c r="L81" s="24"/>
      <c r="M81" s="23"/>
      <c r="N81" s="367"/>
      <c r="O81" s="367"/>
      <c r="P81" s="367"/>
      <c r="Q81" s="367"/>
      <c r="S81" s="12"/>
      <c r="T81" s="23" t="s">
        <v>1105</v>
      </c>
      <c r="U81" s="24" t="s">
        <v>1107</v>
      </c>
      <c r="V81" s="23">
        <v>50000</v>
      </c>
      <c r="W81" s="367"/>
      <c r="X81" s="367"/>
      <c r="Y81" s="367"/>
      <c r="Z81" s="367"/>
    </row>
    <row r="82" spans="1:26">
      <c r="A82" s="12"/>
      <c r="B82" s="23" t="s">
        <v>1108</v>
      </c>
      <c r="C82" s="23" t="s">
        <v>1117</v>
      </c>
      <c r="D82" s="23">
        <v>200000</v>
      </c>
      <c r="E82" s="364"/>
      <c r="F82" s="364"/>
      <c r="G82" s="364"/>
      <c r="H82" s="364"/>
      <c r="J82" s="12"/>
      <c r="K82" s="23"/>
      <c r="L82" s="23"/>
      <c r="M82" s="23"/>
      <c r="N82" s="367"/>
      <c r="O82" s="367"/>
      <c r="P82" s="367"/>
      <c r="Q82" s="367"/>
      <c r="S82" s="12"/>
      <c r="T82" s="23" t="s">
        <v>1108</v>
      </c>
      <c r="U82" s="23" t="s">
        <v>1117</v>
      </c>
      <c r="V82" s="23">
        <v>200000</v>
      </c>
      <c r="W82" s="367"/>
      <c r="X82" s="367"/>
      <c r="Y82" s="367"/>
      <c r="Z82" s="367"/>
    </row>
    <row r="83" spans="1:26">
      <c r="A83" s="12"/>
      <c r="B83" s="23" t="s">
        <v>1108</v>
      </c>
      <c r="C83" s="23" t="s">
        <v>1118</v>
      </c>
      <c r="D83" s="23">
        <v>8700000</v>
      </c>
      <c r="E83" s="364"/>
      <c r="F83" s="364"/>
      <c r="G83" s="364"/>
      <c r="H83" s="364"/>
      <c r="J83" s="12"/>
      <c r="K83" s="23"/>
      <c r="L83" s="23"/>
      <c r="M83" s="23"/>
      <c r="N83" s="367"/>
      <c r="O83" s="367"/>
      <c r="P83" s="367"/>
      <c r="Q83" s="367"/>
      <c r="S83" s="12"/>
      <c r="T83" s="23"/>
      <c r="U83" s="23"/>
      <c r="V83" s="23"/>
      <c r="W83" s="367"/>
      <c r="X83" s="367"/>
      <c r="Y83" s="367"/>
      <c r="Z83" s="367"/>
    </row>
    <row r="84" spans="1:26">
      <c r="A84" s="12"/>
      <c r="B84" s="23" t="s">
        <v>1109</v>
      </c>
      <c r="C84" s="23" t="s">
        <v>1110</v>
      </c>
      <c r="D84" s="23">
        <v>4856500</v>
      </c>
      <c r="E84" s="364"/>
      <c r="F84" s="364"/>
      <c r="G84" s="364"/>
      <c r="H84" s="364"/>
      <c r="J84" s="12"/>
      <c r="K84" s="23"/>
      <c r="L84" s="23"/>
      <c r="M84" s="23"/>
      <c r="N84" s="367"/>
      <c r="O84" s="367"/>
      <c r="P84" s="367"/>
      <c r="Q84" s="367"/>
      <c r="S84" s="12"/>
      <c r="T84" s="23"/>
      <c r="U84" s="23"/>
      <c r="V84" s="23"/>
      <c r="W84" s="367"/>
      <c r="X84" s="367"/>
      <c r="Y84" s="367"/>
      <c r="Z84" s="367"/>
    </row>
    <row r="85" spans="1:26">
      <c r="A85" s="12"/>
      <c r="B85" s="23" t="s">
        <v>1109</v>
      </c>
      <c r="C85" s="23" t="s">
        <v>1113</v>
      </c>
      <c r="D85" s="23">
        <v>274000</v>
      </c>
      <c r="E85" s="364"/>
      <c r="F85" s="364"/>
      <c r="G85" s="364"/>
      <c r="H85" s="364"/>
      <c r="J85" s="12"/>
      <c r="K85" s="23"/>
      <c r="L85" s="23"/>
      <c r="M85" s="23"/>
      <c r="N85" s="367"/>
      <c r="O85" s="367"/>
      <c r="P85" s="367"/>
      <c r="Q85" s="367"/>
      <c r="S85" s="12"/>
      <c r="T85" s="23" t="s">
        <v>1109</v>
      </c>
      <c r="U85" s="23" t="s">
        <v>1113</v>
      </c>
      <c r="V85" s="23">
        <v>274000</v>
      </c>
      <c r="W85" s="367"/>
      <c r="X85" s="367"/>
      <c r="Y85" s="367"/>
      <c r="Z85" s="367"/>
    </row>
    <row r="86" spans="1:26">
      <c r="A86" s="12"/>
      <c r="B86" s="23" t="s">
        <v>1109</v>
      </c>
      <c r="C86" s="23" t="s">
        <v>1141</v>
      </c>
      <c r="D86" s="23">
        <v>800000</v>
      </c>
      <c r="E86" s="364"/>
      <c r="F86" s="364"/>
      <c r="G86" s="364"/>
      <c r="H86" s="364"/>
      <c r="J86" s="12"/>
      <c r="K86" s="23"/>
      <c r="L86" s="23"/>
      <c r="M86" s="23"/>
      <c r="N86" s="367"/>
      <c r="O86" s="367"/>
      <c r="P86" s="367"/>
      <c r="Q86" s="367"/>
      <c r="S86" s="12"/>
      <c r="T86" s="23" t="s">
        <v>1109</v>
      </c>
      <c r="U86" s="23" t="s">
        <v>1141</v>
      </c>
      <c r="V86" s="23">
        <v>800000</v>
      </c>
      <c r="W86" s="367"/>
      <c r="X86" s="367"/>
      <c r="Y86" s="367"/>
      <c r="Z86" s="367"/>
    </row>
    <row r="87" spans="1:26">
      <c r="A87" s="12"/>
      <c r="B87" s="23" t="s">
        <v>1111</v>
      </c>
      <c r="C87" s="22" t="s">
        <v>1112</v>
      </c>
      <c r="D87" s="22">
        <v>1000000</v>
      </c>
      <c r="E87" s="364"/>
      <c r="F87" s="364"/>
      <c r="G87" s="364"/>
      <c r="H87" s="364"/>
      <c r="J87" s="12"/>
      <c r="K87" s="23"/>
      <c r="L87" s="22"/>
      <c r="M87" s="22"/>
      <c r="N87" s="367"/>
      <c r="O87" s="367"/>
      <c r="P87" s="367"/>
      <c r="Q87" s="367"/>
      <c r="S87" s="12"/>
      <c r="T87" s="23" t="s">
        <v>1111</v>
      </c>
      <c r="U87" s="22" t="s">
        <v>1112</v>
      </c>
      <c r="V87" s="22">
        <v>1000000</v>
      </c>
      <c r="W87" s="367"/>
      <c r="X87" s="367"/>
      <c r="Y87" s="367"/>
      <c r="Z87" s="367"/>
    </row>
    <row r="88" spans="1:26">
      <c r="A88" s="12"/>
      <c r="B88" s="23" t="s">
        <v>1114</v>
      </c>
      <c r="C88" s="22" t="s">
        <v>1122</v>
      </c>
      <c r="D88" s="22">
        <v>300000</v>
      </c>
      <c r="E88" s="364"/>
      <c r="F88" s="364"/>
      <c r="G88" s="364"/>
      <c r="H88" s="364"/>
      <c r="J88" s="12"/>
      <c r="K88" s="23"/>
      <c r="L88" s="22"/>
      <c r="M88" s="22"/>
      <c r="N88" s="367"/>
      <c r="O88" s="367"/>
      <c r="P88" s="367"/>
      <c r="Q88" s="367"/>
      <c r="S88" s="12"/>
      <c r="T88" s="23" t="s">
        <v>1114</v>
      </c>
      <c r="U88" s="22" t="s">
        <v>1122</v>
      </c>
      <c r="V88" s="22">
        <v>300000</v>
      </c>
      <c r="W88" s="367"/>
      <c r="X88" s="367"/>
      <c r="Y88" s="367"/>
      <c r="Z88" s="367"/>
    </row>
    <row r="89" spans="1:26">
      <c r="A89" s="12"/>
      <c r="B89" s="23" t="s">
        <v>1124</v>
      </c>
      <c r="C89" s="22" t="s">
        <v>1125</v>
      </c>
      <c r="D89" s="22">
        <v>24660000</v>
      </c>
      <c r="E89" s="364"/>
      <c r="F89" s="364"/>
      <c r="G89" s="364"/>
      <c r="H89" s="364"/>
      <c r="J89" s="12"/>
      <c r="K89" s="23"/>
      <c r="L89" s="22"/>
      <c r="M89" s="22"/>
      <c r="N89" s="367"/>
      <c r="O89" s="367"/>
      <c r="P89" s="367"/>
      <c r="Q89" s="367"/>
      <c r="S89" s="12"/>
      <c r="T89" s="23" t="s">
        <v>1124</v>
      </c>
      <c r="U89" s="22" t="s">
        <v>1125</v>
      </c>
      <c r="V89" s="22">
        <f>24660000-5000000</f>
        <v>19660000</v>
      </c>
      <c r="W89" s="367"/>
      <c r="X89" s="367"/>
      <c r="Y89" s="367"/>
      <c r="Z89" s="367"/>
    </row>
    <row r="90" spans="1:26">
      <c r="A90" s="12"/>
      <c r="B90" s="23" t="s">
        <v>1162</v>
      </c>
      <c r="C90" s="22" t="s">
        <v>1163</v>
      </c>
      <c r="D90" s="22">
        <v>862500</v>
      </c>
      <c r="E90" s="364"/>
      <c r="F90" s="364"/>
      <c r="G90" s="364"/>
      <c r="H90" s="364"/>
      <c r="J90" s="12"/>
      <c r="K90" s="23"/>
      <c r="L90" s="22"/>
      <c r="M90" s="22"/>
      <c r="N90" s="367"/>
      <c r="O90" s="367"/>
      <c r="P90" s="367"/>
      <c r="Q90" s="367"/>
      <c r="S90" s="12"/>
      <c r="T90" s="23" t="s">
        <v>1162</v>
      </c>
      <c r="U90" s="22" t="s">
        <v>1163</v>
      </c>
      <c r="V90" s="22">
        <v>862500</v>
      </c>
      <c r="W90" s="367"/>
      <c r="X90" s="367"/>
      <c r="Y90" s="367"/>
      <c r="Z90" s="367"/>
    </row>
    <row r="91" spans="1:26">
      <c r="A91" s="12"/>
      <c r="B91" s="23" t="s">
        <v>1162</v>
      </c>
      <c r="C91" s="22" t="s">
        <v>1164</v>
      </c>
      <c r="D91" s="22">
        <v>314000</v>
      </c>
      <c r="E91" s="364"/>
      <c r="F91" s="364"/>
      <c r="G91" s="364"/>
      <c r="H91" s="364"/>
      <c r="J91" s="12"/>
      <c r="K91" s="23"/>
      <c r="L91" s="22"/>
      <c r="M91" s="22"/>
      <c r="N91" s="367"/>
      <c r="O91" s="367"/>
      <c r="P91" s="367"/>
      <c r="Q91" s="367"/>
      <c r="S91" s="12"/>
      <c r="T91" s="23" t="s">
        <v>1162</v>
      </c>
      <c r="U91" s="22" t="s">
        <v>1164</v>
      </c>
      <c r="V91" s="22">
        <v>314000</v>
      </c>
      <c r="W91" s="367"/>
      <c r="X91" s="367"/>
      <c r="Y91" s="367"/>
      <c r="Z91" s="367"/>
    </row>
    <row r="92" spans="1:26">
      <c r="A92" s="12"/>
      <c r="B92" s="23" t="s">
        <v>1165</v>
      </c>
      <c r="C92" s="22" t="s">
        <v>1166</v>
      </c>
      <c r="D92" s="22">
        <v>49103250</v>
      </c>
      <c r="E92" s="364"/>
      <c r="F92" s="364"/>
      <c r="G92" s="364"/>
      <c r="H92" s="364"/>
      <c r="J92" s="12"/>
      <c r="K92" s="23"/>
      <c r="L92" s="22"/>
      <c r="M92" s="22"/>
      <c r="N92" s="367"/>
      <c r="O92" s="367"/>
      <c r="P92" s="367"/>
      <c r="Q92" s="367"/>
      <c r="S92" s="12"/>
      <c r="T92" s="23" t="s">
        <v>1165</v>
      </c>
      <c r="U92" s="22" t="s">
        <v>1166</v>
      </c>
      <c r="V92" s="22">
        <v>50000000</v>
      </c>
      <c r="W92" s="367"/>
      <c r="X92" s="367"/>
      <c r="Y92" s="367"/>
      <c r="Z92" s="367"/>
    </row>
    <row r="93" spans="1:26">
      <c r="A93" s="12"/>
      <c r="B93" s="23" t="s">
        <v>1167</v>
      </c>
      <c r="C93" s="22" t="s">
        <v>1168</v>
      </c>
      <c r="D93" s="22">
        <v>5855000</v>
      </c>
      <c r="E93" s="364"/>
      <c r="F93" s="364"/>
      <c r="G93" s="364"/>
      <c r="H93" s="364"/>
      <c r="J93" s="12"/>
      <c r="K93" s="23"/>
      <c r="L93" s="22"/>
      <c r="M93" s="22"/>
      <c r="N93" s="367"/>
      <c r="O93" s="367"/>
      <c r="P93" s="367"/>
      <c r="Q93" s="367"/>
      <c r="S93" s="12"/>
      <c r="T93" s="23" t="s">
        <v>1167</v>
      </c>
      <c r="U93" s="22" t="s">
        <v>1168</v>
      </c>
      <c r="V93" s="22">
        <v>5855000</v>
      </c>
      <c r="W93" s="367"/>
      <c r="X93" s="367"/>
      <c r="Y93" s="367"/>
      <c r="Z93" s="367"/>
    </row>
    <row r="94" spans="1:26">
      <c r="A94" s="12"/>
      <c r="B94" s="23" t="s">
        <v>1167</v>
      </c>
      <c r="C94" s="22" t="s">
        <v>1169</v>
      </c>
      <c r="D94" s="22">
        <v>80000000</v>
      </c>
      <c r="E94" s="364"/>
      <c r="F94" s="364"/>
      <c r="G94" s="364"/>
      <c r="H94" s="364"/>
      <c r="J94" s="12"/>
      <c r="K94" s="23" t="s">
        <v>1167</v>
      </c>
      <c r="L94" s="22" t="s">
        <v>1169</v>
      </c>
      <c r="M94" s="22">
        <v>60000000</v>
      </c>
      <c r="N94" s="367"/>
      <c r="O94" s="367"/>
      <c r="P94" s="367"/>
      <c r="Q94" s="367"/>
      <c r="S94" s="12"/>
      <c r="T94" s="23"/>
      <c r="U94" s="22"/>
      <c r="V94" s="22"/>
      <c r="W94" s="367"/>
      <c r="X94" s="367"/>
      <c r="Y94" s="367"/>
      <c r="Z94" s="367"/>
    </row>
    <row r="95" spans="1:26">
      <c r="A95" s="12"/>
      <c r="B95" s="23" t="s">
        <v>1167</v>
      </c>
      <c r="C95" s="22" t="s">
        <v>1120</v>
      </c>
      <c r="D95" s="22">
        <v>1540000</v>
      </c>
      <c r="E95" s="364"/>
      <c r="F95" s="364"/>
      <c r="G95" s="364"/>
      <c r="H95" s="364"/>
      <c r="J95" s="12"/>
      <c r="K95" s="23"/>
      <c r="L95" s="22"/>
      <c r="M95" s="22"/>
      <c r="N95" s="367"/>
      <c r="O95" s="367"/>
      <c r="P95" s="367"/>
      <c r="Q95" s="367"/>
      <c r="S95" s="12"/>
      <c r="T95" s="23" t="s">
        <v>1167</v>
      </c>
      <c r="U95" s="22" t="s">
        <v>1120</v>
      </c>
      <c r="V95" s="22">
        <v>1540000</v>
      </c>
      <c r="W95" s="367"/>
      <c r="X95" s="367"/>
      <c r="Y95" s="367"/>
      <c r="Z95" s="367"/>
    </row>
    <row r="96" spans="1:26">
      <c r="A96" s="12"/>
      <c r="B96" s="23" t="s">
        <v>1167</v>
      </c>
      <c r="C96" s="22" t="s">
        <v>1121</v>
      </c>
      <c r="D96" s="22">
        <v>150000</v>
      </c>
      <c r="E96" s="364"/>
      <c r="F96" s="364"/>
      <c r="G96" s="364"/>
      <c r="H96" s="364"/>
      <c r="J96" s="12"/>
      <c r="K96" s="23"/>
      <c r="L96" s="22"/>
      <c r="M96" s="22"/>
      <c r="N96" s="367"/>
      <c r="O96" s="367"/>
      <c r="P96" s="367"/>
      <c r="Q96" s="367"/>
      <c r="S96" s="12"/>
      <c r="T96" s="23" t="s">
        <v>1167</v>
      </c>
      <c r="U96" s="22" t="s">
        <v>1121</v>
      </c>
      <c r="V96" s="22">
        <v>150000</v>
      </c>
      <c r="W96" s="367"/>
      <c r="X96" s="367"/>
      <c r="Y96" s="367"/>
      <c r="Z96" s="367"/>
    </row>
    <row r="97" spans="1:26">
      <c r="A97" s="12"/>
      <c r="B97" s="23" t="s">
        <v>1167</v>
      </c>
      <c r="C97" s="22" t="s">
        <v>1170</v>
      </c>
      <c r="D97" s="22">
        <v>3302000</v>
      </c>
      <c r="E97" s="364"/>
      <c r="F97" s="364"/>
      <c r="G97" s="364"/>
      <c r="H97" s="364"/>
      <c r="J97" s="12"/>
      <c r="K97" s="23"/>
      <c r="L97" s="22"/>
      <c r="M97" s="22"/>
      <c r="N97" s="367"/>
      <c r="O97" s="367"/>
      <c r="P97" s="367"/>
      <c r="Q97" s="367"/>
      <c r="S97" s="12"/>
      <c r="T97" s="23" t="s">
        <v>1167</v>
      </c>
      <c r="U97" s="22" t="s">
        <v>1170</v>
      </c>
      <c r="V97" s="22">
        <v>3302000</v>
      </c>
      <c r="W97" s="367"/>
      <c r="X97" s="367"/>
      <c r="Y97" s="367"/>
      <c r="Z97" s="367"/>
    </row>
    <row r="98" spans="1:26">
      <c r="A98" s="12"/>
      <c r="B98" s="23" t="s">
        <v>1167</v>
      </c>
      <c r="C98" s="22" t="s">
        <v>1171</v>
      </c>
      <c r="D98" s="22">
        <v>300000</v>
      </c>
      <c r="E98" s="364"/>
      <c r="F98" s="364"/>
      <c r="G98" s="364"/>
      <c r="H98" s="364"/>
      <c r="J98" s="12"/>
      <c r="K98" s="23"/>
      <c r="L98" s="22"/>
      <c r="M98" s="22"/>
      <c r="N98" s="367"/>
      <c r="O98" s="367"/>
      <c r="P98" s="367"/>
      <c r="Q98" s="367"/>
      <c r="S98" s="12"/>
      <c r="T98" s="23" t="s">
        <v>1167</v>
      </c>
      <c r="U98" s="22" t="s">
        <v>1171</v>
      </c>
      <c r="V98" s="22">
        <v>300000</v>
      </c>
      <c r="W98" s="367"/>
      <c r="X98" s="367"/>
      <c r="Y98" s="367"/>
      <c r="Z98" s="367"/>
    </row>
    <row r="99" spans="1:26">
      <c r="A99" s="12"/>
      <c r="B99" s="23" t="s">
        <v>1167</v>
      </c>
      <c r="C99" s="22" t="s">
        <v>1172</v>
      </c>
      <c r="D99" s="22">
        <v>1800000</v>
      </c>
      <c r="E99" s="364"/>
      <c r="F99" s="364"/>
      <c r="G99" s="364"/>
      <c r="H99" s="364"/>
      <c r="J99" s="12"/>
      <c r="K99" s="23"/>
      <c r="L99" s="22"/>
      <c r="M99" s="22"/>
      <c r="N99" s="367"/>
      <c r="O99" s="367"/>
      <c r="P99" s="367"/>
      <c r="Q99" s="367"/>
      <c r="S99" s="12"/>
      <c r="T99" s="23" t="s">
        <v>1167</v>
      </c>
      <c r="U99" s="22" t="s">
        <v>1172</v>
      </c>
      <c r="V99" s="22">
        <v>1800000</v>
      </c>
      <c r="W99" s="367"/>
      <c r="X99" s="367"/>
      <c r="Y99" s="367"/>
      <c r="Z99" s="367"/>
    </row>
    <row r="100" spans="1:26">
      <c r="A100" s="12"/>
      <c r="B100" s="23"/>
      <c r="C100" s="22"/>
      <c r="D100" s="22"/>
      <c r="E100" s="364"/>
      <c r="F100" s="364"/>
      <c r="G100" s="364"/>
      <c r="H100" s="364"/>
      <c r="J100" s="12"/>
      <c r="K100" s="23"/>
      <c r="L100" s="22"/>
      <c r="M100" s="22"/>
      <c r="N100" s="367"/>
      <c r="O100" s="367"/>
      <c r="P100" s="367"/>
      <c r="Q100" s="367"/>
      <c r="S100" s="12"/>
      <c r="T100" s="23"/>
      <c r="U100" s="22"/>
      <c r="V100" s="22"/>
      <c r="W100" s="367"/>
      <c r="X100" s="367"/>
      <c r="Y100" s="367"/>
      <c r="Z100" s="367"/>
    </row>
    <row r="101" spans="1:26">
      <c r="A101" s="12"/>
      <c r="B101" s="23"/>
      <c r="C101" s="22"/>
      <c r="D101" s="22"/>
      <c r="E101" s="364"/>
      <c r="F101" s="364"/>
      <c r="G101" s="364"/>
      <c r="H101" s="364"/>
      <c r="J101" s="12"/>
      <c r="K101" s="23"/>
      <c r="L101" s="22"/>
      <c r="M101" s="22"/>
      <c r="N101" s="367"/>
      <c r="O101" s="367"/>
      <c r="P101" s="367"/>
      <c r="Q101" s="367"/>
      <c r="S101" s="12"/>
      <c r="T101" s="23"/>
      <c r="U101" s="22"/>
      <c r="V101" s="22"/>
      <c r="W101" s="367"/>
      <c r="X101" s="367"/>
      <c r="Y101" s="367"/>
      <c r="Z101" s="367"/>
    </row>
    <row r="102" spans="1:26">
      <c r="A102" s="12"/>
      <c r="B102" s="13"/>
      <c r="C102" s="26" t="s">
        <v>55</v>
      </c>
      <c r="D102" s="27">
        <f>SUM(D71:D101)</f>
        <v>231850750</v>
      </c>
      <c r="E102" s="27">
        <v>0</v>
      </c>
      <c r="F102" s="27">
        <v>0</v>
      </c>
      <c r="G102" s="27"/>
      <c r="H102" s="27"/>
      <c r="J102" s="12"/>
      <c r="K102" s="13"/>
      <c r="L102" s="26" t="s">
        <v>55</v>
      </c>
      <c r="M102" s="27">
        <f>SUM(M71:M101)</f>
        <v>80000000</v>
      </c>
      <c r="N102" s="27">
        <v>0</v>
      </c>
      <c r="O102" s="27">
        <v>0</v>
      </c>
      <c r="P102" s="27"/>
      <c r="Q102" s="27"/>
      <c r="S102" s="12"/>
      <c r="T102" s="13"/>
      <c r="U102" s="26" t="s">
        <v>55</v>
      </c>
      <c r="V102" s="27">
        <f>SUM(V71:V101)</f>
        <v>96344500</v>
      </c>
      <c r="W102" s="27">
        <v>0</v>
      </c>
      <c r="X102" s="27">
        <v>0</v>
      </c>
      <c r="Y102" s="27"/>
      <c r="Z102" s="27"/>
    </row>
    <row r="103" spans="1:26">
      <c r="A103" s="20"/>
      <c r="B103" s="19"/>
      <c r="C103" s="364" t="s">
        <v>21</v>
      </c>
      <c r="D103" s="10"/>
      <c r="E103" s="530">
        <f>D102</f>
        <v>231850750</v>
      </c>
      <c r="F103" s="530"/>
      <c r="G103" s="530"/>
      <c r="H103" s="530"/>
      <c r="J103" s="20"/>
      <c r="K103" s="19"/>
      <c r="L103" s="367" t="s">
        <v>21</v>
      </c>
      <c r="M103" s="10"/>
      <c r="N103" s="530">
        <f>M102</f>
        <v>80000000</v>
      </c>
      <c r="O103" s="530"/>
      <c r="P103" s="530"/>
      <c r="Q103" s="530"/>
      <c r="S103" s="20"/>
      <c r="T103" s="19"/>
      <c r="U103" s="367" t="s">
        <v>21</v>
      </c>
      <c r="V103" s="10"/>
      <c r="W103" s="530">
        <f>V102</f>
        <v>96344500</v>
      </c>
      <c r="X103" s="530"/>
      <c r="Y103" s="530"/>
      <c r="Z103" s="530"/>
    </row>
    <row r="104" spans="1:26">
      <c r="A104" s="524" t="s">
        <v>1047</v>
      </c>
      <c r="B104" s="524"/>
      <c r="C104" s="524"/>
      <c r="D104" s="524"/>
      <c r="E104" s="524"/>
      <c r="F104" s="524"/>
      <c r="G104" s="524"/>
      <c r="H104" s="524"/>
      <c r="J104" s="524" t="s">
        <v>1047</v>
      </c>
      <c r="K104" s="524"/>
      <c r="L104" s="524"/>
      <c r="M104" s="524"/>
      <c r="N104" s="524"/>
      <c r="O104" s="524"/>
      <c r="P104" s="524"/>
      <c r="Q104" s="524"/>
      <c r="S104" s="524" t="s">
        <v>1047</v>
      </c>
      <c r="T104" s="524"/>
      <c r="U104" s="524"/>
      <c r="V104" s="524"/>
      <c r="W104" s="524"/>
      <c r="X104" s="524"/>
      <c r="Y104" s="524"/>
      <c r="Z104" s="524"/>
    </row>
    <row r="105" spans="1:26">
      <c r="A105" s="28"/>
      <c r="B105" s="19" t="s">
        <v>1173</v>
      </c>
      <c r="C105" s="23" t="s">
        <v>1174</v>
      </c>
      <c r="D105" s="23">
        <v>4831000</v>
      </c>
      <c r="E105" s="28"/>
      <c r="F105" s="28"/>
      <c r="G105" s="28"/>
      <c r="H105" s="28"/>
      <c r="J105" s="28"/>
      <c r="K105" s="19" t="s">
        <v>1173</v>
      </c>
      <c r="L105" s="23" t="s">
        <v>1174</v>
      </c>
      <c r="M105" s="23">
        <v>4831000</v>
      </c>
      <c r="N105" s="28"/>
      <c r="O105" s="28"/>
      <c r="P105" s="28"/>
      <c r="Q105" s="28"/>
      <c r="S105" s="28"/>
      <c r="T105" s="19"/>
      <c r="U105" s="23"/>
      <c r="V105" s="23"/>
      <c r="W105" s="28"/>
      <c r="X105" s="28"/>
      <c r="Y105" s="28"/>
      <c r="Z105" s="28"/>
    </row>
    <row r="106" spans="1:26">
      <c r="A106" s="28"/>
      <c r="B106" s="19" t="s">
        <v>1173</v>
      </c>
      <c r="C106" s="23" t="s">
        <v>1175</v>
      </c>
      <c r="D106" s="23">
        <v>12000</v>
      </c>
      <c r="E106" s="28"/>
      <c r="F106" s="28"/>
      <c r="G106" s="28"/>
      <c r="H106" s="28"/>
      <c r="J106" s="28"/>
      <c r="K106" s="19" t="s">
        <v>1173</v>
      </c>
      <c r="L106" s="23" t="s">
        <v>1175</v>
      </c>
      <c r="M106" s="23">
        <v>12000</v>
      </c>
      <c r="N106" s="28"/>
      <c r="O106" s="28"/>
      <c r="P106" s="28"/>
      <c r="Q106" s="28"/>
      <c r="S106" s="28"/>
      <c r="T106" s="19"/>
      <c r="U106" s="23"/>
      <c r="V106" s="23"/>
      <c r="W106" s="28"/>
      <c r="X106" s="28"/>
      <c r="Y106" s="28"/>
      <c r="Z106" s="28"/>
    </row>
    <row r="107" spans="1:26">
      <c r="A107" s="28"/>
      <c r="B107" s="19" t="s">
        <v>1173</v>
      </c>
      <c r="C107" s="23" t="s">
        <v>1127</v>
      </c>
      <c r="D107" s="23">
        <v>450000</v>
      </c>
      <c r="E107" s="28"/>
      <c r="F107" s="28"/>
      <c r="G107" s="28"/>
      <c r="H107" s="28"/>
      <c r="J107" s="28"/>
      <c r="K107" s="19" t="s">
        <v>1173</v>
      </c>
      <c r="L107" s="23" t="s">
        <v>1127</v>
      </c>
      <c r="M107" s="23">
        <v>450000</v>
      </c>
      <c r="N107" s="28"/>
      <c r="O107" s="28"/>
      <c r="P107" s="28"/>
      <c r="Q107" s="28"/>
      <c r="S107" s="28"/>
      <c r="T107" s="19"/>
      <c r="U107" s="23"/>
      <c r="V107" s="23"/>
      <c r="W107" s="28"/>
      <c r="X107" s="28"/>
      <c r="Y107" s="28"/>
      <c r="Z107" s="28"/>
    </row>
    <row r="108" spans="1:26">
      <c r="A108" s="28"/>
      <c r="B108" s="19" t="s">
        <v>1173</v>
      </c>
      <c r="C108" s="23" t="s">
        <v>1176</v>
      </c>
      <c r="D108" s="23">
        <v>300000</v>
      </c>
      <c r="E108" s="28"/>
      <c r="F108" s="28"/>
      <c r="G108" s="28"/>
      <c r="H108" s="28"/>
      <c r="J108" s="28"/>
      <c r="K108" s="19" t="s">
        <v>1173</v>
      </c>
      <c r="L108" s="23" t="s">
        <v>1176</v>
      </c>
      <c r="M108" s="23">
        <v>300000</v>
      </c>
      <c r="N108" s="28"/>
      <c r="O108" s="28"/>
      <c r="P108" s="28"/>
      <c r="Q108" s="28"/>
      <c r="S108" s="28"/>
      <c r="T108" s="19"/>
      <c r="U108" s="23"/>
      <c r="V108" s="23"/>
      <c r="W108" s="28"/>
      <c r="X108" s="28"/>
      <c r="Y108" s="28"/>
      <c r="Z108" s="28"/>
    </row>
    <row r="109" spans="1:26">
      <c r="A109" s="28"/>
      <c r="B109" s="19" t="s">
        <v>1173</v>
      </c>
      <c r="C109" s="23" t="s">
        <v>1177</v>
      </c>
      <c r="D109" s="23">
        <v>8802000</v>
      </c>
      <c r="E109" s="28"/>
      <c r="F109" s="28"/>
      <c r="G109" s="28"/>
      <c r="H109" s="28"/>
      <c r="J109" s="28"/>
      <c r="K109" s="19" t="s">
        <v>1173</v>
      </c>
      <c r="L109" s="23" t="s">
        <v>1177</v>
      </c>
      <c r="M109" s="23">
        <v>8802000</v>
      </c>
      <c r="N109" s="28"/>
      <c r="O109" s="28"/>
      <c r="P109" s="28"/>
      <c r="Q109" s="28"/>
      <c r="S109" s="28"/>
      <c r="T109" s="19"/>
      <c r="U109" s="23"/>
      <c r="V109" s="23"/>
      <c r="W109" s="28"/>
      <c r="X109" s="28"/>
      <c r="Y109" s="28"/>
      <c r="Z109" s="28"/>
    </row>
    <row r="110" spans="1:26">
      <c r="A110" s="12"/>
      <c r="B110" s="19"/>
      <c r="C110" s="24"/>
      <c r="D110" s="23"/>
      <c r="E110" s="364"/>
      <c r="F110" s="364"/>
      <c r="G110" s="364"/>
      <c r="H110" s="364"/>
      <c r="J110" s="12"/>
      <c r="K110" s="19"/>
      <c r="L110" s="24"/>
      <c r="M110" s="23"/>
      <c r="N110" s="367"/>
      <c r="O110" s="367"/>
      <c r="P110" s="367"/>
      <c r="Q110" s="367"/>
      <c r="S110" s="12"/>
      <c r="T110" s="19"/>
      <c r="U110" s="24"/>
      <c r="V110" s="23"/>
      <c r="W110" s="367"/>
      <c r="X110" s="367"/>
      <c r="Y110" s="367"/>
      <c r="Z110" s="367"/>
    </row>
    <row r="111" spans="1:26">
      <c r="A111" s="12"/>
      <c r="B111" s="13"/>
      <c r="C111" s="26" t="s">
        <v>848</v>
      </c>
      <c r="D111" s="27">
        <f>SUM(D105:D110)</f>
        <v>14395000</v>
      </c>
      <c r="E111" s="27">
        <v>0</v>
      </c>
      <c r="F111" s="27">
        <v>0</v>
      </c>
      <c r="G111" s="27"/>
      <c r="H111" s="27"/>
      <c r="J111" s="12"/>
      <c r="K111" s="13"/>
      <c r="L111" s="26" t="s">
        <v>848</v>
      </c>
      <c r="M111" s="27">
        <f>SUM(M105:M110)</f>
        <v>14395000</v>
      </c>
      <c r="N111" s="27">
        <v>0</v>
      </c>
      <c r="O111" s="27">
        <v>0</v>
      </c>
      <c r="P111" s="27"/>
      <c r="Q111" s="27"/>
      <c r="S111" s="12"/>
      <c r="T111" s="13"/>
      <c r="U111" s="26" t="s">
        <v>848</v>
      </c>
      <c r="V111" s="27">
        <f>SUM(V105:V110)</f>
        <v>0</v>
      </c>
      <c r="W111" s="27">
        <v>0</v>
      </c>
      <c r="X111" s="27">
        <v>0</v>
      </c>
      <c r="Y111" s="27"/>
      <c r="Z111" s="27"/>
    </row>
    <row r="112" spans="1:26">
      <c r="A112" s="20"/>
      <c r="B112" s="19"/>
      <c r="C112" s="364" t="s">
        <v>21</v>
      </c>
      <c r="D112" s="10"/>
      <c r="E112" s="530">
        <f>D111</f>
        <v>14395000</v>
      </c>
      <c r="F112" s="530"/>
      <c r="G112" s="530"/>
      <c r="H112" s="530"/>
      <c r="J112" s="20"/>
      <c r="K112" s="19"/>
      <c r="L112" s="367" t="s">
        <v>21</v>
      </c>
      <c r="M112" s="10"/>
      <c r="N112" s="530">
        <f>M111</f>
        <v>14395000</v>
      </c>
      <c r="O112" s="530"/>
      <c r="P112" s="530"/>
      <c r="Q112" s="530"/>
      <c r="S112" s="20"/>
      <c r="T112" s="19"/>
      <c r="U112" s="367" t="s">
        <v>21</v>
      </c>
      <c r="V112" s="10"/>
      <c r="W112" s="530">
        <f>V111</f>
        <v>0</v>
      </c>
      <c r="X112" s="530"/>
      <c r="Y112" s="530"/>
      <c r="Z112" s="530"/>
    </row>
    <row r="113" spans="1:26">
      <c r="A113" s="527" t="s">
        <v>26</v>
      </c>
      <c r="B113" s="528"/>
      <c r="C113" s="528"/>
      <c r="D113" s="528"/>
      <c r="E113" s="528"/>
      <c r="F113" s="528"/>
      <c r="G113" s="528"/>
      <c r="H113" s="529"/>
      <c r="J113" s="527" t="s">
        <v>26</v>
      </c>
      <c r="K113" s="528"/>
      <c r="L113" s="528"/>
      <c r="M113" s="528"/>
      <c r="N113" s="528"/>
      <c r="O113" s="528"/>
      <c r="P113" s="528"/>
      <c r="Q113" s="529"/>
      <c r="S113" s="527" t="s">
        <v>26</v>
      </c>
      <c r="T113" s="528"/>
      <c r="U113" s="528"/>
      <c r="V113" s="528"/>
      <c r="W113" s="528"/>
      <c r="X113" s="528"/>
      <c r="Y113" s="528"/>
      <c r="Z113" s="529"/>
    </row>
    <row r="114" spans="1:26">
      <c r="A114" s="12"/>
      <c r="B114" s="23" t="s">
        <v>1129</v>
      </c>
      <c r="C114" s="24" t="s">
        <v>1130</v>
      </c>
      <c r="D114" s="23">
        <v>37000</v>
      </c>
      <c r="E114" s="22"/>
      <c r="F114" s="22"/>
      <c r="G114" s="16"/>
      <c r="H114" s="16"/>
      <c r="J114" s="12"/>
      <c r="K114" s="23" t="s">
        <v>1129</v>
      </c>
      <c r="L114" s="24" t="s">
        <v>1130</v>
      </c>
      <c r="M114" s="23"/>
      <c r="N114" s="22"/>
      <c r="O114" s="22"/>
      <c r="P114" s="16"/>
      <c r="Q114" s="16"/>
      <c r="S114" s="12"/>
      <c r="T114" s="23"/>
      <c r="U114" s="24"/>
      <c r="V114" s="23"/>
      <c r="W114" s="22"/>
      <c r="X114" s="22"/>
      <c r="Y114" s="16"/>
      <c r="Z114" s="16"/>
    </row>
    <row r="115" spans="1:26">
      <c r="A115" s="12"/>
      <c r="B115" s="23" t="s">
        <v>1131</v>
      </c>
      <c r="C115" s="24" t="s">
        <v>1132</v>
      </c>
      <c r="D115" s="23">
        <v>283000</v>
      </c>
      <c r="E115" s="23"/>
      <c r="F115" s="22"/>
      <c r="G115" s="16"/>
      <c r="H115" s="280"/>
      <c r="J115" s="12"/>
      <c r="K115" s="23" t="s">
        <v>1131</v>
      </c>
      <c r="L115" s="24" t="s">
        <v>1132</v>
      </c>
      <c r="M115" s="23"/>
      <c r="N115" s="23"/>
      <c r="O115" s="22"/>
      <c r="P115" s="16"/>
      <c r="Q115" s="280"/>
      <c r="S115" s="12"/>
      <c r="T115" s="23"/>
      <c r="U115" s="24"/>
      <c r="V115" s="23"/>
      <c r="W115" s="23"/>
      <c r="X115" s="22"/>
      <c r="Y115" s="16"/>
      <c r="Z115" s="280"/>
    </row>
    <row r="116" spans="1:26">
      <c r="A116" s="12"/>
      <c r="B116" s="23" t="s">
        <v>1178</v>
      </c>
      <c r="C116" s="24" t="s">
        <v>1179</v>
      </c>
      <c r="D116" s="23">
        <v>2362000</v>
      </c>
      <c r="E116" s="22"/>
      <c r="F116" s="22"/>
      <c r="G116" s="16"/>
      <c r="H116" s="16"/>
      <c r="J116" s="12"/>
      <c r="K116" s="23" t="s">
        <v>1178</v>
      </c>
      <c r="L116" s="24" t="s">
        <v>1179</v>
      </c>
      <c r="M116" s="23"/>
      <c r="N116" s="22"/>
      <c r="O116" s="22"/>
      <c r="P116" s="16"/>
      <c r="Q116" s="16"/>
      <c r="S116" s="12"/>
      <c r="T116" s="23"/>
      <c r="U116" s="24"/>
      <c r="V116" s="23"/>
      <c r="W116" s="22"/>
      <c r="X116" s="22"/>
      <c r="Y116" s="16"/>
      <c r="Z116" s="16"/>
    </row>
    <row r="117" spans="1:26">
      <c r="A117" s="12"/>
      <c r="B117" s="23" t="s">
        <v>1178</v>
      </c>
      <c r="C117" s="24" t="s">
        <v>1179</v>
      </c>
      <c r="D117" s="23">
        <v>1285000</v>
      </c>
      <c r="E117" s="22"/>
      <c r="F117" s="22"/>
      <c r="G117" s="16"/>
      <c r="H117" s="16"/>
      <c r="J117" s="12"/>
      <c r="K117" s="23" t="s">
        <v>1178</v>
      </c>
      <c r="L117" s="24" t="s">
        <v>1179</v>
      </c>
      <c r="M117" s="23"/>
      <c r="N117" s="22"/>
      <c r="O117" s="22"/>
      <c r="P117" s="16"/>
      <c r="Q117" s="16"/>
      <c r="S117" s="12"/>
      <c r="T117" s="23"/>
      <c r="U117" s="24"/>
      <c r="V117" s="23"/>
      <c r="W117" s="22"/>
      <c r="X117" s="22"/>
      <c r="Y117" s="16"/>
      <c r="Z117" s="16"/>
    </row>
    <row r="118" spans="1:26">
      <c r="A118" s="12"/>
      <c r="B118" s="23" t="s">
        <v>1178</v>
      </c>
      <c r="C118" s="24" t="s">
        <v>1181</v>
      </c>
      <c r="D118" s="23">
        <v>10000</v>
      </c>
      <c r="E118" s="22"/>
      <c r="F118" s="22"/>
      <c r="G118" s="16"/>
      <c r="H118" s="16"/>
      <c r="J118" s="12"/>
      <c r="K118" s="23" t="s">
        <v>1178</v>
      </c>
      <c r="L118" s="24" t="s">
        <v>1181</v>
      </c>
      <c r="M118" s="23"/>
      <c r="N118" s="22"/>
      <c r="O118" s="22"/>
      <c r="P118" s="16"/>
      <c r="Q118" s="16"/>
      <c r="S118" s="12"/>
      <c r="T118" s="23"/>
      <c r="U118" s="24"/>
      <c r="V118" s="23"/>
      <c r="W118" s="22"/>
      <c r="X118" s="22"/>
      <c r="Y118" s="16"/>
      <c r="Z118" s="16"/>
    </row>
    <row r="119" spans="1:26">
      <c r="A119" s="12"/>
      <c r="B119" s="23" t="s">
        <v>1178</v>
      </c>
      <c r="C119" s="24" t="s">
        <v>1180</v>
      </c>
      <c r="D119" s="23">
        <v>8550000</v>
      </c>
      <c r="E119" s="22"/>
      <c r="F119" s="22"/>
      <c r="G119" s="16"/>
      <c r="H119" s="16"/>
      <c r="J119" s="12"/>
      <c r="K119" s="23" t="s">
        <v>1178</v>
      </c>
      <c r="L119" s="24" t="s">
        <v>1186</v>
      </c>
      <c r="M119" s="23"/>
      <c r="N119" s="22"/>
      <c r="O119" s="22"/>
      <c r="P119" s="16"/>
      <c r="Q119" s="16"/>
      <c r="S119" s="12"/>
      <c r="T119" s="23" t="s">
        <v>1178</v>
      </c>
      <c r="U119" s="24" t="s">
        <v>1180</v>
      </c>
      <c r="V119" s="23">
        <v>8550000</v>
      </c>
      <c r="W119" s="22"/>
      <c r="X119" s="22"/>
      <c r="Y119" s="16"/>
      <c r="Z119" s="16"/>
    </row>
    <row r="120" spans="1:26">
      <c r="A120" s="12"/>
      <c r="B120" s="23" t="s">
        <v>1182</v>
      </c>
      <c r="C120" s="24" t="s">
        <v>1183</v>
      </c>
      <c r="D120" s="23">
        <v>30000</v>
      </c>
      <c r="E120" s="22"/>
      <c r="F120" s="22"/>
      <c r="G120" s="16"/>
      <c r="H120" s="16"/>
      <c r="J120" s="12"/>
      <c r="K120" s="23" t="s">
        <v>1182</v>
      </c>
      <c r="L120" s="24" t="s">
        <v>1183</v>
      </c>
      <c r="M120" s="23"/>
      <c r="N120" s="22"/>
      <c r="O120" s="22"/>
      <c r="P120" s="16"/>
      <c r="Q120" s="16"/>
      <c r="S120" s="12"/>
      <c r="T120" s="23"/>
      <c r="U120" s="24"/>
      <c r="V120" s="23"/>
      <c r="W120" s="22"/>
      <c r="X120" s="22"/>
      <c r="Y120" s="16"/>
      <c r="Z120" s="16"/>
    </row>
    <row r="121" spans="1:26">
      <c r="A121" s="12"/>
      <c r="B121" s="23" t="s">
        <v>1182</v>
      </c>
      <c r="C121" s="24" t="s">
        <v>1183</v>
      </c>
      <c r="D121" s="23">
        <v>3657000</v>
      </c>
      <c r="E121" s="22"/>
      <c r="F121" s="22"/>
      <c r="G121" s="16"/>
      <c r="H121" s="16"/>
      <c r="J121" s="12"/>
      <c r="K121" s="23" t="s">
        <v>1182</v>
      </c>
      <c r="L121" s="24" t="s">
        <v>1183</v>
      </c>
      <c r="M121" s="23"/>
      <c r="N121" s="22"/>
      <c r="O121" s="22"/>
      <c r="P121" s="16"/>
      <c r="Q121" s="16"/>
      <c r="S121" s="12"/>
      <c r="T121" s="23"/>
      <c r="U121" s="24"/>
      <c r="V121" s="23"/>
      <c r="W121" s="22"/>
      <c r="X121" s="22"/>
      <c r="Y121" s="16"/>
      <c r="Z121" s="16"/>
    </row>
    <row r="122" spans="1:26">
      <c r="A122" s="12"/>
      <c r="B122" s="23" t="s">
        <v>1182</v>
      </c>
      <c r="C122" s="24" t="s">
        <v>1181</v>
      </c>
      <c r="D122" s="23">
        <v>5000</v>
      </c>
      <c r="E122" s="22"/>
      <c r="F122" s="22"/>
      <c r="G122" s="16"/>
      <c r="H122" s="16"/>
      <c r="J122" s="12"/>
      <c r="K122" s="23" t="s">
        <v>1182</v>
      </c>
      <c r="L122" s="24" t="s">
        <v>1181</v>
      </c>
      <c r="M122" s="23"/>
      <c r="N122" s="22"/>
      <c r="O122" s="22"/>
      <c r="P122" s="16"/>
      <c r="Q122" s="16"/>
      <c r="S122" s="12"/>
      <c r="T122" s="23"/>
      <c r="U122" s="24"/>
      <c r="V122" s="23"/>
      <c r="W122" s="22"/>
      <c r="X122" s="22"/>
      <c r="Y122" s="16"/>
      <c r="Z122" s="16"/>
    </row>
    <row r="123" spans="1:26">
      <c r="A123" s="12"/>
      <c r="B123" s="19"/>
      <c r="C123" s="24"/>
      <c r="D123" s="23"/>
      <c r="E123" s="22"/>
      <c r="F123" s="22"/>
      <c r="G123" s="16"/>
      <c r="H123" s="16"/>
      <c r="J123" s="12"/>
      <c r="K123" s="19"/>
      <c r="L123" s="24"/>
      <c r="M123" s="23"/>
      <c r="N123" s="22"/>
      <c r="O123" s="22"/>
      <c r="P123" s="16"/>
      <c r="Q123" s="16"/>
      <c r="S123" s="12"/>
      <c r="T123" s="19"/>
      <c r="U123" s="24"/>
      <c r="V123" s="23"/>
      <c r="W123" s="22"/>
      <c r="X123" s="22"/>
      <c r="Y123" s="16"/>
      <c r="Z123" s="16"/>
    </row>
    <row r="124" spans="1:26">
      <c r="A124" s="12"/>
      <c r="B124" s="19"/>
      <c r="C124" s="23"/>
      <c r="D124" s="23"/>
      <c r="E124" s="22"/>
      <c r="F124" s="22"/>
      <c r="G124" s="16"/>
      <c r="H124" s="16"/>
      <c r="J124" s="12"/>
      <c r="K124" s="19"/>
      <c r="L124" s="23"/>
      <c r="M124" s="23"/>
      <c r="N124" s="22"/>
      <c r="O124" s="22"/>
      <c r="P124" s="16"/>
      <c r="Q124" s="16"/>
      <c r="S124" s="12"/>
      <c r="T124" s="19"/>
      <c r="U124" s="23"/>
      <c r="V124" s="23"/>
      <c r="W124" s="22"/>
      <c r="X124" s="22"/>
      <c r="Y124" s="16"/>
      <c r="Z124" s="16"/>
    </row>
    <row r="125" spans="1:26">
      <c r="A125" s="25"/>
      <c r="B125" s="19"/>
      <c r="C125" s="26" t="s">
        <v>31</v>
      </c>
      <c r="D125" s="27">
        <f>SUM(D114:D124)</f>
        <v>16219000</v>
      </c>
      <c r="E125" s="27"/>
      <c r="F125" s="27"/>
      <c r="G125" s="27"/>
      <c r="H125" s="27"/>
      <c r="J125" s="25"/>
      <c r="K125" s="19"/>
      <c r="L125" s="26" t="s">
        <v>31</v>
      </c>
      <c r="M125" s="27">
        <f>SUM(M114:M124)</f>
        <v>0</v>
      </c>
      <c r="N125" s="27"/>
      <c r="O125" s="27"/>
      <c r="P125" s="27"/>
      <c r="Q125" s="27"/>
      <c r="S125" s="25"/>
      <c r="T125" s="19"/>
      <c r="U125" s="26" t="s">
        <v>31</v>
      </c>
      <c r="V125" s="27">
        <f>SUM(V114:V124)</f>
        <v>8550000</v>
      </c>
      <c r="W125" s="27"/>
      <c r="X125" s="27"/>
      <c r="Y125" s="27"/>
      <c r="Z125" s="27"/>
    </row>
    <row r="126" spans="1:26">
      <c r="A126" s="20"/>
      <c r="B126" s="19"/>
      <c r="C126" s="364" t="s">
        <v>21</v>
      </c>
      <c r="D126" s="10"/>
      <c r="E126" s="530">
        <f>+D125</f>
        <v>16219000</v>
      </c>
      <c r="F126" s="530"/>
      <c r="G126" s="530"/>
      <c r="H126" s="530"/>
      <c r="J126" s="20"/>
      <c r="K126" s="19"/>
      <c r="L126" s="367" t="s">
        <v>21</v>
      </c>
      <c r="M126" s="10"/>
      <c r="N126" s="530">
        <f>+M125</f>
        <v>0</v>
      </c>
      <c r="O126" s="530"/>
      <c r="P126" s="530"/>
      <c r="Q126" s="530"/>
      <c r="S126" s="20"/>
      <c r="T126" s="19"/>
      <c r="U126" s="367" t="s">
        <v>21</v>
      </c>
      <c r="V126" s="10"/>
      <c r="W126" s="530">
        <f>+V125</f>
        <v>8550000</v>
      </c>
      <c r="X126" s="530"/>
      <c r="Y126" s="530"/>
      <c r="Z126" s="530"/>
    </row>
    <row r="127" spans="1:26">
      <c r="A127" s="527" t="s">
        <v>32</v>
      </c>
      <c r="B127" s="528"/>
      <c r="C127" s="528"/>
      <c r="D127" s="528"/>
      <c r="E127" s="528"/>
      <c r="F127" s="528"/>
      <c r="G127" s="528"/>
      <c r="H127" s="529"/>
      <c r="J127" s="527" t="s">
        <v>32</v>
      </c>
      <c r="K127" s="528"/>
      <c r="L127" s="528"/>
      <c r="M127" s="528"/>
      <c r="N127" s="528"/>
      <c r="O127" s="528"/>
      <c r="P127" s="528"/>
      <c r="Q127" s="529"/>
      <c r="S127" s="527" t="s">
        <v>32</v>
      </c>
      <c r="T127" s="528"/>
      <c r="U127" s="528"/>
      <c r="V127" s="528"/>
      <c r="W127" s="528"/>
      <c r="X127" s="528"/>
      <c r="Y127" s="528"/>
      <c r="Z127" s="529"/>
    </row>
    <row r="128" spans="1:26">
      <c r="A128" s="12"/>
      <c r="B128" s="13"/>
      <c r="C128" s="22"/>
      <c r="D128" s="22"/>
      <c r="E128" s="364"/>
      <c r="F128" s="364"/>
      <c r="G128" s="364"/>
      <c r="H128" s="364"/>
      <c r="J128" s="12"/>
      <c r="K128" s="13"/>
      <c r="L128" s="22" t="s">
        <v>1189</v>
      </c>
      <c r="M128" s="22">
        <v>6500000</v>
      </c>
      <c r="N128" s="367" t="s">
        <v>1191</v>
      </c>
      <c r="O128" s="367" t="s">
        <v>1192</v>
      </c>
      <c r="P128" s="367"/>
      <c r="Q128" s="367"/>
      <c r="S128" s="12"/>
      <c r="T128" s="13"/>
      <c r="U128" s="22"/>
      <c r="V128" s="22"/>
      <c r="W128" s="367"/>
      <c r="X128" s="367"/>
      <c r="Y128" s="367"/>
      <c r="Z128" s="367"/>
    </row>
    <row r="129" spans="1:26">
      <c r="A129" s="12"/>
      <c r="B129" s="22"/>
      <c r="C129" s="22"/>
      <c r="D129" s="22"/>
      <c r="E129" s="364"/>
      <c r="F129" s="364"/>
      <c r="G129" s="364"/>
      <c r="H129" s="364"/>
      <c r="J129" s="12"/>
      <c r="K129" s="22"/>
      <c r="L129" s="22" t="s">
        <v>1190</v>
      </c>
      <c r="M129" s="22">
        <v>3000000</v>
      </c>
      <c r="N129" s="367" t="s">
        <v>1191</v>
      </c>
      <c r="O129" s="367" t="s">
        <v>1192</v>
      </c>
      <c r="P129" s="367"/>
      <c r="Q129" s="367"/>
      <c r="S129" s="12"/>
      <c r="T129" s="22"/>
      <c r="U129" s="22" t="s">
        <v>1211</v>
      </c>
      <c r="V129" s="22">
        <f>56800000+937000</f>
        <v>57737000</v>
      </c>
      <c r="W129" s="367"/>
      <c r="X129" s="367"/>
      <c r="Y129" s="367"/>
      <c r="Z129" s="367"/>
    </row>
    <row r="130" spans="1:26">
      <c r="A130" s="12"/>
      <c r="B130" s="13"/>
      <c r="C130" s="22"/>
      <c r="D130" s="22"/>
      <c r="E130" s="364"/>
      <c r="F130" s="364"/>
      <c r="G130" s="364"/>
      <c r="H130" s="364"/>
      <c r="J130" s="12"/>
      <c r="K130" s="13"/>
      <c r="L130" s="22" t="s">
        <v>1193</v>
      </c>
      <c r="M130" s="22">
        <v>5000000</v>
      </c>
      <c r="N130" s="367" t="s">
        <v>1191</v>
      </c>
      <c r="O130" s="367" t="s">
        <v>1192</v>
      </c>
      <c r="P130" s="367"/>
      <c r="Q130" s="367"/>
      <c r="S130" s="12"/>
      <c r="T130" s="13"/>
      <c r="U130" s="22"/>
      <c r="V130" s="22"/>
      <c r="W130" s="367"/>
      <c r="X130" s="367"/>
      <c r="Y130" s="367"/>
      <c r="Z130" s="367"/>
    </row>
    <row r="131" spans="1:26">
      <c r="A131" s="12"/>
      <c r="B131" s="13"/>
      <c r="C131" s="22"/>
      <c r="D131" s="29"/>
      <c r="E131" s="364"/>
      <c r="F131" s="364"/>
      <c r="G131" s="364"/>
      <c r="H131" s="364"/>
      <c r="J131" s="12"/>
      <c r="K131" s="13"/>
      <c r="L131" s="22" t="s">
        <v>1199</v>
      </c>
      <c r="M131" s="29">
        <v>10000000</v>
      </c>
      <c r="N131" s="367"/>
      <c r="O131" s="367"/>
      <c r="P131" s="367"/>
      <c r="Q131" s="367"/>
      <c r="S131" s="12"/>
      <c r="T131" s="13"/>
      <c r="U131" s="22"/>
      <c r="V131" s="29"/>
      <c r="W131" s="367"/>
      <c r="X131" s="367"/>
      <c r="Y131" s="367"/>
      <c r="Z131" s="367"/>
    </row>
    <row r="132" spans="1:26">
      <c r="A132" s="12"/>
      <c r="B132" s="13"/>
      <c r="C132" s="22"/>
      <c r="D132" s="29"/>
      <c r="E132" s="364"/>
      <c r="F132" s="364"/>
      <c r="G132" s="364"/>
      <c r="H132" s="364"/>
      <c r="J132" s="12"/>
      <c r="K132" s="13"/>
      <c r="L132" s="22" t="s">
        <v>1200</v>
      </c>
      <c r="M132" s="29">
        <v>3000000</v>
      </c>
      <c r="N132" s="367"/>
      <c r="O132" s="367"/>
      <c r="P132" s="367"/>
      <c r="Q132" s="367"/>
      <c r="S132" s="12"/>
      <c r="T132" s="13"/>
      <c r="U132" s="22"/>
      <c r="V132" s="29"/>
      <c r="W132" s="367"/>
      <c r="X132" s="367"/>
      <c r="Y132" s="367"/>
      <c r="Z132" s="367"/>
    </row>
    <row r="133" spans="1:26">
      <c r="A133" s="12"/>
      <c r="B133" s="13"/>
      <c r="C133" s="22"/>
      <c r="D133" s="29"/>
      <c r="E133" s="364"/>
      <c r="F133" s="364"/>
      <c r="G133" s="364"/>
      <c r="H133" s="364"/>
      <c r="J133" s="12"/>
      <c r="K133" s="13"/>
      <c r="L133" s="22" t="s">
        <v>1212</v>
      </c>
      <c r="M133" s="29">
        <v>5000000</v>
      </c>
      <c r="N133" s="367"/>
      <c r="O133" s="367"/>
      <c r="P133" s="367"/>
      <c r="Q133" s="367"/>
      <c r="S133" s="12"/>
      <c r="T133" s="13"/>
      <c r="U133" s="22"/>
      <c r="V133" s="29"/>
      <c r="W133" s="367"/>
      <c r="X133" s="367"/>
      <c r="Y133" s="367"/>
      <c r="Z133" s="367"/>
    </row>
    <row r="134" spans="1:26">
      <c r="A134" s="12"/>
      <c r="B134" s="13"/>
      <c r="C134" s="22"/>
      <c r="D134" s="29"/>
      <c r="E134" s="364"/>
      <c r="F134" s="364"/>
      <c r="G134" s="364"/>
      <c r="H134" s="364"/>
      <c r="J134" s="12"/>
      <c r="K134" s="13"/>
      <c r="L134" s="22" t="s">
        <v>1212</v>
      </c>
      <c r="M134" s="29">
        <v>5000000</v>
      </c>
      <c r="N134" s="367"/>
      <c r="O134" s="367"/>
      <c r="P134" s="367"/>
      <c r="Q134" s="367"/>
      <c r="S134" s="12"/>
      <c r="T134" s="13"/>
      <c r="U134" s="22"/>
      <c r="V134" s="29"/>
      <c r="W134" s="367"/>
      <c r="X134" s="367"/>
      <c r="Y134" s="367"/>
      <c r="Z134" s="367"/>
    </row>
    <row r="135" spans="1:26">
      <c r="A135" s="12"/>
      <c r="B135" s="13"/>
      <c r="C135" s="22"/>
      <c r="D135" s="29"/>
      <c r="E135" s="364"/>
      <c r="F135" s="364"/>
      <c r="G135" s="364"/>
      <c r="H135" s="364"/>
      <c r="J135" s="12"/>
      <c r="K135" s="13"/>
      <c r="L135" s="22"/>
      <c r="M135" s="29"/>
      <c r="N135" s="367"/>
      <c r="O135" s="367"/>
      <c r="P135" s="367"/>
      <c r="Q135" s="367"/>
      <c r="S135" s="12"/>
      <c r="T135" s="13"/>
      <c r="U135" s="22"/>
      <c r="V135" s="29"/>
      <c r="W135" s="367"/>
      <c r="X135" s="367"/>
      <c r="Y135" s="367"/>
      <c r="Z135" s="367"/>
    </row>
    <row r="136" spans="1:26">
      <c r="A136" s="12"/>
      <c r="B136" s="13"/>
      <c r="C136" s="22"/>
      <c r="D136" s="29"/>
      <c r="E136" s="364"/>
      <c r="F136" s="364"/>
      <c r="G136" s="364"/>
      <c r="H136" s="364"/>
      <c r="J136" s="12"/>
      <c r="K136" s="13"/>
      <c r="L136" s="22"/>
      <c r="M136" s="29"/>
      <c r="N136" s="367"/>
      <c r="O136" s="367"/>
      <c r="P136" s="367"/>
      <c r="Q136" s="367"/>
      <c r="S136" s="12"/>
      <c r="T136" s="13"/>
      <c r="U136" s="22"/>
      <c r="V136" s="29"/>
      <c r="W136" s="367"/>
      <c r="X136" s="367"/>
      <c r="Y136" s="367"/>
      <c r="Z136" s="367"/>
    </row>
    <row r="137" spans="1:26">
      <c r="A137" s="12"/>
      <c r="B137" s="13"/>
      <c r="C137" s="26" t="s">
        <v>34</v>
      </c>
      <c r="D137" s="27">
        <f>SUM(D128:D134)</f>
        <v>0</v>
      </c>
      <c r="E137" s="27">
        <v>0</v>
      </c>
      <c r="F137" s="27">
        <v>0</v>
      </c>
      <c r="G137" s="27"/>
      <c r="H137" s="27"/>
      <c r="J137" s="12"/>
      <c r="K137" s="13"/>
      <c r="L137" s="26" t="s">
        <v>34</v>
      </c>
      <c r="M137" s="27">
        <f>SUM(M128:M134)</f>
        <v>37500000</v>
      </c>
      <c r="N137" s="27">
        <v>0</v>
      </c>
      <c r="O137" s="27">
        <v>0</v>
      </c>
      <c r="P137" s="27"/>
      <c r="Q137" s="27"/>
      <c r="S137" s="12"/>
      <c r="T137" s="13"/>
      <c r="U137" s="26" t="s">
        <v>34</v>
      </c>
      <c r="V137" s="27">
        <f>SUM(V128:V134)</f>
        <v>57737000</v>
      </c>
      <c r="W137" s="27">
        <v>0</v>
      </c>
      <c r="X137" s="27">
        <v>0</v>
      </c>
      <c r="Y137" s="27"/>
      <c r="Z137" s="27"/>
    </row>
    <row r="138" spans="1:26">
      <c r="A138" s="20"/>
      <c r="B138" s="19"/>
      <c r="C138" s="364" t="s">
        <v>21</v>
      </c>
      <c r="D138" s="10"/>
      <c r="E138" s="531">
        <f>D137</f>
        <v>0</v>
      </c>
      <c r="F138" s="532"/>
      <c r="G138" s="532"/>
      <c r="H138" s="533"/>
      <c r="J138" s="20"/>
      <c r="K138" s="19"/>
      <c r="L138" s="367" t="s">
        <v>21</v>
      </c>
      <c r="M138" s="10"/>
      <c r="N138" s="531">
        <f>M137</f>
        <v>37500000</v>
      </c>
      <c r="O138" s="532"/>
      <c r="P138" s="532"/>
      <c r="Q138" s="533"/>
      <c r="S138" s="20"/>
      <c r="T138" s="19"/>
      <c r="U138" s="367" t="s">
        <v>21</v>
      </c>
      <c r="V138" s="10"/>
      <c r="W138" s="531">
        <f>V137</f>
        <v>57737000</v>
      </c>
      <c r="X138" s="532"/>
      <c r="Y138" s="532"/>
      <c r="Z138" s="533"/>
    </row>
    <row r="139" spans="1:26">
      <c r="A139" s="525" t="s">
        <v>35</v>
      </c>
      <c r="B139" s="525"/>
      <c r="C139" s="525"/>
      <c r="D139" s="361"/>
      <c r="E139" s="526">
        <f>E55+E61+E126+E138+E103+E112+E69</f>
        <v>278581750</v>
      </c>
      <c r="F139" s="526"/>
      <c r="G139" s="526"/>
      <c r="H139" s="526"/>
      <c r="J139" s="525" t="s">
        <v>35</v>
      </c>
      <c r="K139" s="525"/>
      <c r="L139" s="525"/>
      <c r="M139" s="366"/>
      <c r="N139" s="526">
        <f>N55+N61+N126+N138+N103+N112+N69</f>
        <v>148012000</v>
      </c>
      <c r="O139" s="526"/>
      <c r="P139" s="526"/>
      <c r="Q139" s="526"/>
      <c r="S139" s="525" t="s">
        <v>35</v>
      </c>
      <c r="T139" s="525"/>
      <c r="U139" s="525"/>
      <c r="V139" s="366"/>
      <c r="W139" s="526">
        <f>W55+W61+W126+W138+W103+W112+W69</f>
        <v>162631500</v>
      </c>
      <c r="X139" s="526"/>
      <c r="Y139" s="526"/>
      <c r="Z139" s="526"/>
    </row>
    <row r="140" spans="1:26">
      <c r="A140" s="522" t="s">
        <v>36</v>
      </c>
      <c r="B140" s="522"/>
      <c r="C140" s="522"/>
      <c r="D140" s="363"/>
      <c r="E140" s="523">
        <f>+E35+E139</f>
        <v>287824250</v>
      </c>
      <c r="F140" s="523"/>
      <c r="G140" s="523"/>
      <c r="H140" s="523"/>
      <c r="J140" s="522" t="s">
        <v>36</v>
      </c>
      <c r="K140" s="522"/>
      <c r="L140" s="522"/>
      <c r="M140" s="365"/>
      <c r="N140" s="523">
        <f>+N35+N139</f>
        <v>150598500</v>
      </c>
      <c r="O140" s="523"/>
      <c r="P140" s="523"/>
      <c r="Q140" s="523"/>
      <c r="S140" s="522" t="s">
        <v>36</v>
      </c>
      <c r="T140" s="522"/>
      <c r="U140" s="522"/>
      <c r="V140" s="365"/>
      <c r="W140" s="523">
        <f>+W35+W139</f>
        <v>166487500</v>
      </c>
      <c r="X140" s="523"/>
      <c r="Y140" s="523"/>
      <c r="Z140" s="523"/>
    </row>
    <row r="141" spans="1:26">
      <c r="A141" s="37"/>
      <c r="B141" s="38"/>
      <c r="C141" s="39"/>
      <c r="D141" s="47"/>
      <c r="E141" s="39"/>
      <c r="F141" s="39"/>
      <c r="G141" s="39"/>
      <c r="H141" s="39"/>
      <c r="J141" s="37"/>
      <c r="K141" s="38"/>
      <c r="L141" s="39"/>
      <c r="M141" s="47"/>
      <c r="N141" s="39"/>
      <c r="O141" s="39"/>
      <c r="P141" s="39"/>
      <c r="Q141" s="39"/>
      <c r="S141" s="37"/>
      <c r="T141" s="38"/>
      <c r="U141" s="39"/>
      <c r="V141" s="47"/>
      <c r="W141" s="39"/>
      <c r="X141" s="39"/>
      <c r="Y141" s="39"/>
      <c r="Z141" s="39"/>
    </row>
    <row r="142" spans="1:26">
      <c r="A142" s="519" t="s">
        <v>13</v>
      </c>
      <c r="B142" s="520"/>
      <c r="C142" s="520"/>
      <c r="D142" s="520"/>
      <c r="E142" s="521"/>
      <c r="F142" s="39"/>
      <c r="G142" s="39"/>
      <c r="H142" s="40"/>
      <c r="J142" s="519" t="s">
        <v>13</v>
      </c>
      <c r="K142" s="520"/>
      <c r="L142" s="520"/>
      <c r="M142" s="520"/>
      <c r="N142" s="521"/>
      <c r="O142" s="39"/>
      <c r="P142" s="39"/>
      <c r="Q142" s="40"/>
      <c r="S142" s="519" t="s">
        <v>13</v>
      </c>
      <c r="T142" s="520"/>
      <c r="U142" s="520"/>
      <c r="V142" s="520"/>
      <c r="W142" s="521"/>
      <c r="X142" s="39"/>
      <c r="Y142" s="39"/>
      <c r="Z142" s="40"/>
    </row>
    <row r="143" spans="1:26">
      <c r="A143" s="41" t="s">
        <v>39</v>
      </c>
      <c r="B143" s="42" t="s">
        <v>40</v>
      </c>
      <c r="C143" s="43" t="s">
        <v>980</v>
      </c>
      <c r="D143" s="43" t="s">
        <v>42</v>
      </c>
      <c r="E143" s="43" t="s">
        <v>43</v>
      </c>
      <c r="F143" s="39"/>
      <c r="G143" s="39"/>
      <c r="H143" s="39"/>
      <c r="J143" s="41" t="s">
        <v>39</v>
      </c>
      <c r="K143" s="42" t="s">
        <v>40</v>
      </c>
      <c r="L143" s="43" t="s">
        <v>980</v>
      </c>
      <c r="M143" s="43" t="s">
        <v>42</v>
      </c>
      <c r="N143" s="43" t="s">
        <v>43</v>
      </c>
      <c r="O143" s="39"/>
      <c r="P143" s="39"/>
      <c r="Q143" s="39"/>
      <c r="S143" s="41" t="s">
        <v>39</v>
      </c>
      <c r="T143" s="42" t="s">
        <v>40</v>
      </c>
      <c r="U143" s="43" t="s">
        <v>980</v>
      </c>
      <c r="V143" s="43" t="s">
        <v>42</v>
      </c>
      <c r="W143" s="43" t="s">
        <v>43</v>
      </c>
      <c r="X143" s="39"/>
      <c r="Y143" s="39"/>
      <c r="Z143" s="39"/>
    </row>
    <row r="144" spans="1:26">
      <c r="A144" s="41"/>
      <c r="B144" s="110"/>
      <c r="C144" s="45"/>
      <c r="D144" s="46"/>
      <c r="E144" s="46"/>
      <c r="F144" s="39"/>
      <c r="G144" s="39"/>
      <c r="H144" s="39"/>
      <c r="J144" s="41"/>
      <c r="K144" s="110">
        <v>46220</v>
      </c>
      <c r="L144" s="45" t="s">
        <v>1185</v>
      </c>
      <c r="M144" s="46">
        <v>55937000</v>
      </c>
      <c r="N144" s="46"/>
      <c r="O144" s="39"/>
      <c r="P144" s="39"/>
      <c r="Q144" s="39"/>
      <c r="S144" s="41"/>
      <c r="T144" s="110"/>
      <c r="U144" s="45" t="s">
        <v>1202</v>
      </c>
      <c r="V144" s="46">
        <v>160000000</v>
      </c>
      <c r="W144" s="46"/>
      <c r="X144" s="39"/>
      <c r="Y144" s="39"/>
      <c r="Z144" s="39"/>
    </row>
    <row r="145" spans="1:26">
      <c r="A145" s="41"/>
      <c r="B145" s="44"/>
      <c r="C145" s="45"/>
      <c r="D145" s="46"/>
      <c r="E145" s="46"/>
      <c r="F145" s="39"/>
      <c r="G145" s="39"/>
      <c r="H145" s="40"/>
      <c r="J145" s="41"/>
      <c r="K145" s="44"/>
      <c r="L145" s="45" t="s">
        <v>1194</v>
      </c>
      <c r="M145" s="46">
        <f>+M137</f>
        <v>37500000</v>
      </c>
      <c r="N145" s="46"/>
      <c r="O145" s="39"/>
      <c r="P145" s="39"/>
      <c r="Q145" s="40">
        <f>+M128+M129+M130</f>
        <v>14500000</v>
      </c>
      <c r="S145" s="41"/>
      <c r="T145" s="44"/>
      <c r="U145" s="45"/>
      <c r="V145" s="46"/>
      <c r="W145" s="46"/>
      <c r="X145" s="39"/>
      <c r="Y145" s="39"/>
      <c r="Z145" s="40"/>
    </row>
    <row r="146" spans="1:26">
      <c r="A146" s="41"/>
      <c r="B146" s="44"/>
      <c r="C146" s="46"/>
      <c r="D146" s="46"/>
      <c r="E146" s="46"/>
      <c r="F146" s="39"/>
      <c r="G146" s="39"/>
      <c r="H146" s="39"/>
      <c r="J146" s="41"/>
      <c r="K146" s="44"/>
      <c r="L146" s="46" t="s">
        <v>1201</v>
      </c>
      <c r="M146" s="46">
        <v>80000000</v>
      </c>
      <c r="N146" s="46"/>
      <c r="O146" s="39"/>
      <c r="P146" s="39"/>
      <c r="Q146" s="39"/>
      <c r="S146" s="41"/>
      <c r="T146" s="44"/>
      <c r="U146" s="46"/>
      <c r="V146" s="46"/>
      <c r="W146" s="46"/>
      <c r="X146" s="39"/>
      <c r="Y146" s="39"/>
      <c r="Z146" s="39"/>
    </row>
    <row r="147" spans="1:26">
      <c r="A147" s="41"/>
      <c r="B147" s="44"/>
      <c r="C147" s="327"/>
      <c r="D147" s="46"/>
      <c r="E147" s="46"/>
      <c r="F147" s="39"/>
      <c r="G147" s="39"/>
      <c r="H147" s="39"/>
      <c r="J147" s="41"/>
      <c r="K147" s="44"/>
      <c r="L147" s="327"/>
      <c r="M147" s="46"/>
      <c r="N147" s="46"/>
      <c r="O147" s="39"/>
      <c r="P147" s="39"/>
      <c r="Q147" s="39"/>
      <c r="S147" s="41"/>
      <c r="T147" s="44"/>
      <c r="U147" s="327"/>
      <c r="V147" s="46"/>
      <c r="W147" s="46"/>
      <c r="X147" s="39"/>
      <c r="Y147" s="39"/>
      <c r="Z147" s="39"/>
    </row>
    <row r="148" spans="1:26">
      <c r="A148" s="41"/>
      <c r="B148" s="44"/>
      <c r="C148" s="46"/>
      <c r="D148" s="48"/>
      <c r="E148" s="46"/>
      <c r="F148" s="39"/>
      <c r="G148" s="39"/>
      <c r="H148" s="39"/>
      <c r="J148" s="41"/>
      <c r="K148" s="44"/>
      <c r="L148" s="46"/>
      <c r="M148" s="48"/>
      <c r="N148" s="46"/>
      <c r="O148" s="39"/>
      <c r="P148" s="39"/>
      <c r="Q148" s="39"/>
      <c r="S148" s="41"/>
      <c r="T148" s="44"/>
      <c r="U148" s="46"/>
      <c r="V148" s="48"/>
      <c r="W148" s="46"/>
      <c r="X148" s="39"/>
      <c r="Y148" s="39"/>
      <c r="Z148" s="39"/>
    </row>
    <row r="149" spans="1:26">
      <c r="A149" s="49"/>
      <c r="B149" s="50"/>
      <c r="C149" s="51" t="s">
        <v>44</v>
      </c>
      <c r="D149" s="51">
        <f>SUM(D144:D148)</f>
        <v>0</v>
      </c>
      <c r="E149" s="52"/>
      <c r="F149" s="39"/>
      <c r="G149" s="39"/>
      <c r="H149" s="39"/>
      <c r="J149" s="49"/>
      <c r="K149" s="50"/>
      <c r="L149" s="51" t="s">
        <v>44</v>
      </c>
      <c r="M149" s="51">
        <f>SUM(M144:M148)</f>
        <v>173437000</v>
      </c>
      <c r="N149" s="52"/>
      <c r="O149" s="39"/>
      <c r="P149" s="39"/>
      <c r="Q149" s="39"/>
      <c r="S149" s="49"/>
      <c r="T149" s="50"/>
      <c r="U149" s="51" t="s">
        <v>44</v>
      </c>
      <c r="V149" s="51">
        <f>SUM(V144:V148)</f>
        <v>160000000</v>
      </c>
      <c r="W149" s="52"/>
      <c r="X149" s="39"/>
      <c r="Y149" s="39"/>
      <c r="Z149" s="39"/>
    </row>
    <row r="150" spans="1:26">
      <c r="A150" s="53"/>
      <c r="B150" s="54"/>
      <c r="C150" s="55" t="s">
        <v>779</v>
      </c>
      <c r="D150" s="116"/>
      <c r="E150" s="3"/>
      <c r="F150" s="39"/>
      <c r="G150" s="39"/>
      <c r="H150" s="39"/>
      <c r="J150" s="53"/>
      <c r="K150" s="54"/>
      <c r="L150" s="55" t="s">
        <v>779</v>
      </c>
      <c r="M150" s="116">
        <f>+M149-N140</f>
        <v>22838500</v>
      </c>
      <c r="N150" s="3"/>
      <c r="O150" s="39"/>
      <c r="P150" s="39"/>
      <c r="Q150" s="39"/>
      <c r="S150" s="53"/>
      <c r="T150" s="54"/>
      <c r="U150" s="55" t="s">
        <v>779</v>
      </c>
      <c r="V150" s="116">
        <f>+V149-W140</f>
        <v>-6487500</v>
      </c>
      <c r="W150" s="3"/>
      <c r="X150" s="39"/>
      <c r="Y150" s="39"/>
      <c r="Z150" s="39"/>
    </row>
  </sheetData>
  <mergeCells count="87">
    <mergeCell ref="A140:C140"/>
    <mergeCell ref="E140:H140"/>
    <mergeCell ref="A142:E142"/>
    <mergeCell ref="A113:H113"/>
    <mergeCell ref="E126:H126"/>
    <mergeCell ref="A127:H127"/>
    <mergeCell ref="E138:H138"/>
    <mergeCell ref="A139:C139"/>
    <mergeCell ref="E139:H139"/>
    <mergeCell ref="E112:H112"/>
    <mergeCell ref="A35:D35"/>
    <mergeCell ref="E35:H35"/>
    <mergeCell ref="A36:H36"/>
    <mergeCell ref="E55:H55"/>
    <mergeCell ref="A56:H56"/>
    <mergeCell ref="E61:H61"/>
    <mergeCell ref="A62:H62"/>
    <mergeCell ref="E69:H69"/>
    <mergeCell ref="A70:H70"/>
    <mergeCell ref="E103:H103"/>
    <mergeCell ref="A104:H104"/>
    <mergeCell ref="A3:H3"/>
    <mergeCell ref="A12:G12"/>
    <mergeCell ref="A13:H13"/>
    <mergeCell ref="A14:A15"/>
    <mergeCell ref="B14:B15"/>
    <mergeCell ref="C14:C15"/>
    <mergeCell ref="D14:D15"/>
    <mergeCell ref="E14:H14"/>
    <mergeCell ref="J3:Q3"/>
    <mergeCell ref="J12:P12"/>
    <mergeCell ref="J13:Q13"/>
    <mergeCell ref="J14:J15"/>
    <mergeCell ref="K14:K15"/>
    <mergeCell ref="L14:L15"/>
    <mergeCell ref="M14:M15"/>
    <mergeCell ref="N14:Q14"/>
    <mergeCell ref="J35:M35"/>
    <mergeCell ref="N35:Q35"/>
    <mergeCell ref="J36:Q36"/>
    <mergeCell ref="N55:Q55"/>
    <mergeCell ref="J56:Q56"/>
    <mergeCell ref="N61:Q61"/>
    <mergeCell ref="J62:Q62"/>
    <mergeCell ref="N69:Q69"/>
    <mergeCell ref="J70:Q70"/>
    <mergeCell ref="N103:Q103"/>
    <mergeCell ref="J104:Q104"/>
    <mergeCell ref="N112:Q112"/>
    <mergeCell ref="J113:Q113"/>
    <mergeCell ref="N126:Q126"/>
    <mergeCell ref="J127:Q127"/>
    <mergeCell ref="N138:Q138"/>
    <mergeCell ref="J139:L139"/>
    <mergeCell ref="N139:Q139"/>
    <mergeCell ref="J140:L140"/>
    <mergeCell ref="N140:Q140"/>
    <mergeCell ref="J142:N142"/>
    <mergeCell ref="S3:Z3"/>
    <mergeCell ref="S12:Y12"/>
    <mergeCell ref="S13:Z13"/>
    <mergeCell ref="S14:S15"/>
    <mergeCell ref="T14:T15"/>
    <mergeCell ref="U14:U15"/>
    <mergeCell ref="V14:V15"/>
    <mergeCell ref="W14:Z14"/>
    <mergeCell ref="S35:V35"/>
    <mergeCell ref="W35:Z35"/>
    <mergeCell ref="S36:Z36"/>
    <mergeCell ref="W55:Z55"/>
    <mergeCell ref="S56:Z56"/>
    <mergeCell ref="W61:Z61"/>
    <mergeCell ref="S62:Z62"/>
    <mergeCell ref="W69:Z69"/>
    <mergeCell ref="S70:Z70"/>
    <mergeCell ref="W103:Z103"/>
    <mergeCell ref="S104:Z104"/>
    <mergeCell ref="W112:Z112"/>
    <mergeCell ref="S140:U140"/>
    <mergeCell ref="W140:Z140"/>
    <mergeCell ref="S142:W142"/>
    <mergeCell ref="S113:Z113"/>
    <mergeCell ref="W126:Z126"/>
    <mergeCell ref="S127:Z127"/>
    <mergeCell ref="W138:Z138"/>
    <mergeCell ref="S139:U139"/>
    <mergeCell ref="W139:Z139"/>
  </mergeCells>
  <pageMargins left="0.23622047244094491" right="0.23622047244094491" top="0.74803149606299213" bottom="0.74803149606299213" header="0.31496062992125984" footer="0.31496062992125984"/>
  <pageSetup paperSize="9" scale="8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86"/>
  <sheetViews>
    <sheetView workbookViewId="0"/>
  </sheetViews>
  <sheetFormatPr defaultRowHeight="15"/>
  <cols>
    <col min="1" max="1" width="51" customWidth="1"/>
    <col min="2" max="2" width="11.5703125" style="77" bestFit="1" customWidth="1"/>
    <col min="3" max="3" width="40.42578125" bestFit="1" customWidth="1"/>
    <col min="4" max="4" width="10.5703125" style="77" bestFit="1" customWidth="1"/>
    <col min="5" max="5" width="35.28515625" bestFit="1" customWidth="1"/>
    <col min="6" max="6" width="11.5703125" bestFit="1" customWidth="1"/>
    <col min="7" max="7" width="52.28515625" bestFit="1" customWidth="1"/>
    <col min="8" max="8" width="12.5703125" bestFit="1" customWidth="1"/>
    <col min="9" max="9" width="47.28515625" bestFit="1" customWidth="1"/>
    <col min="10" max="10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>
      <c r="A2" s="15"/>
      <c r="B2" s="23"/>
      <c r="C2" s="14" t="s">
        <v>1085</v>
      </c>
      <c r="D2" s="15">
        <v>214500</v>
      </c>
      <c r="E2" s="155" t="s">
        <v>1090</v>
      </c>
      <c r="F2" s="154">
        <v>200000</v>
      </c>
      <c r="G2" s="14" t="s">
        <v>1059</v>
      </c>
      <c r="H2" s="15">
        <v>450000</v>
      </c>
      <c r="I2" s="14"/>
      <c r="J2" s="15"/>
    </row>
    <row r="3" spans="1:10">
      <c r="A3" s="15"/>
      <c r="B3" s="23"/>
      <c r="C3" s="14" t="s">
        <v>1149</v>
      </c>
      <c r="D3" s="15">
        <v>70000</v>
      </c>
      <c r="E3" s="155" t="s">
        <v>1102</v>
      </c>
      <c r="F3" s="154">
        <v>200000</v>
      </c>
      <c r="G3" s="14" t="s">
        <v>1001</v>
      </c>
      <c r="H3" s="15">
        <v>503000</v>
      </c>
      <c r="I3" s="14"/>
      <c r="J3" s="15"/>
    </row>
    <row r="4" spans="1:10">
      <c r="A4" s="23"/>
      <c r="B4" s="23"/>
      <c r="C4" s="23" t="s">
        <v>1127</v>
      </c>
      <c r="D4" s="23">
        <v>450000</v>
      </c>
      <c r="E4" s="155" t="s">
        <v>1155</v>
      </c>
      <c r="F4" s="154">
        <v>175000</v>
      </c>
      <c r="G4" s="14" t="s">
        <v>1002</v>
      </c>
      <c r="H4" s="15">
        <v>503000</v>
      </c>
      <c r="I4" s="14"/>
      <c r="J4" s="15"/>
    </row>
    <row r="5" spans="1:10">
      <c r="A5" s="23"/>
      <c r="B5" s="23"/>
      <c r="C5" s="15" t="s">
        <v>961</v>
      </c>
      <c r="D5" s="23">
        <v>450000</v>
      </c>
      <c r="E5" s="155" t="s">
        <v>1160</v>
      </c>
      <c r="F5" s="154">
        <v>65000</v>
      </c>
      <c r="G5" s="14" t="s">
        <v>802</v>
      </c>
      <c r="H5" s="15">
        <v>185000</v>
      </c>
      <c r="I5" s="14"/>
      <c r="J5" s="15"/>
    </row>
    <row r="6" spans="1:10">
      <c r="A6" s="23"/>
      <c r="B6" s="23"/>
      <c r="C6" s="23" t="s">
        <v>1106</v>
      </c>
      <c r="D6" s="23">
        <v>50000</v>
      </c>
      <c r="E6" s="155" t="s">
        <v>1159</v>
      </c>
      <c r="F6" s="154">
        <v>100000</v>
      </c>
      <c r="G6" s="14" t="s">
        <v>1003</v>
      </c>
      <c r="H6" s="15">
        <v>450500</v>
      </c>
      <c r="I6" s="14"/>
      <c r="J6" s="15"/>
    </row>
    <row r="7" spans="1:10">
      <c r="A7" s="22"/>
      <c r="B7" s="22"/>
      <c r="C7" s="22" t="s">
        <v>1121</v>
      </c>
      <c r="D7" s="22">
        <v>150000</v>
      </c>
      <c r="E7" s="154" t="s">
        <v>1174</v>
      </c>
      <c r="F7" s="154">
        <v>4831000</v>
      </c>
      <c r="G7" s="14" t="s">
        <v>180</v>
      </c>
      <c r="H7" s="15">
        <v>1194000</v>
      </c>
      <c r="I7" s="14"/>
      <c r="J7" s="15"/>
    </row>
    <row r="8" spans="1:10">
      <c r="A8" s="22"/>
      <c r="B8" s="22"/>
      <c r="C8" s="15"/>
      <c r="D8" s="22"/>
      <c r="E8" s="154" t="s">
        <v>1175</v>
      </c>
      <c r="F8" s="154">
        <v>12000</v>
      </c>
      <c r="G8" s="14" t="s">
        <v>1005</v>
      </c>
      <c r="H8" s="15">
        <v>202500</v>
      </c>
      <c r="I8" s="14"/>
      <c r="J8" s="15"/>
    </row>
    <row r="9" spans="1:10">
      <c r="A9" s="22"/>
      <c r="B9" s="22"/>
      <c r="C9" s="15"/>
      <c r="D9" s="22"/>
      <c r="E9" s="155" t="s">
        <v>1157</v>
      </c>
      <c r="F9" s="154">
        <v>7926000</v>
      </c>
      <c r="G9" s="14" t="s">
        <v>1006</v>
      </c>
      <c r="H9" s="15">
        <v>100000</v>
      </c>
      <c r="I9" s="14"/>
      <c r="J9" s="15"/>
    </row>
    <row r="10" spans="1:10">
      <c r="A10" s="22"/>
      <c r="B10" s="22"/>
      <c r="C10" s="15"/>
      <c r="D10" s="22"/>
      <c r="E10" s="155"/>
      <c r="F10" s="154"/>
      <c r="G10" s="14" t="s">
        <v>1083</v>
      </c>
      <c r="H10" s="15">
        <v>270000</v>
      </c>
      <c r="I10" s="14"/>
      <c r="J10" s="15"/>
    </row>
    <row r="11" spans="1:10">
      <c r="A11" s="22"/>
      <c r="B11" s="22"/>
      <c r="C11" s="15"/>
      <c r="D11" s="22"/>
      <c r="E11" s="155"/>
      <c r="F11" s="154"/>
      <c r="G11" s="14" t="s">
        <v>1152</v>
      </c>
      <c r="H11" s="15">
        <v>300000</v>
      </c>
      <c r="I11" s="14"/>
      <c r="J11" s="15"/>
    </row>
    <row r="12" spans="1:10">
      <c r="A12" s="22"/>
      <c r="B12" s="22"/>
      <c r="C12" s="15"/>
      <c r="D12" s="22"/>
      <c r="E12" s="155"/>
      <c r="F12" s="154"/>
      <c r="G12" s="14" t="s">
        <v>1006</v>
      </c>
      <c r="H12" s="15">
        <v>300000</v>
      </c>
      <c r="I12" s="14"/>
      <c r="J12" s="15"/>
    </row>
    <row r="13" spans="1:10">
      <c r="A13" s="22"/>
      <c r="B13" s="22"/>
      <c r="C13" s="15"/>
      <c r="D13" s="22"/>
      <c r="E13" s="155"/>
      <c r="F13" s="154"/>
      <c r="G13" s="14" t="s">
        <v>1153</v>
      </c>
      <c r="H13" s="15">
        <v>500000</v>
      </c>
      <c r="I13" s="14"/>
      <c r="J13" s="15"/>
    </row>
    <row r="14" spans="1:10">
      <c r="A14" s="22"/>
      <c r="B14" s="22"/>
      <c r="C14" s="15"/>
      <c r="D14" s="22"/>
      <c r="E14" s="155"/>
      <c r="F14" s="154"/>
      <c r="G14" s="15" t="s">
        <v>1024</v>
      </c>
      <c r="H14" s="23">
        <v>4256000</v>
      </c>
      <c r="I14" s="14"/>
      <c r="J14" s="15"/>
    </row>
    <row r="15" spans="1:10">
      <c r="A15" s="22"/>
      <c r="B15" s="22"/>
      <c r="C15" s="15"/>
      <c r="D15" s="22"/>
      <c r="E15" s="155"/>
      <c r="F15" s="154"/>
      <c r="G15" s="15" t="s">
        <v>1025</v>
      </c>
      <c r="H15" s="23">
        <v>138000</v>
      </c>
      <c r="I15" s="14"/>
      <c r="J15" s="15"/>
    </row>
    <row r="16" spans="1:10">
      <c r="A16" s="22"/>
      <c r="B16" s="22"/>
      <c r="C16" s="15"/>
      <c r="D16" s="22"/>
      <c r="E16" s="155"/>
      <c r="F16" s="154"/>
      <c r="G16" s="15" t="s">
        <v>1087</v>
      </c>
      <c r="H16" s="22">
        <v>30000</v>
      </c>
      <c r="I16" s="14"/>
      <c r="J16" s="15"/>
    </row>
    <row r="17" spans="1:10">
      <c r="A17" s="22"/>
      <c r="B17" s="22"/>
      <c r="C17" s="15"/>
      <c r="D17" s="22"/>
      <c r="E17" s="155"/>
      <c r="F17" s="154"/>
      <c r="G17" s="15" t="s">
        <v>1139</v>
      </c>
      <c r="H17" s="23">
        <v>610000</v>
      </c>
      <c r="I17" s="14"/>
      <c r="J17" s="15"/>
    </row>
    <row r="18" spans="1:10">
      <c r="A18" s="22"/>
      <c r="B18" s="22"/>
      <c r="C18" s="15"/>
      <c r="D18" s="22"/>
      <c r="E18" s="155"/>
      <c r="F18" s="154"/>
      <c r="G18" s="15" t="s">
        <v>1161</v>
      </c>
      <c r="H18" s="23">
        <v>1350000</v>
      </c>
      <c r="I18" s="14"/>
      <c r="J18" s="15"/>
    </row>
    <row r="19" spans="1:10">
      <c r="A19" s="22"/>
      <c r="B19" s="22"/>
      <c r="C19" s="15"/>
      <c r="D19" s="22"/>
      <c r="E19" s="155"/>
      <c r="F19" s="154"/>
      <c r="G19" s="23" t="s">
        <v>1031</v>
      </c>
      <c r="H19" s="23">
        <v>117000</v>
      </c>
      <c r="I19" s="14"/>
      <c r="J19" s="15"/>
    </row>
    <row r="20" spans="1:10">
      <c r="A20" s="22"/>
      <c r="B20" s="22"/>
      <c r="C20" s="15"/>
      <c r="D20" s="22"/>
      <c r="E20" s="155"/>
      <c r="F20" s="154"/>
      <c r="G20" s="24" t="s">
        <v>1130</v>
      </c>
      <c r="H20" s="23">
        <v>37000</v>
      </c>
      <c r="I20" s="14"/>
      <c r="J20" s="15"/>
    </row>
    <row r="21" spans="1:10">
      <c r="A21" s="22"/>
      <c r="B21" s="22"/>
      <c r="C21" s="15"/>
      <c r="D21" s="22"/>
      <c r="E21" s="155"/>
      <c r="F21" s="154"/>
      <c r="G21" s="24" t="s">
        <v>1132</v>
      </c>
      <c r="H21" s="23">
        <v>283000</v>
      </c>
      <c r="I21" s="14"/>
      <c r="J21" s="15"/>
    </row>
    <row r="22" spans="1:10">
      <c r="A22" s="22"/>
      <c r="B22" s="22"/>
      <c r="C22" s="15"/>
      <c r="D22" s="22"/>
      <c r="E22" s="155"/>
      <c r="F22" s="154"/>
      <c r="G22" s="24" t="s">
        <v>1179</v>
      </c>
      <c r="H22" s="23">
        <v>2362000</v>
      </c>
      <c r="I22" s="14"/>
      <c r="J22" s="15"/>
    </row>
    <row r="23" spans="1:10">
      <c r="A23" s="22"/>
      <c r="B23" s="22"/>
      <c r="C23" s="15"/>
      <c r="D23" s="22"/>
      <c r="E23" s="155"/>
      <c r="F23" s="154"/>
      <c r="G23" s="24" t="s">
        <v>1179</v>
      </c>
      <c r="H23" s="23">
        <v>1285000</v>
      </c>
      <c r="I23" s="14"/>
      <c r="J23" s="15"/>
    </row>
    <row r="24" spans="1:10">
      <c r="A24" s="22"/>
      <c r="B24" s="22"/>
      <c r="C24" s="15"/>
      <c r="D24" s="22"/>
      <c r="E24" s="155"/>
      <c r="F24" s="154"/>
      <c r="G24" s="24" t="s">
        <v>1181</v>
      </c>
      <c r="H24" s="23">
        <v>10000</v>
      </c>
      <c r="I24" s="14"/>
      <c r="J24" s="15"/>
    </row>
    <row r="25" spans="1:10">
      <c r="A25" s="22"/>
      <c r="B25" s="22"/>
      <c r="C25" s="15"/>
      <c r="D25" s="22"/>
      <c r="E25" s="155"/>
      <c r="F25" s="154"/>
      <c r="G25" s="24" t="s">
        <v>1180</v>
      </c>
      <c r="H25" s="23">
        <v>8550000</v>
      </c>
      <c r="I25" s="14"/>
      <c r="J25" s="15"/>
    </row>
    <row r="26" spans="1:10">
      <c r="A26" s="22"/>
      <c r="B26" s="22"/>
      <c r="C26" s="15"/>
      <c r="D26" s="22"/>
      <c r="E26" s="155"/>
      <c r="F26" s="154"/>
      <c r="G26" s="24" t="s">
        <v>1183</v>
      </c>
      <c r="H26" s="23">
        <v>30000</v>
      </c>
      <c r="I26" s="14"/>
      <c r="J26" s="15"/>
    </row>
    <row r="27" spans="1:10">
      <c r="A27" s="22"/>
      <c r="B27" s="22"/>
      <c r="C27" s="15"/>
      <c r="D27" s="22"/>
      <c r="E27" s="155"/>
      <c r="F27" s="154"/>
      <c r="G27" s="24" t="s">
        <v>1183</v>
      </c>
      <c r="H27" s="23">
        <v>3657000</v>
      </c>
      <c r="I27" s="14"/>
      <c r="J27" s="15"/>
    </row>
    <row r="28" spans="1:10">
      <c r="A28" s="22"/>
      <c r="B28" s="22"/>
      <c r="C28" s="15"/>
      <c r="D28" s="22"/>
      <c r="E28" s="155"/>
      <c r="F28" s="154"/>
      <c r="G28" s="24" t="s">
        <v>1181</v>
      </c>
      <c r="H28" s="23">
        <v>5000</v>
      </c>
      <c r="I28" s="14"/>
      <c r="J28" s="15"/>
    </row>
    <row r="29" spans="1:10">
      <c r="A29" s="22"/>
      <c r="B29" s="22"/>
      <c r="C29" s="15"/>
      <c r="D29" s="22"/>
      <c r="E29" s="155"/>
      <c r="F29" s="154"/>
      <c r="G29" s="23" t="s">
        <v>1177</v>
      </c>
      <c r="H29" s="23">
        <v>8802000</v>
      </c>
      <c r="I29" s="14"/>
      <c r="J29" s="15"/>
    </row>
    <row r="30" spans="1:10">
      <c r="A30" s="22"/>
      <c r="B30" s="22"/>
      <c r="C30" s="15"/>
      <c r="D30" s="22"/>
      <c r="E30" s="155"/>
      <c r="F30" s="154"/>
      <c r="G30" s="15" t="s">
        <v>1146</v>
      </c>
      <c r="H30" s="23">
        <v>500000</v>
      </c>
      <c r="I30" s="14"/>
      <c r="J30" s="15"/>
    </row>
    <row r="31" spans="1:10">
      <c r="A31" s="22"/>
      <c r="B31" s="22"/>
      <c r="C31" s="15"/>
      <c r="D31" s="22"/>
      <c r="E31" s="155"/>
      <c r="F31" s="154"/>
      <c r="G31" s="14" t="s">
        <v>1151</v>
      </c>
      <c r="H31" s="15">
        <v>2000000</v>
      </c>
      <c r="I31" s="14"/>
      <c r="J31" s="15"/>
    </row>
    <row r="32" spans="1:10">
      <c r="A32" s="22"/>
      <c r="B32" s="22"/>
      <c r="C32" s="15"/>
      <c r="D32" s="22"/>
      <c r="E32" s="155"/>
      <c r="F32" s="154"/>
      <c r="G32" s="14" t="s">
        <v>1150</v>
      </c>
      <c r="H32" s="15">
        <v>2000000</v>
      </c>
      <c r="I32" s="14"/>
      <c r="J32" s="15"/>
    </row>
    <row r="33" spans="1:10">
      <c r="A33" s="22"/>
      <c r="B33" s="22"/>
      <c r="C33" s="15"/>
      <c r="D33" s="22"/>
      <c r="E33" s="155"/>
      <c r="F33" s="154"/>
      <c r="G33" s="23" t="s">
        <v>1176</v>
      </c>
      <c r="H33" s="23">
        <v>300000</v>
      </c>
      <c r="I33" s="14"/>
      <c r="J33" s="15"/>
    </row>
    <row r="34" spans="1:10">
      <c r="A34" s="22"/>
      <c r="B34" s="22"/>
      <c r="C34" s="15"/>
      <c r="D34" s="22"/>
      <c r="E34" s="155"/>
      <c r="F34" s="154"/>
      <c r="G34" s="24"/>
      <c r="H34" s="23"/>
      <c r="I34" s="14"/>
      <c r="J34" s="15"/>
    </row>
    <row r="35" spans="1:10">
      <c r="A35" s="22"/>
      <c r="B35" s="22"/>
      <c r="C35" s="15"/>
      <c r="D35" s="22"/>
      <c r="E35" s="155"/>
      <c r="F35" s="154"/>
      <c r="G35" s="14"/>
      <c r="H35" s="15"/>
      <c r="I35" s="14"/>
      <c r="J35" s="15"/>
    </row>
    <row r="36" spans="1:10">
      <c r="A36" s="23"/>
      <c r="B36" s="23"/>
      <c r="C36" s="15"/>
      <c r="D36" s="22"/>
      <c r="E36" s="155"/>
      <c r="F36" s="154"/>
      <c r="G36" s="23"/>
      <c r="H36" s="23"/>
      <c r="I36" s="14"/>
      <c r="J36" s="15"/>
    </row>
    <row r="37" spans="1:10">
      <c r="A37" s="23"/>
      <c r="B37" s="23"/>
      <c r="C37" s="194"/>
      <c r="D37" s="194"/>
      <c r="E37" s="369"/>
      <c r="F37" s="369"/>
      <c r="G37" s="15"/>
      <c r="H37" s="23"/>
      <c r="I37" s="193"/>
      <c r="J37" s="194"/>
    </row>
    <row r="38" spans="1:10">
      <c r="A38" s="68"/>
      <c r="B38" s="69"/>
      <c r="C38" s="69"/>
      <c r="D38" s="69"/>
      <c r="E38" s="370"/>
      <c r="F38" s="370"/>
      <c r="G38" s="23"/>
      <c r="H38" s="23"/>
      <c r="I38" s="68"/>
      <c r="J38" s="69"/>
    </row>
    <row r="39" spans="1:10">
      <c r="A39" s="68"/>
      <c r="B39" s="69"/>
      <c r="C39" s="69"/>
      <c r="D39" s="69"/>
      <c r="E39" s="370"/>
      <c r="F39" s="370"/>
      <c r="G39" s="119"/>
      <c r="H39" s="120"/>
      <c r="I39" s="68"/>
      <c r="J39" s="69"/>
    </row>
    <row r="40" spans="1:10">
      <c r="A40" s="70"/>
      <c r="B40" s="71">
        <f t="shared" ref="B40:J40" si="0">SUM(B2:B38)</f>
        <v>0</v>
      </c>
      <c r="C40" s="71">
        <f t="shared" si="0"/>
        <v>0</v>
      </c>
      <c r="D40" s="71">
        <f t="shared" si="0"/>
        <v>1384500</v>
      </c>
      <c r="E40" s="371">
        <f t="shared" si="0"/>
        <v>0</v>
      </c>
      <c r="F40" s="371">
        <f t="shared" si="0"/>
        <v>13509000</v>
      </c>
      <c r="G40" s="71">
        <f t="shared" si="0"/>
        <v>0</v>
      </c>
      <c r="H40" s="71">
        <f t="shared" si="0"/>
        <v>41280000</v>
      </c>
      <c r="I40" s="71">
        <f t="shared" si="0"/>
        <v>0</v>
      </c>
      <c r="J40" s="71">
        <f t="shared" si="0"/>
        <v>0</v>
      </c>
    </row>
    <row r="41" spans="1:10">
      <c r="C41" t="s">
        <v>1195</v>
      </c>
      <c r="D41" s="77">
        <v>100000</v>
      </c>
    </row>
    <row r="42" spans="1:10">
      <c r="C42" t="s">
        <v>1196</v>
      </c>
      <c r="D42" s="77">
        <v>50000</v>
      </c>
    </row>
    <row r="43" spans="1:10">
      <c r="C43" t="s">
        <v>1197</v>
      </c>
      <c r="D43" s="77">
        <v>800000</v>
      </c>
      <c r="F43" s="72">
        <f>+D2+D3</f>
        <v>284500</v>
      </c>
      <c r="H43" s="72">
        <f>+H14+H17</f>
        <v>4866000</v>
      </c>
      <c r="J43" s="72">
        <f>+J40+H40+F40+D40+B40</f>
        <v>56173500</v>
      </c>
    </row>
    <row r="44" spans="1:10">
      <c r="C44" t="s">
        <v>1198</v>
      </c>
      <c r="D44" s="77">
        <v>50000</v>
      </c>
      <c r="F44" s="72">
        <f>+F43-300000</f>
        <v>-15500</v>
      </c>
      <c r="J44" s="72">
        <v>55973500</v>
      </c>
    </row>
    <row r="45" spans="1:10">
      <c r="F45" s="72"/>
      <c r="J45" s="72">
        <f>+J44-J43</f>
        <v>-200000</v>
      </c>
    </row>
    <row r="46" spans="1:10">
      <c r="D46" s="77">
        <f>+D40-D41-D42-D43-D44</f>
        <v>384500</v>
      </c>
    </row>
    <row r="48" spans="1:10">
      <c r="A48" s="57" t="s">
        <v>47</v>
      </c>
      <c r="B48" s="58"/>
      <c r="C48" s="58" t="s">
        <v>48</v>
      </c>
      <c r="D48" s="58"/>
      <c r="E48" s="58" t="s">
        <v>49</v>
      </c>
      <c r="F48" s="58"/>
      <c r="G48" s="58" t="s">
        <v>50</v>
      </c>
      <c r="H48" s="59"/>
      <c r="I48" s="58" t="s">
        <v>51</v>
      </c>
      <c r="J48" s="59"/>
    </row>
    <row r="49" spans="1:10">
      <c r="A49" s="23" t="s">
        <v>1034</v>
      </c>
      <c r="B49" s="23">
        <v>1524000</v>
      </c>
      <c r="C49" s="23"/>
      <c r="D49" s="23"/>
      <c r="E49" s="15"/>
      <c r="F49" s="23"/>
      <c r="G49" s="23" t="s">
        <v>1038</v>
      </c>
      <c r="H49" s="23">
        <v>20000000</v>
      </c>
      <c r="I49" s="14"/>
      <c r="J49" s="15"/>
    </row>
    <row r="50" spans="1:10">
      <c r="A50" s="23" t="s">
        <v>1037</v>
      </c>
      <c r="B50" s="23">
        <v>1379500</v>
      </c>
      <c r="C50" s="22"/>
      <c r="D50" s="22"/>
      <c r="E50" s="15"/>
      <c r="F50" s="23"/>
      <c r="G50" s="24" t="s">
        <v>1046</v>
      </c>
      <c r="H50" s="23">
        <v>1050000</v>
      </c>
      <c r="I50" s="14"/>
      <c r="J50" s="15"/>
    </row>
    <row r="51" spans="1:10">
      <c r="A51" s="23" t="s">
        <v>1036</v>
      </c>
      <c r="B51" s="23">
        <v>810000</v>
      </c>
      <c r="C51" s="23"/>
      <c r="D51" s="23"/>
      <c r="E51" s="15"/>
      <c r="F51" s="23"/>
      <c r="G51" s="23" t="s">
        <v>1106</v>
      </c>
      <c r="H51" s="23">
        <v>50000</v>
      </c>
      <c r="I51" s="14"/>
      <c r="J51" s="15"/>
    </row>
    <row r="52" spans="1:10">
      <c r="A52" s="23" t="s">
        <v>1044</v>
      </c>
      <c r="B52" s="23">
        <v>300000</v>
      </c>
      <c r="C52" s="15"/>
      <c r="D52" s="23"/>
      <c r="E52" s="15"/>
      <c r="F52" s="23"/>
      <c r="G52" s="22" t="s">
        <v>1166</v>
      </c>
      <c r="H52" s="22">
        <v>49103250</v>
      </c>
      <c r="I52" s="14"/>
      <c r="J52" s="15"/>
    </row>
    <row r="53" spans="1:10">
      <c r="A53" s="24" t="s">
        <v>1046</v>
      </c>
      <c r="B53" s="23">
        <v>1050000</v>
      </c>
      <c r="C53" s="15"/>
      <c r="D53" s="22"/>
      <c r="E53" s="15"/>
      <c r="F53" s="23"/>
      <c r="G53" s="22" t="s">
        <v>1169</v>
      </c>
      <c r="H53" s="22">
        <v>60000000</v>
      </c>
      <c r="I53" s="14"/>
      <c r="J53" s="15"/>
    </row>
    <row r="54" spans="1:10">
      <c r="A54" s="22" t="s">
        <v>1066</v>
      </c>
      <c r="B54" s="22">
        <v>4208500</v>
      </c>
      <c r="C54" s="15"/>
      <c r="D54" s="22"/>
      <c r="E54" s="23"/>
      <c r="F54" s="23"/>
      <c r="G54" s="14"/>
      <c r="H54" s="15"/>
      <c r="I54" s="14"/>
      <c r="J54" s="15"/>
    </row>
    <row r="55" spans="1:10">
      <c r="A55" s="22" t="s">
        <v>1070</v>
      </c>
      <c r="B55" s="22">
        <v>50000</v>
      </c>
      <c r="C55" s="15"/>
      <c r="D55" s="22"/>
      <c r="E55" s="23"/>
      <c r="F55" s="23"/>
      <c r="G55" s="14"/>
      <c r="H55" s="15"/>
      <c r="I55" s="14"/>
      <c r="J55" s="15"/>
    </row>
    <row r="56" spans="1:10">
      <c r="A56" s="23" t="s">
        <v>1104</v>
      </c>
      <c r="B56" s="23">
        <v>565000</v>
      </c>
      <c r="C56" s="15"/>
      <c r="D56" s="22"/>
      <c r="E56" s="15"/>
      <c r="F56" s="23"/>
      <c r="G56" s="14"/>
      <c r="H56" s="15"/>
      <c r="I56" s="14"/>
      <c r="J56" s="15"/>
    </row>
    <row r="57" spans="1:10">
      <c r="A57" s="23" t="s">
        <v>1106</v>
      </c>
      <c r="B57" s="23">
        <v>50000</v>
      </c>
      <c r="C57" s="15"/>
      <c r="D57" s="22"/>
      <c r="E57" s="15"/>
      <c r="F57" s="23"/>
      <c r="G57" s="14"/>
      <c r="H57" s="15"/>
      <c r="I57" s="14"/>
      <c r="J57" s="15"/>
    </row>
    <row r="58" spans="1:10">
      <c r="A58" s="24" t="s">
        <v>1107</v>
      </c>
      <c r="B58" s="23">
        <v>50000</v>
      </c>
      <c r="C58" s="15"/>
      <c r="D58" s="22"/>
      <c r="E58" s="15"/>
      <c r="F58" s="23"/>
      <c r="G58" s="14"/>
      <c r="H58" s="15"/>
      <c r="I58" s="14"/>
      <c r="J58" s="15"/>
    </row>
    <row r="59" spans="1:10">
      <c r="A59" s="23" t="s">
        <v>1117</v>
      </c>
      <c r="B59" s="23">
        <v>200000</v>
      </c>
      <c r="C59" s="15"/>
      <c r="D59" s="22"/>
      <c r="E59" s="15"/>
      <c r="F59" s="23"/>
      <c r="G59" s="14"/>
      <c r="H59" s="15"/>
      <c r="I59" s="14"/>
      <c r="J59" s="15"/>
    </row>
    <row r="60" spans="1:10">
      <c r="A60" s="23" t="s">
        <v>1113</v>
      </c>
      <c r="B60" s="23">
        <v>274000</v>
      </c>
      <c r="C60" s="15"/>
      <c r="D60" s="22"/>
      <c r="E60" s="15"/>
      <c r="F60" s="23"/>
      <c r="G60" s="14"/>
      <c r="H60" s="15"/>
      <c r="I60" s="14"/>
      <c r="J60" s="15"/>
    </row>
    <row r="61" spans="1:10">
      <c r="A61" s="23" t="s">
        <v>1141</v>
      </c>
      <c r="B61" s="23">
        <v>800000</v>
      </c>
      <c r="C61" s="15"/>
      <c r="D61" s="22"/>
      <c r="E61" s="15"/>
      <c r="F61" s="23"/>
      <c r="G61" s="15"/>
      <c r="H61" s="23"/>
      <c r="I61" s="14"/>
      <c r="J61" s="15"/>
    </row>
    <row r="62" spans="1:10">
      <c r="A62" s="22" t="s">
        <v>1112</v>
      </c>
      <c r="B62" s="22">
        <v>1000000</v>
      </c>
      <c r="C62" s="15"/>
      <c r="D62" s="22"/>
      <c r="E62" s="15"/>
      <c r="F62" s="23"/>
      <c r="G62" s="15"/>
      <c r="H62" s="23"/>
      <c r="I62" s="14"/>
      <c r="J62" s="15"/>
    </row>
    <row r="63" spans="1:10">
      <c r="A63" s="22" t="s">
        <v>1122</v>
      </c>
      <c r="B63" s="22">
        <v>300000</v>
      </c>
      <c r="C63" s="15"/>
      <c r="D63" s="22"/>
      <c r="E63" s="15"/>
      <c r="F63" s="23"/>
      <c r="G63" s="15"/>
      <c r="H63" s="22"/>
      <c r="I63" s="14"/>
      <c r="J63" s="15"/>
    </row>
    <row r="64" spans="1:10">
      <c r="A64" s="22" t="s">
        <v>1125</v>
      </c>
      <c r="B64" s="22">
        <v>19660000</v>
      </c>
      <c r="C64" s="15"/>
      <c r="D64" s="22"/>
      <c r="E64" s="15"/>
      <c r="F64" s="23"/>
      <c r="G64" s="15"/>
      <c r="H64" s="23"/>
      <c r="I64" s="14"/>
      <c r="J64" s="15"/>
    </row>
    <row r="65" spans="1:10">
      <c r="A65" s="22" t="s">
        <v>1163</v>
      </c>
      <c r="B65" s="22">
        <v>862500</v>
      </c>
      <c r="C65" s="15"/>
      <c r="D65" s="22"/>
      <c r="E65" s="15"/>
      <c r="F65" s="23"/>
      <c r="G65" s="15"/>
      <c r="H65" s="23"/>
      <c r="I65" s="14"/>
      <c r="J65" s="15"/>
    </row>
    <row r="66" spans="1:10">
      <c r="A66" s="22" t="s">
        <v>1164</v>
      </c>
      <c r="B66" s="22">
        <v>314000</v>
      </c>
      <c r="C66" s="15"/>
      <c r="D66" s="22"/>
      <c r="E66" s="15"/>
      <c r="F66" s="23"/>
      <c r="G66" s="23"/>
      <c r="H66" s="23"/>
      <c r="I66" s="14"/>
      <c r="J66" s="15"/>
    </row>
    <row r="67" spans="1:10">
      <c r="A67" s="22" t="s">
        <v>1168</v>
      </c>
      <c r="B67" s="22">
        <v>5855000</v>
      </c>
      <c r="C67" s="15"/>
      <c r="D67" s="22"/>
      <c r="E67" s="15"/>
      <c r="F67" s="23"/>
      <c r="G67" s="24"/>
      <c r="H67" s="23"/>
      <c r="I67" s="14"/>
      <c r="J67" s="15"/>
    </row>
    <row r="68" spans="1:10">
      <c r="A68" s="22" t="s">
        <v>1120</v>
      </c>
      <c r="B68" s="22">
        <v>1540000</v>
      </c>
      <c r="C68" s="15"/>
      <c r="D68" s="22"/>
      <c r="E68" s="15"/>
      <c r="F68" s="23"/>
      <c r="G68" s="24"/>
      <c r="H68" s="23"/>
      <c r="I68" s="14"/>
      <c r="J68" s="15"/>
    </row>
    <row r="69" spans="1:10">
      <c r="A69" s="22" t="s">
        <v>1170</v>
      </c>
      <c r="B69" s="22">
        <v>3302000</v>
      </c>
      <c r="C69" s="15"/>
      <c r="D69" s="22"/>
      <c r="E69" s="15"/>
      <c r="F69" s="23"/>
      <c r="G69" s="24"/>
      <c r="H69" s="23"/>
      <c r="I69" s="14"/>
      <c r="J69" s="15"/>
    </row>
    <row r="70" spans="1:10">
      <c r="A70" s="22" t="s">
        <v>1171</v>
      </c>
      <c r="B70" s="22">
        <v>300000</v>
      </c>
      <c r="C70" s="15"/>
      <c r="D70" s="22"/>
      <c r="E70" s="15"/>
      <c r="F70" s="23"/>
      <c r="G70" s="24"/>
      <c r="H70" s="23"/>
      <c r="I70" s="14"/>
      <c r="J70" s="15"/>
    </row>
    <row r="71" spans="1:10">
      <c r="A71" s="22" t="s">
        <v>1172</v>
      </c>
      <c r="B71" s="22">
        <v>1800000</v>
      </c>
      <c r="C71" s="15"/>
      <c r="D71" s="22"/>
      <c r="E71" s="15"/>
      <c r="F71" s="23"/>
      <c r="G71" s="24"/>
      <c r="H71" s="23"/>
      <c r="I71" s="14"/>
      <c r="J71" s="15"/>
    </row>
    <row r="72" spans="1:10">
      <c r="A72" s="68"/>
      <c r="B72" s="69"/>
      <c r="C72" s="69"/>
      <c r="D72" s="69"/>
      <c r="E72" s="69"/>
      <c r="F72" s="69"/>
      <c r="G72" s="23"/>
      <c r="H72" s="23"/>
      <c r="I72" s="68"/>
      <c r="J72" s="69"/>
    </row>
    <row r="73" spans="1:10">
      <c r="A73" s="68"/>
      <c r="B73" s="69"/>
      <c r="C73" s="69"/>
      <c r="D73" s="69"/>
      <c r="E73" s="69"/>
      <c r="F73" s="69"/>
      <c r="G73" s="119"/>
      <c r="H73" s="120"/>
      <c r="I73" s="68"/>
      <c r="J73" s="69"/>
    </row>
    <row r="74" spans="1:10">
      <c r="A74" s="70"/>
      <c r="B74" s="71">
        <f t="shared" ref="B74:J74" si="1">SUM(B49:B72)</f>
        <v>46194500</v>
      </c>
      <c r="C74" s="71">
        <f t="shared" si="1"/>
        <v>0</v>
      </c>
      <c r="D74" s="71">
        <f t="shared" si="1"/>
        <v>0</v>
      </c>
      <c r="E74" s="71">
        <f t="shared" si="1"/>
        <v>0</v>
      </c>
      <c r="F74" s="71">
        <f t="shared" si="1"/>
        <v>0</v>
      </c>
      <c r="G74" s="71">
        <f t="shared" si="1"/>
        <v>0</v>
      </c>
      <c r="H74" s="71">
        <f t="shared" si="1"/>
        <v>130203250</v>
      </c>
      <c r="I74" s="71">
        <f t="shared" si="1"/>
        <v>0</v>
      </c>
      <c r="J74" s="71">
        <f t="shared" si="1"/>
        <v>0</v>
      </c>
    </row>
    <row r="75" spans="1:10">
      <c r="D75" s="77">
        <v>100000</v>
      </c>
    </row>
    <row r="76" spans="1:10">
      <c r="A76" t="s">
        <v>1203</v>
      </c>
    </row>
    <row r="77" spans="1:10">
      <c r="A77" t="s">
        <v>1205</v>
      </c>
      <c r="B77" s="77">
        <v>500000</v>
      </c>
    </row>
    <row r="78" spans="1:10">
      <c r="A78" t="s">
        <v>1204</v>
      </c>
      <c r="B78" s="77">
        <v>5000000</v>
      </c>
    </row>
    <row r="79" spans="1:10">
      <c r="A79" t="s">
        <v>1206</v>
      </c>
      <c r="B79" s="77">
        <v>5000000</v>
      </c>
    </row>
    <row r="80" spans="1:10">
      <c r="A80" t="s">
        <v>1207</v>
      </c>
      <c r="B80" s="77">
        <v>3000000</v>
      </c>
      <c r="H80" s="77"/>
    </row>
    <row r="81" spans="1:10">
      <c r="A81" t="s">
        <v>1207</v>
      </c>
      <c r="B81" s="77">
        <v>10000000</v>
      </c>
      <c r="H81" s="77"/>
    </row>
    <row r="82" spans="1:10" ht="17.25">
      <c r="A82" s="372" t="s">
        <v>1208</v>
      </c>
      <c r="B82" s="374">
        <f>SUM(B77:B81)</f>
        <v>23500000</v>
      </c>
      <c r="C82" t="s">
        <v>1210</v>
      </c>
      <c r="H82" s="77">
        <v>55000000</v>
      </c>
    </row>
    <row r="83" spans="1:10">
      <c r="A83" s="372" t="s">
        <v>1209</v>
      </c>
      <c r="B83" s="373">
        <f>+B74-B82</f>
        <v>22694500</v>
      </c>
      <c r="H83" s="77">
        <v>1800000</v>
      </c>
      <c r="J83" s="72"/>
    </row>
    <row r="84" spans="1:10">
      <c r="H84" s="77">
        <f>+H82+H83</f>
        <v>56800000</v>
      </c>
      <c r="J84" s="72"/>
    </row>
    <row r="85" spans="1:10">
      <c r="H85" s="77"/>
      <c r="J85" s="72"/>
    </row>
    <row r="86" spans="1:10">
      <c r="J86" s="72"/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99"/>
  <sheetViews>
    <sheetView workbookViewId="0"/>
  </sheetViews>
  <sheetFormatPr defaultRowHeight="15"/>
  <cols>
    <col min="1" max="1" width="7.42578125" customWidth="1"/>
    <col min="2" max="2" width="9.7109375" bestFit="1" customWidth="1"/>
    <col min="3" max="3" width="49.85546875" customWidth="1"/>
    <col min="4" max="4" width="12" style="77" bestFit="1" customWidth="1"/>
    <col min="5" max="5" width="7.5703125" bestFit="1" customWidth="1"/>
    <col min="6" max="6" width="6.28515625" bestFit="1" customWidth="1"/>
    <col min="7" max="7" width="6" bestFit="1" customWidth="1"/>
    <col min="8" max="8" width="11.5703125" customWidth="1"/>
    <col min="10" max="10" width="7.42578125" customWidth="1"/>
    <col min="11" max="11" width="9.7109375" bestFit="1" customWidth="1"/>
    <col min="12" max="12" width="64.140625" customWidth="1"/>
    <col min="13" max="13" width="12" style="77" bestFit="1" customWidth="1"/>
    <col min="14" max="14" width="7.5703125" bestFit="1" customWidth="1"/>
    <col min="15" max="15" width="6.28515625" bestFit="1" customWidth="1"/>
    <col min="16" max="16" width="6" bestFit="1" customWidth="1"/>
    <col min="17" max="17" width="11.5703125" customWidth="1"/>
    <col min="20" max="20" width="10.140625" bestFit="1" customWidth="1"/>
    <col min="21" max="21" width="67.140625" bestFit="1" customWidth="1"/>
    <col min="22" max="22" width="12.140625" bestFit="1" customWidth="1"/>
  </cols>
  <sheetData>
    <row r="1" spans="1:26" ht="15.75">
      <c r="A1" s="347" t="s">
        <v>0</v>
      </c>
      <c r="B1" s="2"/>
      <c r="C1" s="3"/>
      <c r="D1" s="3"/>
      <c r="E1" s="3"/>
      <c r="F1" s="3"/>
      <c r="G1" s="3"/>
      <c r="H1" s="3"/>
      <c r="J1" s="347" t="s">
        <v>0</v>
      </c>
      <c r="K1" s="2"/>
      <c r="L1" s="3"/>
      <c r="M1" s="3"/>
      <c r="N1" s="3"/>
      <c r="O1" s="3"/>
      <c r="P1" s="3"/>
      <c r="Q1" s="3"/>
      <c r="S1" s="347" t="s">
        <v>0</v>
      </c>
      <c r="T1" s="2"/>
      <c r="U1" s="3"/>
      <c r="V1" s="3"/>
      <c r="W1" s="3"/>
      <c r="X1" s="3"/>
      <c r="Y1" s="3"/>
      <c r="Z1" s="3"/>
    </row>
    <row r="2" spans="1:26" ht="15.75">
      <c r="A2" s="347" t="s">
        <v>1213</v>
      </c>
      <c r="B2" s="2"/>
      <c r="C2" s="3"/>
      <c r="D2" s="3"/>
      <c r="E2" s="3"/>
      <c r="F2" s="3"/>
      <c r="G2" s="3"/>
      <c r="H2" s="3"/>
      <c r="J2" s="347" t="s">
        <v>1213</v>
      </c>
      <c r="K2" s="2"/>
      <c r="L2" s="3"/>
      <c r="M2" s="3"/>
      <c r="N2" s="3"/>
      <c r="O2" s="3"/>
      <c r="P2" s="3"/>
      <c r="Q2" s="3"/>
      <c r="S2" s="347" t="s">
        <v>1213</v>
      </c>
      <c r="T2" s="2"/>
      <c r="U2" s="3"/>
      <c r="V2" s="3"/>
      <c r="W2" s="3"/>
      <c r="X2" s="3"/>
      <c r="Y2" s="3"/>
      <c r="Z2" s="3"/>
    </row>
    <row r="3" spans="1:26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  <c r="S3" s="534" t="s">
        <v>1</v>
      </c>
      <c r="T3" s="534"/>
      <c r="U3" s="534"/>
      <c r="V3" s="534"/>
      <c r="W3" s="534"/>
      <c r="X3" s="534"/>
      <c r="Y3" s="534"/>
      <c r="Z3" s="534"/>
    </row>
    <row r="4" spans="1:26">
      <c r="A4" s="4"/>
      <c r="B4" s="5"/>
      <c r="C4" s="6" t="s">
        <v>2</v>
      </c>
      <c r="D4" s="77">
        <v>2344500</v>
      </c>
      <c r="E4" s="6"/>
      <c r="F4" s="6"/>
      <c r="G4" s="6"/>
      <c r="H4" s="6"/>
      <c r="J4" s="4"/>
      <c r="K4" s="5"/>
      <c r="L4" s="6" t="s">
        <v>2</v>
      </c>
      <c r="M4" s="77">
        <v>2344500</v>
      </c>
      <c r="N4" s="6"/>
      <c r="O4" s="6"/>
      <c r="P4" s="6"/>
      <c r="Q4" s="6"/>
      <c r="S4" s="4"/>
      <c r="T4" s="5"/>
      <c r="U4" s="6" t="s">
        <v>2</v>
      </c>
      <c r="V4" s="77">
        <v>2344500</v>
      </c>
      <c r="W4" s="6"/>
      <c r="X4" s="6"/>
      <c r="Y4" s="6"/>
      <c r="Z4" s="6"/>
    </row>
    <row r="5" spans="1:26">
      <c r="A5" s="4"/>
      <c r="B5" s="5"/>
      <c r="C5" s="6" t="s">
        <v>590</v>
      </c>
      <c r="D5" s="7" t="s">
        <v>849</v>
      </c>
      <c r="E5" s="6"/>
      <c r="F5" s="6"/>
      <c r="G5" s="6"/>
      <c r="H5" s="6"/>
      <c r="J5" s="4"/>
      <c r="K5" s="5"/>
      <c r="L5" s="6" t="s">
        <v>590</v>
      </c>
      <c r="M5" s="7" t="s">
        <v>849</v>
      </c>
      <c r="N5" s="6"/>
      <c r="O5" s="6"/>
      <c r="P5" s="6"/>
      <c r="Q5" s="6"/>
      <c r="S5" s="4"/>
      <c r="T5" s="5"/>
      <c r="U5" s="6" t="s">
        <v>590</v>
      </c>
      <c r="V5" s="7" t="s">
        <v>849</v>
      </c>
      <c r="W5" s="6"/>
      <c r="X5" s="6"/>
      <c r="Y5" s="6"/>
      <c r="Z5" s="6"/>
    </row>
    <row r="6" spans="1:26">
      <c r="A6" s="4"/>
      <c r="B6" s="5"/>
      <c r="C6" s="6" t="s">
        <v>3</v>
      </c>
      <c r="D6" s="8">
        <v>784815</v>
      </c>
      <c r="E6" s="6"/>
      <c r="F6" s="6"/>
      <c r="G6" s="6"/>
      <c r="H6" s="6"/>
      <c r="J6" s="4"/>
      <c r="K6" s="5"/>
      <c r="L6" s="6" t="s">
        <v>3</v>
      </c>
      <c r="M6" s="8">
        <v>784815</v>
      </c>
      <c r="N6" s="6"/>
      <c r="O6" s="6"/>
      <c r="P6" s="6"/>
      <c r="Q6" s="6"/>
      <c r="S6" s="4"/>
      <c r="T6" s="5"/>
      <c r="U6" s="6" t="s">
        <v>3</v>
      </c>
      <c r="V6" s="8">
        <v>784815</v>
      </c>
      <c r="W6" s="6"/>
      <c r="X6" s="6"/>
      <c r="Y6" s="6"/>
      <c r="Z6" s="6"/>
    </row>
    <row r="7" spans="1:26">
      <c r="A7" s="4"/>
      <c r="B7" s="5"/>
      <c r="C7" s="6" t="s">
        <v>4</v>
      </c>
      <c r="D7" s="115">
        <v>1139810</v>
      </c>
      <c r="E7" s="6"/>
      <c r="F7" s="6"/>
      <c r="G7" s="6"/>
      <c r="H7" s="6"/>
      <c r="J7" s="4"/>
      <c r="K7" s="5"/>
      <c r="L7" s="6" t="s">
        <v>4</v>
      </c>
      <c r="M7" s="115">
        <v>1139810</v>
      </c>
      <c r="N7" s="6"/>
      <c r="O7" s="6"/>
      <c r="P7" s="6"/>
      <c r="Q7" s="6"/>
      <c r="S7" s="4"/>
      <c r="T7" s="5"/>
      <c r="U7" s="6" t="s">
        <v>4</v>
      </c>
      <c r="V7" s="115">
        <v>1139810</v>
      </c>
      <c r="W7" s="6"/>
      <c r="X7" s="6"/>
      <c r="Y7" s="6"/>
      <c r="Z7" s="6"/>
    </row>
    <row r="8" spans="1:26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  <c r="S8" s="4"/>
      <c r="T8" s="5"/>
      <c r="U8" s="6" t="s">
        <v>5</v>
      </c>
      <c r="V8" s="6">
        <v>1146153</v>
      </c>
      <c r="W8" s="6"/>
      <c r="X8" s="6"/>
      <c r="Y8" s="6"/>
      <c r="Z8" s="6"/>
    </row>
    <row r="9" spans="1:26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  <c r="S9" s="4"/>
      <c r="T9" s="5"/>
      <c r="U9" s="6" t="s">
        <v>6</v>
      </c>
      <c r="V9" s="6">
        <v>3297735.5133333281</v>
      </c>
      <c r="W9" s="6"/>
      <c r="X9" s="6"/>
      <c r="Y9" s="6"/>
      <c r="Z9" s="6"/>
    </row>
    <row r="10" spans="1:26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J10" s="4"/>
      <c r="K10" s="5"/>
      <c r="L10" s="6" t="s">
        <v>7</v>
      </c>
      <c r="M10" s="6">
        <v>2363662</v>
      </c>
      <c r="N10" s="6"/>
      <c r="O10" s="6"/>
      <c r="P10" s="6"/>
      <c r="Q10" s="6"/>
      <c r="S10" s="4"/>
      <c r="T10" s="5"/>
      <c r="U10" s="6" t="s">
        <v>7</v>
      </c>
      <c r="V10" s="6">
        <v>2363662</v>
      </c>
      <c r="W10" s="6"/>
      <c r="X10" s="6"/>
      <c r="Y10" s="6"/>
      <c r="Z10" s="6"/>
    </row>
    <row r="11" spans="1:26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  <c r="S11" s="4"/>
      <c r="T11" s="5"/>
      <c r="U11" s="6"/>
      <c r="V11" s="6"/>
      <c r="W11" s="6"/>
      <c r="X11" s="6"/>
      <c r="Y11" s="6"/>
      <c r="Z11" s="6"/>
    </row>
    <row r="12" spans="1:26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11076675.513333328</v>
      </c>
      <c r="J12" s="531" t="s">
        <v>1071</v>
      </c>
      <c r="K12" s="532"/>
      <c r="L12" s="532"/>
      <c r="M12" s="532"/>
      <c r="N12" s="532"/>
      <c r="O12" s="532"/>
      <c r="P12" s="533"/>
      <c r="Q12" s="10">
        <f>SUM(M4:M10)</f>
        <v>11076675.513333328</v>
      </c>
      <c r="S12" s="531" t="s">
        <v>1071</v>
      </c>
      <c r="T12" s="532"/>
      <c r="U12" s="532"/>
      <c r="V12" s="532"/>
      <c r="W12" s="532"/>
      <c r="X12" s="532"/>
      <c r="Y12" s="533"/>
      <c r="Z12" s="10">
        <f>SUM(V4:V10)</f>
        <v>11076675.513333328</v>
      </c>
    </row>
    <row r="13" spans="1:26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  <c r="S13" s="535" t="s">
        <v>8</v>
      </c>
      <c r="T13" s="535"/>
      <c r="U13" s="535"/>
      <c r="V13" s="535"/>
      <c r="W13" s="535"/>
      <c r="X13" s="535"/>
      <c r="Y13" s="535"/>
      <c r="Z13" s="535"/>
    </row>
    <row r="14" spans="1:26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  <c r="S14" s="536" t="s">
        <v>9</v>
      </c>
      <c r="T14" s="537" t="s">
        <v>10</v>
      </c>
      <c r="U14" s="538" t="s">
        <v>11</v>
      </c>
      <c r="V14" s="538" t="s">
        <v>12</v>
      </c>
      <c r="W14" s="530" t="s">
        <v>13</v>
      </c>
      <c r="X14" s="530"/>
      <c r="Y14" s="530"/>
      <c r="Z14" s="530"/>
    </row>
    <row r="15" spans="1:26">
      <c r="A15" s="536"/>
      <c r="B15" s="537"/>
      <c r="C15" s="538"/>
      <c r="D15" s="538"/>
      <c r="E15" s="377" t="s">
        <v>14</v>
      </c>
      <c r="F15" s="377" t="s">
        <v>15</v>
      </c>
      <c r="G15" s="377" t="s">
        <v>16</v>
      </c>
      <c r="H15" s="377" t="s">
        <v>17</v>
      </c>
      <c r="J15" s="536"/>
      <c r="K15" s="537"/>
      <c r="L15" s="538"/>
      <c r="M15" s="538"/>
      <c r="N15" s="381" t="s">
        <v>14</v>
      </c>
      <c r="O15" s="381" t="s">
        <v>15</v>
      </c>
      <c r="P15" s="381" t="s">
        <v>16</v>
      </c>
      <c r="Q15" s="381" t="s">
        <v>17</v>
      </c>
      <c r="S15" s="536"/>
      <c r="T15" s="537"/>
      <c r="U15" s="538"/>
      <c r="V15" s="538"/>
      <c r="W15" s="386" t="s">
        <v>14</v>
      </c>
      <c r="X15" s="386" t="s">
        <v>15</v>
      </c>
      <c r="Y15" s="386" t="s">
        <v>16</v>
      </c>
      <c r="Z15" s="386" t="s">
        <v>17</v>
      </c>
    </row>
    <row r="16" spans="1:26">
      <c r="A16" s="12"/>
      <c r="B16" s="19" t="s">
        <v>1148</v>
      </c>
      <c r="C16" s="14" t="s">
        <v>1153</v>
      </c>
      <c r="D16" s="15">
        <v>500000</v>
      </c>
      <c r="E16" s="16"/>
      <c r="F16" s="16"/>
      <c r="G16" s="16"/>
      <c r="H16" s="16"/>
      <c r="J16" s="12"/>
      <c r="K16" s="19"/>
      <c r="L16" s="14"/>
      <c r="M16" s="15"/>
      <c r="N16" s="16"/>
      <c r="O16" s="16"/>
      <c r="P16" s="16"/>
      <c r="Q16" s="16"/>
      <c r="S16" s="12"/>
      <c r="T16" s="19"/>
      <c r="U16" s="14"/>
      <c r="V16" s="15"/>
      <c r="W16" s="16"/>
      <c r="X16" s="16"/>
      <c r="Y16" s="16"/>
      <c r="Z16" s="16"/>
    </row>
    <row r="17" spans="1:26">
      <c r="A17" s="12"/>
      <c r="B17" s="19" t="s">
        <v>1214</v>
      </c>
      <c r="C17" s="14" t="s">
        <v>1215</v>
      </c>
      <c r="D17" s="15">
        <v>1600000</v>
      </c>
      <c r="E17" s="16"/>
      <c r="F17" s="16"/>
      <c r="G17" s="16"/>
      <c r="H17" s="16"/>
      <c r="J17" s="12"/>
      <c r="K17" s="19"/>
      <c r="L17" s="14"/>
      <c r="M17" s="15"/>
      <c r="N17" s="16"/>
      <c r="O17" s="16"/>
      <c r="P17" s="16"/>
      <c r="Q17" s="16"/>
      <c r="S17" s="12"/>
      <c r="T17" s="19"/>
      <c r="U17" s="14"/>
      <c r="V17" s="15"/>
      <c r="W17" s="16"/>
      <c r="X17" s="16"/>
      <c r="Y17" s="16"/>
      <c r="Z17" s="16"/>
    </row>
    <row r="18" spans="1:26">
      <c r="A18" s="12"/>
      <c r="B18" s="19"/>
      <c r="C18" s="14" t="s">
        <v>1216</v>
      </c>
      <c r="D18" s="15">
        <v>250000</v>
      </c>
      <c r="E18" s="16"/>
      <c r="F18" s="16"/>
      <c r="G18" s="16"/>
      <c r="H18" s="16"/>
      <c r="J18" s="12"/>
      <c r="K18" s="19"/>
      <c r="L18" s="14"/>
      <c r="M18" s="15"/>
      <c r="N18" s="16"/>
      <c r="O18" s="16"/>
      <c r="P18" s="16"/>
      <c r="Q18" s="16"/>
      <c r="S18" s="12"/>
      <c r="T18" s="19"/>
      <c r="U18" s="14"/>
      <c r="V18" s="15"/>
      <c r="W18" s="16"/>
      <c r="X18" s="16"/>
      <c r="Y18" s="16"/>
      <c r="Z18" s="16"/>
    </row>
    <row r="19" spans="1:26">
      <c r="A19" s="12"/>
      <c r="B19" s="19"/>
      <c r="C19" s="14" t="s">
        <v>1242</v>
      </c>
      <c r="D19" s="15">
        <v>500000</v>
      </c>
      <c r="E19" s="16"/>
      <c r="F19" s="16"/>
      <c r="G19" s="16"/>
      <c r="H19" s="16"/>
      <c r="J19" s="12"/>
      <c r="K19" s="19"/>
      <c r="L19" s="14"/>
      <c r="M19" s="15"/>
      <c r="N19" s="16"/>
      <c r="O19" s="16"/>
      <c r="P19" s="16"/>
      <c r="Q19" s="16"/>
      <c r="S19" s="12"/>
      <c r="T19" s="19"/>
      <c r="U19" s="14"/>
      <c r="V19" s="15"/>
      <c r="W19" s="16"/>
      <c r="X19" s="16"/>
      <c r="Y19" s="16"/>
      <c r="Z19" s="16"/>
    </row>
    <row r="20" spans="1:26">
      <c r="A20" s="12"/>
      <c r="B20" s="19"/>
      <c r="C20" s="14"/>
      <c r="D20" s="15"/>
      <c r="E20" s="16"/>
      <c r="F20" s="16"/>
      <c r="G20" s="16"/>
      <c r="H20" s="16"/>
      <c r="J20" s="12"/>
      <c r="K20" s="19"/>
      <c r="L20" s="14"/>
      <c r="M20" s="15"/>
      <c r="N20" s="16"/>
      <c r="O20" s="16"/>
      <c r="P20" s="16"/>
      <c r="Q20" s="16"/>
      <c r="S20" s="12"/>
      <c r="T20" s="19"/>
      <c r="U20" s="14"/>
      <c r="V20" s="15"/>
      <c r="W20" s="16"/>
      <c r="X20" s="16"/>
      <c r="Y20" s="16"/>
      <c r="Z20" s="16"/>
    </row>
    <row r="21" spans="1:26">
      <c r="A21" s="18"/>
      <c r="B21" s="19"/>
      <c r="C21" s="377" t="s">
        <v>20</v>
      </c>
      <c r="D21" s="10">
        <f>SUM(D16:D20)</f>
        <v>2850000</v>
      </c>
      <c r="E21" s="10"/>
      <c r="F21" s="10"/>
      <c r="G21" s="10"/>
      <c r="H21" s="10"/>
      <c r="J21" s="18"/>
      <c r="K21" s="19"/>
      <c r="L21" s="381" t="s">
        <v>20</v>
      </c>
      <c r="M21" s="10">
        <f>SUM(M16:M20)</f>
        <v>0</v>
      </c>
      <c r="N21" s="10"/>
      <c r="O21" s="10"/>
      <c r="P21" s="10"/>
      <c r="Q21" s="10"/>
      <c r="S21" s="18"/>
      <c r="T21" s="19"/>
      <c r="U21" s="386" t="s">
        <v>20</v>
      </c>
      <c r="V21" s="10">
        <f>SUM(V16:V20)</f>
        <v>0</v>
      </c>
      <c r="W21" s="10"/>
      <c r="X21" s="10"/>
      <c r="Y21" s="10"/>
      <c r="Z21" s="10"/>
    </row>
    <row r="22" spans="1:26">
      <c r="A22" s="20"/>
      <c r="B22" s="378"/>
      <c r="C22" s="152" t="s">
        <v>21</v>
      </c>
      <c r="D22" s="150"/>
      <c r="E22" s="150"/>
      <c r="F22" s="150"/>
      <c r="G22" s="151"/>
      <c r="H22" s="21">
        <f>+D21</f>
        <v>2850000</v>
      </c>
      <c r="J22" s="20"/>
      <c r="K22" s="382"/>
      <c r="L22" s="152" t="s">
        <v>21</v>
      </c>
      <c r="M22" s="150"/>
      <c r="N22" s="150"/>
      <c r="O22" s="150"/>
      <c r="P22" s="151"/>
      <c r="Q22" s="21">
        <f>+M21</f>
        <v>0</v>
      </c>
      <c r="S22" s="20"/>
      <c r="T22" s="384"/>
      <c r="U22" s="152" t="s">
        <v>21</v>
      </c>
      <c r="V22" s="150"/>
      <c r="W22" s="150"/>
      <c r="X22" s="150"/>
      <c r="Y22" s="151"/>
      <c r="Z22" s="21">
        <f>+V21</f>
        <v>0</v>
      </c>
    </row>
    <row r="23" spans="1:26">
      <c r="A23" s="526" t="s">
        <v>22</v>
      </c>
      <c r="B23" s="526"/>
      <c r="C23" s="526"/>
      <c r="D23" s="526"/>
      <c r="E23" s="526">
        <f>+H22</f>
        <v>2850000</v>
      </c>
      <c r="F23" s="526"/>
      <c r="G23" s="526"/>
      <c r="H23" s="526"/>
      <c r="J23" s="526" t="s">
        <v>22</v>
      </c>
      <c r="K23" s="526"/>
      <c r="L23" s="526"/>
      <c r="M23" s="526"/>
      <c r="N23" s="526">
        <f>+Q22</f>
        <v>0</v>
      </c>
      <c r="O23" s="526"/>
      <c r="P23" s="526"/>
      <c r="Q23" s="526"/>
      <c r="S23" s="526" t="s">
        <v>22</v>
      </c>
      <c r="T23" s="526"/>
      <c r="U23" s="526"/>
      <c r="V23" s="526"/>
      <c r="W23" s="526">
        <f>+Z22</f>
        <v>0</v>
      </c>
      <c r="X23" s="526"/>
      <c r="Y23" s="526"/>
      <c r="Z23" s="526"/>
    </row>
    <row r="24" spans="1:26">
      <c r="A24" s="524" t="s">
        <v>23</v>
      </c>
      <c r="B24" s="524"/>
      <c r="C24" s="524"/>
      <c r="D24" s="524"/>
      <c r="E24" s="524"/>
      <c r="F24" s="524"/>
      <c r="G24" s="524"/>
      <c r="H24" s="524"/>
      <c r="J24" s="524" t="s">
        <v>23</v>
      </c>
      <c r="K24" s="524"/>
      <c r="L24" s="524"/>
      <c r="M24" s="524"/>
      <c r="N24" s="524"/>
      <c r="O24" s="524"/>
      <c r="P24" s="524"/>
      <c r="Q24" s="524"/>
      <c r="S24" s="524" t="s">
        <v>23</v>
      </c>
      <c r="T24" s="524"/>
      <c r="U24" s="524"/>
      <c r="V24" s="524"/>
      <c r="W24" s="524"/>
      <c r="X24" s="524"/>
      <c r="Y24" s="524"/>
      <c r="Z24" s="524"/>
    </row>
    <row r="25" spans="1:26">
      <c r="A25" s="12"/>
      <c r="B25" s="13" t="s">
        <v>1217</v>
      </c>
      <c r="C25" s="15" t="s">
        <v>1218</v>
      </c>
      <c r="D25" s="23">
        <v>175000</v>
      </c>
      <c r="E25" s="22"/>
      <c r="F25" s="22"/>
      <c r="G25" s="16"/>
      <c r="H25" s="16"/>
      <c r="J25" s="12"/>
      <c r="K25" s="13" t="s">
        <v>1217</v>
      </c>
      <c r="L25" s="15" t="s">
        <v>1218</v>
      </c>
      <c r="M25" s="23">
        <v>175000</v>
      </c>
      <c r="N25" s="22"/>
      <c r="O25" s="22"/>
      <c r="P25" s="16"/>
      <c r="Q25" s="16"/>
      <c r="S25" s="12"/>
      <c r="T25" s="13"/>
      <c r="U25" s="15"/>
      <c r="V25" s="23"/>
      <c r="W25" s="22"/>
      <c r="X25" s="22"/>
      <c r="Y25" s="16"/>
      <c r="Z25" s="16"/>
    </row>
    <row r="26" spans="1:26">
      <c r="A26" s="12"/>
      <c r="B26" s="13" t="s">
        <v>1217</v>
      </c>
      <c r="C26" s="15" t="s">
        <v>1243</v>
      </c>
      <c r="D26" s="23">
        <v>25000</v>
      </c>
      <c r="E26" s="22"/>
      <c r="F26" s="22"/>
      <c r="G26" s="16"/>
      <c r="H26" s="16"/>
      <c r="J26" s="12"/>
      <c r="K26" s="13" t="s">
        <v>1217</v>
      </c>
      <c r="L26" s="15" t="s">
        <v>1243</v>
      </c>
      <c r="M26" s="23">
        <v>25000</v>
      </c>
      <c r="N26" s="22"/>
      <c r="O26" s="22"/>
      <c r="P26" s="16"/>
      <c r="Q26" s="16"/>
      <c r="S26" s="12"/>
      <c r="T26" s="13"/>
      <c r="U26" s="15"/>
      <c r="V26" s="23"/>
      <c r="W26" s="22"/>
      <c r="X26" s="22"/>
      <c r="Y26" s="16"/>
      <c r="Z26" s="16"/>
    </row>
    <row r="27" spans="1:26">
      <c r="A27" s="12"/>
      <c r="B27" s="13" t="s">
        <v>1219</v>
      </c>
      <c r="C27" s="15" t="s">
        <v>1220</v>
      </c>
      <c r="D27" s="23">
        <v>5902000</v>
      </c>
      <c r="E27" s="22"/>
      <c r="F27" s="22"/>
      <c r="G27" s="16"/>
      <c r="H27" s="16"/>
      <c r="J27" s="12"/>
      <c r="K27" s="13" t="s">
        <v>1219</v>
      </c>
      <c r="L27" s="15" t="s">
        <v>1220</v>
      </c>
      <c r="M27" s="23">
        <v>5902000</v>
      </c>
      <c r="N27" s="22"/>
      <c r="O27" s="22"/>
      <c r="P27" s="16"/>
      <c r="Q27" s="16"/>
      <c r="S27" s="12"/>
      <c r="T27" s="13"/>
      <c r="U27" s="15"/>
      <c r="V27" s="23"/>
      <c r="W27" s="22"/>
      <c r="X27" s="22"/>
      <c r="Y27" s="16"/>
      <c r="Z27" s="16"/>
    </row>
    <row r="28" spans="1:26">
      <c r="A28" s="12"/>
      <c r="B28" s="13" t="s">
        <v>1219</v>
      </c>
      <c r="C28" s="15" t="s">
        <v>961</v>
      </c>
      <c r="D28" s="22">
        <v>150000</v>
      </c>
      <c r="E28" s="22"/>
      <c r="F28" s="22"/>
      <c r="G28" s="16"/>
      <c r="H28" s="16"/>
      <c r="J28" s="12"/>
      <c r="K28" s="13" t="s">
        <v>1219</v>
      </c>
      <c r="L28" s="15" t="s">
        <v>961</v>
      </c>
      <c r="M28" s="22">
        <v>150000</v>
      </c>
      <c r="N28" s="22"/>
      <c r="O28" s="22"/>
      <c r="P28" s="16"/>
      <c r="Q28" s="16"/>
      <c r="S28" s="12"/>
      <c r="T28" s="13"/>
      <c r="U28" s="15"/>
      <c r="V28" s="22"/>
      <c r="W28" s="22"/>
      <c r="X28" s="22"/>
      <c r="Y28" s="16"/>
      <c r="Z28" s="16"/>
    </row>
    <row r="29" spans="1:26">
      <c r="A29" s="12"/>
      <c r="B29" s="13" t="s">
        <v>1219</v>
      </c>
      <c r="C29" s="15" t="s">
        <v>1221</v>
      </c>
      <c r="D29" s="23">
        <v>36000</v>
      </c>
      <c r="E29" s="22"/>
      <c r="F29" s="22"/>
      <c r="G29" s="16"/>
      <c r="H29" s="16"/>
      <c r="J29" s="12"/>
      <c r="K29" s="13" t="s">
        <v>1219</v>
      </c>
      <c r="L29" s="15" t="s">
        <v>1221</v>
      </c>
      <c r="M29" s="23">
        <v>36000</v>
      </c>
      <c r="N29" s="22"/>
      <c r="O29" s="22"/>
      <c r="P29" s="16"/>
      <c r="Q29" s="16"/>
      <c r="S29" s="12"/>
      <c r="T29" s="13"/>
      <c r="U29" s="15"/>
      <c r="V29" s="23"/>
      <c r="W29" s="22"/>
      <c r="X29" s="22"/>
      <c r="Y29" s="16"/>
      <c r="Z29" s="16"/>
    </row>
    <row r="30" spans="1:26">
      <c r="A30" s="12"/>
      <c r="B30" s="13" t="s">
        <v>1219</v>
      </c>
      <c r="C30" s="15" t="s">
        <v>1222</v>
      </c>
      <c r="D30" s="23">
        <v>375000</v>
      </c>
      <c r="E30" s="22"/>
      <c r="F30" s="22"/>
      <c r="G30" s="16"/>
      <c r="H30" s="16"/>
      <c r="J30" s="12"/>
      <c r="K30" s="13" t="s">
        <v>1219</v>
      </c>
      <c r="L30" s="15" t="s">
        <v>1222</v>
      </c>
      <c r="M30" s="23">
        <v>375000</v>
      </c>
      <c r="N30" s="22"/>
      <c r="O30" s="22"/>
      <c r="P30" s="16"/>
      <c r="Q30" s="16"/>
      <c r="S30" s="12"/>
      <c r="T30" s="13"/>
      <c r="U30" s="15"/>
      <c r="V30" s="23"/>
      <c r="W30" s="22"/>
      <c r="X30" s="22"/>
      <c r="Y30" s="16"/>
      <c r="Z30" s="16"/>
    </row>
    <row r="31" spans="1:26">
      <c r="A31" s="12"/>
      <c r="B31" s="13"/>
      <c r="C31" s="15"/>
      <c r="D31" s="23"/>
      <c r="E31" s="22"/>
      <c r="F31" s="22"/>
      <c r="G31" s="16"/>
      <c r="H31" s="16"/>
      <c r="J31" s="12"/>
      <c r="K31" s="13"/>
      <c r="L31" s="15"/>
      <c r="M31" s="23"/>
      <c r="N31" s="22"/>
      <c r="O31" s="22"/>
      <c r="P31" s="16"/>
      <c r="Q31" s="16"/>
      <c r="S31" s="12"/>
      <c r="T31" s="13"/>
      <c r="U31" s="15"/>
      <c r="V31" s="23"/>
      <c r="W31" s="22"/>
      <c r="X31" s="22"/>
      <c r="Y31" s="16"/>
      <c r="Z31" s="16"/>
    </row>
    <row r="32" spans="1:26">
      <c r="A32" s="25"/>
      <c r="B32" s="19"/>
      <c r="C32" s="26" t="s">
        <v>24</v>
      </c>
      <c r="D32" s="27">
        <f>SUM(D25:D31)</f>
        <v>6663000</v>
      </c>
      <c r="E32" s="27"/>
      <c r="F32" s="27"/>
      <c r="G32" s="27"/>
      <c r="H32" s="27"/>
      <c r="J32" s="25"/>
      <c r="K32" s="19"/>
      <c r="L32" s="26" t="s">
        <v>24</v>
      </c>
      <c r="M32" s="27">
        <f>SUM(M25:M31)</f>
        <v>6663000</v>
      </c>
      <c r="N32" s="27"/>
      <c r="O32" s="27"/>
      <c r="P32" s="27"/>
      <c r="Q32" s="27"/>
      <c r="S32" s="25"/>
      <c r="T32" s="19"/>
      <c r="U32" s="26" t="s">
        <v>24</v>
      </c>
      <c r="V32" s="27">
        <f>SUM(V25:V31)</f>
        <v>0</v>
      </c>
      <c r="W32" s="27"/>
      <c r="X32" s="27"/>
      <c r="Y32" s="27"/>
      <c r="Z32" s="27"/>
    </row>
    <row r="33" spans="1:26">
      <c r="A33" s="20"/>
      <c r="B33" s="19"/>
      <c r="C33" s="377" t="s">
        <v>21</v>
      </c>
      <c r="D33" s="10"/>
      <c r="E33" s="530">
        <f>D32</f>
        <v>6663000</v>
      </c>
      <c r="F33" s="530"/>
      <c r="G33" s="530"/>
      <c r="H33" s="530"/>
      <c r="J33" s="20"/>
      <c r="K33" s="19"/>
      <c r="L33" s="381" t="s">
        <v>21</v>
      </c>
      <c r="M33" s="10"/>
      <c r="N33" s="530">
        <f>M32</f>
        <v>6663000</v>
      </c>
      <c r="O33" s="530"/>
      <c r="P33" s="530"/>
      <c r="Q33" s="530"/>
      <c r="S33" s="20"/>
      <c r="T33" s="19"/>
      <c r="U33" s="386" t="s">
        <v>21</v>
      </c>
      <c r="V33" s="10"/>
      <c r="W33" s="530">
        <f>V32</f>
        <v>0</v>
      </c>
      <c r="X33" s="530"/>
      <c r="Y33" s="530"/>
      <c r="Z33" s="530"/>
    </row>
    <row r="34" spans="1:26" hidden="1">
      <c r="A34" s="524" t="s">
        <v>1029</v>
      </c>
      <c r="B34" s="524"/>
      <c r="C34" s="524"/>
      <c r="D34" s="524"/>
      <c r="E34" s="524"/>
      <c r="F34" s="524"/>
      <c r="G34" s="524"/>
      <c r="H34" s="524"/>
      <c r="J34" s="524" t="s">
        <v>1029</v>
      </c>
      <c r="K34" s="524"/>
      <c r="L34" s="524"/>
      <c r="M34" s="524"/>
      <c r="N34" s="524"/>
      <c r="O34" s="524"/>
      <c r="P34" s="524"/>
      <c r="Q34" s="524"/>
      <c r="S34" s="524" t="s">
        <v>1029</v>
      </c>
      <c r="T34" s="524"/>
      <c r="U34" s="524"/>
      <c r="V34" s="524"/>
      <c r="W34" s="524"/>
      <c r="X34" s="524"/>
      <c r="Y34" s="524"/>
      <c r="Z34" s="524"/>
    </row>
    <row r="35" spans="1:26" hidden="1">
      <c r="A35" s="28"/>
      <c r="B35" s="188"/>
      <c r="C35" s="23"/>
      <c r="D35" s="23"/>
      <c r="E35" s="28"/>
      <c r="F35" s="28"/>
      <c r="G35" s="28"/>
      <c r="H35" s="28"/>
      <c r="J35" s="28"/>
      <c r="K35" s="188"/>
      <c r="L35" s="23"/>
      <c r="M35" s="23"/>
      <c r="N35" s="28"/>
      <c r="O35" s="28"/>
      <c r="P35" s="28"/>
      <c r="Q35" s="28"/>
      <c r="S35" s="28"/>
      <c r="T35" s="188"/>
      <c r="U35" s="23"/>
      <c r="V35" s="23"/>
      <c r="W35" s="28"/>
      <c r="X35" s="28"/>
      <c r="Y35" s="28"/>
      <c r="Z35" s="28"/>
    </row>
    <row r="36" spans="1:26" hidden="1">
      <c r="A36" s="28"/>
      <c r="B36" s="23"/>
      <c r="C36" s="23"/>
      <c r="D36" s="23"/>
      <c r="E36" s="28"/>
      <c r="F36" s="28"/>
      <c r="G36" s="28"/>
      <c r="H36" s="28"/>
      <c r="J36" s="28"/>
      <c r="K36" s="23"/>
      <c r="L36" s="23"/>
      <c r="M36" s="23"/>
      <c r="N36" s="28"/>
      <c r="O36" s="28"/>
      <c r="P36" s="28"/>
      <c r="Q36" s="28"/>
      <c r="S36" s="28"/>
      <c r="T36" s="23"/>
      <c r="U36" s="23"/>
      <c r="V36" s="23"/>
      <c r="W36" s="28"/>
      <c r="X36" s="28"/>
      <c r="Y36" s="28"/>
      <c r="Z36" s="28"/>
    </row>
    <row r="37" spans="1:26" hidden="1">
      <c r="A37" s="28"/>
      <c r="B37" s="188"/>
      <c r="C37" s="23"/>
      <c r="D37" s="23"/>
      <c r="E37" s="28"/>
      <c r="F37" s="28"/>
      <c r="G37" s="28"/>
      <c r="H37" s="28"/>
      <c r="J37" s="28"/>
      <c r="K37" s="188"/>
      <c r="L37" s="23"/>
      <c r="M37" s="23"/>
      <c r="N37" s="28"/>
      <c r="O37" s="28"/>
      <c r="P37" s="28"/>
      <c r="Q37" s="28"/>
      <c r="S37" s="28"/>
      <c r="T37" s="188"/>
      <c r="U37" s="23"/>
      <c r="V37" s="23"/>
      <c r="W37" s="28"/>
      <c r="X37" s="28"/>
      <c r="Y37" s="28"/>
      <c r="Z37" s="28"/>
    </row>
    <row r="38" spans="1:26" hidden="1">
      <c r="A38" s="12"/>
      <c r="B38" s="13"/>
      <c r="C38" s="26" t="s">
        <v>448</v>
      </c>
      <c r="D38" s="27">
        <f>SUM(D35:D37)</f>
        <v>0</v>
      </c>
      <c r="E38" s="27">
        <v>0</v>
      </c>
      <c r="F38" s="27">
        <v>0</v>
      </c>
      <c r="G38" s="27"/>
      <c r="H38" s="27"/>
      <c r="J38" s="12"/>
      <c r="K38" s="13"/>
      <c r="L38" s="26" t="s">
        <v>448</v>
      </c>
      <c r="M38" s="27">
        <f>SUM(M35:M37)</f>
        <v>0</v>
      </c>
      <c r="N38" s="27">
        <v>0</v>
      </c>
      <c r="O38" s="27">
        <v>0</v>
      </c>
      <c r="P38" s="27"/>
      <c r="Q38" s="27"/>
      <c r="S38" s="12"/>
      <c r="T38" s="13"/>
      <c r="U38" s="26" t="s">
        <v>448</v>
      </c>
      <c r="V38" s="27">
        <f>SUM(V35:V37)</f>
        <v>0</v>
      </c>
      <c r="W38" s="27">
        <v>0</v>
      </c>
      <c r="X38" s="27">
        <v>0</v>
      </c>
      <c r="Y38" s="27"/>
      <c r="Z38" s="27"/>
    </row>
    <row r="39" spans="1:26" hidden="1">
      <c r="A39" s="20"/>
      <c r="B39" s="19"/>
      <c r="C39" s="377" t="s">
        <v>21</v>
      </c>
      <c r="D39" s="10"/>
      <c r="E39" s="530">
        <f>D38</f>
        <v>0</v>
      </c>
      <c r="F39" s="530"/>
      <c r="G39" s="530"/>
      <c r="H39" s="530"/>
      <c r="J39" s="20"/>
      <c r="K39" s="19"/>
      <c r="L39" s="381" t="s">
        <v>21</v>
      </c>
      <c r="M39" s="10"/>
      <c r="N39" s="530">
        <f>M38</f>
        <v>0</v>
      </c>
      <c r="O39" s="530"/>
      <c r="P39" s="530"/>
      <c r="Q39" s="530"/>
      <c r="S39" s="20"/>
      <c r="T39" s="19"/>
      <c r="U39" s="386" t="s">
        <v>21</v>
      </c>
      <c r="V39" s="10"/>
      <c r="W39" s="530">
        <f>V38</f>
        <v>0</v>
      </c>
      <c r="X39" s="530"/>
      <c r="Y39" s="530"/>
      <c r="Z39" s="530"/>
    </row>
    <row r="40" spans="1:26" hidden="1">
      <c r="A40" s="524" t="s">
        <v>1133</v>
      </c>
      <c r="B40" s="524"/>
      <c r="C40" s="524"/>
      <c r="D40" s="524"/>
      <c r="E40" s="524"/>
      <c r="F40" s="524"/>
      <c r="G40" s="524"/>
      <c r="H40" s="524"/>
      <c r="J40" s="524" t="s">
        <v>1133</v>
      </c>
      <c r="K40" s="524"/>
      <c r="L40" s="524"/>
      <c r="M40" s="524"/>
      <c r="N40" s="524"/>
      <c r="O40" s="524"/>
      <c r="P40" s="524"/>
      <c r="Q40" s="524"/>
      <c r="S40" s="524" t="s">
        <v>1133</v>
      </c>
      <c r="T40" s="524"/>
      <c r="U40" s="524"/>
      <c r="V40" s="524"/>
      <c r="W40" s="524"/>
      <c r="X40" s="524"/>
      <c r="Y40" s="524"/>
      <c r="Z40" s="524"/>
    </row>
    <row r="41" spans="1:26" hidden="1">
      <c r="A41" s="28"/>
      <c r="B41" s="19"/>
      <c r="C41" s="23"/>
      <c r="D41" s="23"/>
      <c r="E41" s="28"/>
      <c r="F41" s="28"/>
      <c r="G41" s="28"/>
      <c r="H41" s="28"/>
      <c r="J41" s="28"/>
      <c r="K41" s="19"/>
      <c r="L41" s="23"/>
      <c r="M41" s="23"/>
      <c r="N41" s="28"/>
      <c r="O41" s="28"/>
      <c r="P41" s="28"/>
      <c r="Q41" s="28"/>
      <c r="S41" s="28"/>
      <c r="T41" s="19"/>
      <c r="U41" s="23"/>
      <c r="V41" s="23"/>
      <c r="W41" s="28"/>
      <c r="X41" s="28"/>
      <c r="Y41" s="28"/>
      <c r="Z41" s="28"/>
    </row>
    <row r="42" spans="1:26" hidden="1">
      <c r="A42" s="28"/>
      <c r="B42" s="19"/>
      <c r="C42" s="23"/>
      <c r="D42" s="23"/>
      <c r="E42" s="28"/>
      <c r="F42" s="28"/>
      <c r="G42" s="28"/>
      <c r="H42" s="28"/>
      <c r="J42" s="28"/>
      <c r="K42" s="19"/>
      <c r="L42" s="23"/>
      <c r="M42" s="23"/>
      <c r="N42" s="28"/>
      <c r="O42" s="28"/>
      <c r="P42" s="28"/>
      <c r="Q42" s="28"/>
      <c r="S42" s="28"/>
      <c r="T42" s="19"/>
      <c r="U42" s="23"/>
      <c r="V42" s="23"/>
      <c r="W42" s="28"/>
      <c r="X42" s="28"/>
      <c r="Y42" s="28"/>
      <c r="Z42" s="28"/>
    </row>
    <row r="43" spans="1:26" hidden="1">
      <c r="A43" s="28"/>
      <c r="B43" s="19"/>
      <c r="C43" s="23"/>
      <c r="D43" s="23"/>
      <c r="E43" s="28"/>
      <c r="F43" s="28"/>
      <c r="G43" s="28"/>
      <c r="H43" s="28"/>
      <c r="J43" s="28"/>
      <c r="K43" s="19"/>
      <c r="L43" s="23"/>
      <c r="M43" s="23"/>
      <c r="N43" s="28"/>
      <c r="O43" s="28"/>
      <c r="P43" s="28"/>
      <c r="Q43" s="28"/>
      <c r="S43" s="28"/>
      <c r="T43" s="19"/>
      <c r="U43" s="23"/>
      <c r="V43" s="23"/>
      <c r="W43" s="28"/>
      <c r="X43" s="28"/>
      <c r="Y43" s="28"/>
      <c r="Z43" s="28"/>
    </row>
    <row r="44" spans="1:26" hidden="1">
      <c r="A44" s="28"/>
      <c r="B44" s="23"/>
      <c r="C44" s="23"/>
      <c r="D44" s="23"/>
      <c r="E44" s="28"/>
      <c r="F44" s="28"/>
      <c r="G44" s="28"/>
      <c r="H44" s="28"/>
      <c r="J44" s="28"/>
      <c r="K44" s="23"/>
      <c r="L44" s="23"/>
      <c r="M44" s="23"/>
      <c r="N44" s="28"/>
      <c r="O44" s="28"/>
      <c r="P44" s="28"/>
      <c r="Q44" s="28"/>
      <c r="S44" s="28"/>
      <c r="T44" s="23"/>
      <c r="U44" s="23"/>
      <c r="V44" s="23"/>
      <c r="W44" s="28"/>
      <c r="X44" s="28"/>
      <c r="Y44" s="28"/>
      <c r="Z44" s="28"/>
    </row>
    <row r="45" spans="1:26" hidden="1">
      <c r="A45" s="28"/>
      <c r="B45" s="23"/>
      <c r="C45" s="23"/>
      <c r="D45" s="23"/>
      <c r="E45" s="28"/>
      <c r="F45" s="28"/>
      <c r="G45" s="28"/>
      <c r="H45" s="28"/>
      <c r="J45" s="28"/>
      <c r="K45" s="23"/>
      <c r="L45" s="23"/>
      <c r="M45" s="23"/>
      <c r="N45" s="28"/>
      <c r="O45" s="28"/>
      <c r="P45" s="28"/>
      <c r="Q45" s="28"/>
      <c r="S45" s="28"/>
      <c r="T45" s="23"/>
      <c r="U45" s="23"/>
      <c r="V45" s="23"/>
      <c r="W45" s="28"/>
      <c r="X45" s="28"/>
      <c r="Y45" s="28"/>
      <c r="Z45" s="28"/>
    </row>
    <row r="46" spans="1:26" hidden="1">
      <c r="A46" s="12"/>
      <c r="B46" s="13"/>
      <c r="C46" s="26" t="s">
        <v>896</v>
      </c>
      <c r="D46" s="27">
        <f>SUM(D41:D44)</f>
        <v>0</v>
      </c>
      <c r="E46" s="27">
        <v>0</v>
      </c>
      <c r="F46" s="27">
        <v>0</v>
      </c>
      <c r="G46" s="27"/>
      <c r="H46" s="27"/>
      <c r="J46" s="12"/>
      <c r="K46" s="13"/>
      <c r="L46" s="26" t="s">
        <v>896</v>
      </c>
      <c r="M46" s="27">
        <f>SUM(M41:M44)</f>
        <v>0</v>
      </c>
      <c r="N46" s="27">
        <v>0</v>
      </c>
      <c r="O46" s="27">
        <v>0</v>
      </c>
      <c r="P46" s="27"/>
      <c r="Q46" s="27"/>
      <c r="S46" s="12"/>
      <c r="T46" s="13"/>
      <c r="U46" s="26" t="s">
        <v>896</v>
      </c>
      <c r="V46" s="27">
        <f>SUM(V41:V44)</f>
        <v>0</v>
      </c>
      <c r="W46" s="27">
        <v>0</v>
      </c>
      <c r="X46" s="27">
        <v>0</v>
      </c>
      <c r="Y46" s="27"/>
      <c r="Z46" s="27"/>
    </row>
    <row r="47" spans="1:26" hidden="1">
      <c r="A47" s="20"/>
      <c r="B47" s="19"/>
      <c r="C47" s="377" t="s">
        <v>21</v>
      </c>
      <c r="D47" s="10"/>
      <c r="E47" s="530">
        <f>D46</f>
        <v>0</v>
      </c>
      <c r="F47" s="530"/>
      <c r="G47" s="530"/>
      <c r="H47" s="530"/>
      <c r="J47" s="20"/>
      <c r="K47" s="19"/>
      <c r="L47" s="381" t="s">
        <v>21</v>
      </c>
      <c r="M47" s="10"/>
      <c r="N47" s="530">
        <f>M46</f>
        <v>0</v>
      </c>
      <c r="O47" s="530"/>
      <c r="P47" s="530"/>
      <c r="Q47" s="530"/>
      <c r="S47" s="20"/>
      <c r="T47" s="19"/>
      <c r="U47" s="386" t="s">
        <v>21</v>
      </c>
      <c r="V47" s="10"/>
      <c r="W47" s="530">
        <f>V46</f>
        <v>0</v>
      </c>
      <c r="X47" s="530"/>
      <c r="Y47" s="530"/>
      <c r="Z47" s="530"/>
    </row>
    <row r="48" spans="1:26">
      <c r="A48" s="524" t="s">
        <v>54</v>
      </c>
      <c r="B48" s="524"/>
      <c r="C48" s="524"/>
      <c r="D48" s="524"/>
      <c r="E48" s="524"/>
      <c r="F48" s="524"/>
      <c r="G48" s="524"/>
      <c r="H48" s="524"/>
      <c r="J48" s="524" t="s">
        <v>54</v>
      </c>
      <c r="K48" s="524"/>
      <c r="L48" s="524"/>
      <c r="M48" s="524"/>
      <c r="N48" s="524"/>
      <c r="O48" s="524"/>
      <c r="P48" s="524"/>
      <c r="Q48" s="524"/>
      <c r="S48" s="524" t="s">
        <v>54</v>
      </c>
      <c r="T48" s="524"/>
      <c r="U48" s="524"/>
      <c r="V48" s="524"/>
      <c r="W48" s="524"/>
      <c r="X48" s="524"/>
      <c r="Y48" s="524"/>
      <c r="Z48" s="524"/>
    </row>
    <row r="49" spans="1:26">
      <c r="A49" s="28"/>
      <c r="B49" s="23" t="s">
        <v>1223</v>
      </c>
      <c r="C49" s="23" t="s">
        <v>1224</v>
      </c>
      <c r="D49" s="23">
        <v>5435000</v>
      </c>
      <c r="E49" s="28"/>
      <c r="F49" s="28"/>
      <c r="G49" s="28"/>
      <c r="H49" s="28"/>
      <c r="J49" s="28"/>
      <c r="K49" s="23"/>
      <c r="L49" s="23"/>
      <c r="M49" s="23"/>
      <c r="N49" s="28"/>
      <c r="O49" s="28"/>
      <c r="P49" s="28"/>
      <c r="Q49" s="28"/>
      <c r="S49" s="28"/>
      <c r="T49" s="23" t="s">
        <v>1223</v>
      </c>
      <c r="U49" s="23" t="s">
        <v>1224</v>
      </c>
      <c r="V49" s="23">
        <v>5435000</v>
      </c>
      <c r="W49" s="28"/>
      <c r="X49" s="28"/>
      <c r="Y49" s="28"/>
      <c r="Z49" s="28"/>
    </row>
    <row r="50" spans="1:26">
      <c r="A50" s="12"/>
      <c r="B50" s="23" t="s">
        <v>1223</v>
      </c>
      <c r="C50" s="23" t="s">
        <v>1169</v>
      </c>
      <c r="D50" s="23">
        <v>80000000</v>
      </c>
      <c r="E50" s="377"/>
      <c r="F50" s="377"/>
      <c r="G50" s="377"/>
      <c r="H50" s="377"/>
      <c r="J50" s="12"/>
      <c r="K50" s="23"/>
      <c r="L50" s="23"/>
      <c r="M50" s="23"/>
      <c r="N50" s="381"/>
      <c r="O50" s="381"/>
      <c r="P50" s="381"/>
      <c r="Q50" s="381"/>
      <c r="S50" s="12"/>
      <c r="T50" s="23" t="s">
        <v>1223</v>
      </c>
      <c r="U50" s="23" t="s">
        <v>1169</v>
      </c>
      <c r="V50" s="23">
        <v>50000000</v>
      </c>
      <c r="W50" s="386"/>
      <c r="X50" s="386"/>
      <c r="Y50" s="386"/>
      <c r="Z50" s="386"/>
    </row>
    <row r="51" spans="1:26">
      <c r="A51" s="12"/>
      <c r="B51" s="23" t="s">
        <v>1223</v>
      </c>
      <c r="C51" s="22" t="s">
        <v>1226</v>
      </c>
      <c r="D51" s="22">
        <v>2810000</v>
      </c>
      <c r="E51" s="377"/>
      <c r="F51" s="377"/>
      <c r="G51" s="377"/>
      <c r="H51" s="377"/>
      <c r="J51" s="12"/>
      <c r="K51" s="23"/>
      <c r="L51" s="22"/>
      <c r="M51" s="22"/>
      <c r="N51" s="381"/>
      <c r="O51" s="381"/>
      <c r="P51" s="381"/>
      <c r="Q51" s="381"/>
      <c r="S51" s="12"/>
      <c r="T51" s="23" t="s">
        <v>1223</v>
      </c>
      <c r="U51" s="22" t="s">
        <v>1226</v>
      </c>
      <c r="V51" s="22">
        <v>2810000</v>
      </c>
      <c r="W51" s="386"/>
      <c r="X51" s="386"/>
      <c r="Y51" s="386"/>
      <c r="Z51" s="386"/>
    </row>
    <row r="52" spans="1:26">
      <c r="A52" s="12"/>
      <c r="B52" s="23" t="s">
        <v>1223</v>
      </c>
      <c r="C52" s="22" t="s">
        <v>1225</v>
      </c>
      <c r="D52" s="22">
        <v>50000000</v>
      </c>
      <c r="E52" s="377"/>
      <c r="F52" s="377"/>
      <c r="G52" s="377"/>
      <c r="H52" s="377"/>
      <c r="J52" s="12"/>
      <c r="K52" s="23"/>
      <c r="L52" s="22"/>
      <c r="M52" s="22"/>
      <c r="N52" s="381"/>
      <c r="O52" s="381"/>
      <c r="P52" s="381"/>
      <c r="Q52" s="381"/>
      <c r="S52" s="12"/>
      <c r="T52" s="23" t="s">
        <v>1223</v>
      </c>
      <c r="U52" s="22"/>
      <c r="V52" s="22"/>
      <c r="W52" s="386"/>
      <c r="X52" s="386"/>
      <c r="Y52" s="386"/>
      <c r="Z52" s="386"/>
    </row>
    <row r="53" spans="1:26">
      <c r="A53" s="12"/>
      <c r="B53" s="23" t="s">
        <v>1223</v>
      </c>
      <c r="C53" s="22" t="s">
        <v>1227</v>
      </c>
      <c r="D53" s="22">
        <v>20000000</v>
      </c>
      <c r="E53" s="377"/>
      <c r="F53" s="377"/>
      <c r="G53" s="377"/>
      <c r="H53" s="377"/>
      <c r="J53" s="12"/>
      <c r="K53" s="23"/>
      <c r="L53" s="22"/>
      <c r="M53" s="22"/>
      <c r="N53" s="381"/>
      <c r="O53" s="381"/>
      <c r="P53" s="381"/>
      <c r="Q53" s="381"/>
      <c r="S53" s="12"/>
      <c r="T53" s="23" t="s">
        <v>1223</v>
      </c>
      <c r="U53" s="22" t="s">
        <v>1227</v>
      </c>
      <c r="V53" s="22">
        <v>3000000</v>
      </c>
      <c r="W53" s="386"/>
      <c r="X53" s="386"/>
      <c r="Y53" s="386"/>
      <c r="Z53" s="386"/>
    </row>
    <row r="54" spans="1:26">
      <c r="A54" s="12"/>
      <c r="B54" s="23" t="s">
        <v>1223</v>
      </c>
      <c r="C54" s="22" t="s">
        <v>1228</v>
      </c>
      <c r="D54" s="22">
        <v>20000000</v>
      </c>
      <c r="E54" s="377"/>
      <c r="F54" s="377"/>
      <c r="G54" s="377"/>
      <c r="H54" s="377"/>
      <c r="J54" s="12"/>
      <c r="K54" s="23"/>
      <c r="L54" s="22"/>
      <c r="M54" s="22"/>
      <c r="N54" s="381"/>
      <c r="O54" s="381"/>
      <c r="P54" s="381"/>
      <c r="Q54" s="381"/>
      <c r="S54" s="12"/>
      <c r="T54" s="23" t="s">
        <v>1223</v>
      </c>
      <c r="U54" s="22" t="s">
        <v>1228</v>
      </c>
      <c r="V54" s="22">
        <v>15000000</v>
      </c>
      <c r="W54" s="386"/>
      <c r="X54" s="386"/>
      <c r="Y54" s="386"/>
      <c r="Z54" s="386"/>
    </row>
    <row r="55" spans="1:26">
      <c r="A55" s="12"/>
      <c r="B55" s="23" t="s">
        <v>1223</v>
      </c>
      <c r="C55" s="22" t="s">
        <v>1229</v>
      </c>
      <c r="D55" s="22">
        <v>20000000</v>
      </c>
      <c r="E55" s="377"/>
      <c r="F55" s="377"/>
      <c r="G55" s="377"/>
      <c r="H55" s="377"/>
      <c r="J55" s="12"/>
      <c r="K55" s="23" t="s">
        <v>1223</v>
      </c>
      <c r="L55" s="22" t="s">
        <v>1229</v>
      </c>
      <c r="M55" s="22">
        <v>15000000</v>
      </c>
      <c r="N55" s="381"/>
      <c r="O55" s="381"/>
      <c r="P55" s="381"/>
      <c r="Q55" s="381"/>
      <c r="S55" s="12"/>
      <c r="T55" s="23"/>
      <c r="U55" s="22"/>
      <c r="V55" s="22"/>
      <c r="W55" s="386"/>
      <c r="X55" s="386"/>
      <c r="Y55" s="386"/>
      <c r="Z55" s="386"/>
    </row>
    <row r="56" spans="1:26">
      <c r="A56" s="12"/>
      <c r="B56" s="23" t="s">
        <v>1223</v>
      </c>
      <c r="C56" s="22" t="s">
        <v>1120</v>
      </c>
      <c r="D56" s="22">
        <v>1540000</v>
      </c>
      <c r="E56" s="377"/>
      <c r="F56" s="377"/>
      <c r="G56" s="377"/>
      <c r="H56" s="377"/>
      <c r="J56" s="12"/>
      <c r="K56" s="23"/>
      <c r="L56" s="22"/>
      <c r="M56" s="22"/>
      <c r="N56" s="381"/>
      <c r="O56" s="381"/>
      <c r="P56" s="381"/>
      <c r="Q56" s="381"/>
      <c r="S56" s="12"/>
      <c r="T56" s="23" t="s">
        <v>1223</v>
      </c>
      <c r="U56" s="22" t="s">
        <v>1120</v>
      </c>
      <c r="V56" s="22">
        <v>1540000</v>
      </c>
      <c r="W56" s="386"/>
      <c r="X56" s="386"/>
      <c r="Y56" s="386"/>
      <c r="Z56" s="386"/>
    </row>
    <row r="57" spans="1:26">
      <c r="A57" s="12"/>
      <c r="B57" s="23" t="s">
        <v>1223</v>
      </c>
      <c r="C57" s="22" t="s">
        <v>1121</v>
      </c>
      <c r="D57" s="22">
        <v>300000</v>
      </c>
      <c r="E57" s="377"/>
      <c r="F57" s="377"/>
      <c r="G57" s="377"/>
      <c r="H57" s="377"/>
      <c r="J57" s="12"/>
      <c r="K57" s="23" t="s">
        <v>1223</v>
      </c>
      <c r="L57" s="22" t="s">
        <v>1121</v>
      </c>
      <c r="M57" s="22">
        <v>300000</v>
      </c>
      <c r="N57" s="381"/>
      <c r="O57" s="381"/>
      <c r="P57" s="381"/>
      <c r="Q57" s="381"/>
      <c r="S57" s="12"/>
      <c r="T57" s="23"/>
      <c r="U57" s="22"/>
      <c r="V57" s="22"/>
      <c r="W57" s="386"/>
      <c r="X57" s="386"/>
      <c r="Y57" s="386"/>
      <c r="Z57" s="386"/>
    </row>
    <row r="58" spans="1:26">
      <c r="A58" s="12"/>
      <c r="B58" s="23" t="s">
        <v>1223</v>
      </c>
      <c r="C58" s="23" t="s">
        <v>1230</v>
      </c>
      <c r="D58" s="23">
        <v>300000</v>
      </c>
      <c r="E58" s="377"/>
      <c r="F58" s="377"/>
      <c r="G58" s="377"/>
      <c r="H58" s="377"/>
      <c r="J58" s="12"/>
      <c r="K58" s="23"/>
      <c r="L58" s="23"/>
      <c r="M58" s="23"/>
      <c r="N58" s="381"/>
      <c r="O58" s="381"/>
      <c r="P58" s="381"/>
      <c r="Q58" s="381"/>
      <c r="S58" s="12"/>
      <c r="T58" s="23" t="s">
        <v>1223</v>
      </c>
      <c r="U58" s="23" t="s">
        <v>1230</v>
      </c>
      <c r="V58" s="23">
        <v>300000</v>
      </c>
      <c r="W58" s="386"/>
      <c r="X58" s="386"/>
      <c r="Y58" s="386"/>
      <c r="Z58" s="386"/>
    </row>
    <row r="59" spans="1:26">
      <c r="A59" s="12"/>
      <c r="B59" s="23" t="s">
        <v>1223</v>
      </c>
      <c r="C59" s="23" t="s">
        <v>1231</v>
      </c>
      <c r="D59" s="23">
        <v>3500000</v>
      </c>
      <c r="E59" s="377"/>
      <c r="F59" s="377"/>
      <c r="G59" s="377"/>
      <c r="H59" s="377"/>
      <c r="J59" s="12"/>
      <c r="K59" s="23"/>
      <c r="L59" s="23"/>
      <c r="M59" s="23"/>
      <c r="N59" s="381"/>
      <c r="O59" s="381"/>
      <c r="P59" s="381"/>
      <c r="Q59" s="381"/>
      <c r="S59" s="12"/>
      <c r="T59" s="23" t="s">
        <v>1223</v>
      </c>
      <c r="U59" s="23" t="s">
        <v>1231</v>
      </c>
      <c r="V59" s="23">
        <v>3500000</v>
      </c>
      <c r="W59" s="386"/>
      <c r="X59" s="386"/>
      <c r="Y59" s="386"/>
      <c r="Z59" s="386"/>
    </row>
    <row r="60" spans="1:26">
      <c r="A60" s="12"/>
      <c r="B60" s="23" t="s">
        <v>1232</v>
      </c>
      <c r="C60" s="23" t="s">
        <v>1233</v>
      </c>
      <c r="D60" s="23">
        <v>54800000</v>
      </c>
      <c r="E60" s="377"/>
      <c r="F60" s="377"/>
      <c r="G60" s="377"/>
      <c r="H60" s="377"/>
      <c r="J60" s="12"/>
      <c r="K60" s="23"/>
      <c r="L60" s="23"/>
      <c r="M60" s="23"/>
      <c r="N60" s="381"/>
      <c r="O60" s="381"/>
      <c r="P60" s="381"/>
      <c r="Q60" s="381"/>
      <c r="S60" s="12"/>
      <c r="T60" s="23" t="s">
        <v>1232</v>
      </c>
      <c r="U60" s="23" t="s">
        <v>1233</v>
      </c>
      <c r="V60" s="23">
        <f>54800000-15000000</f>
        <v>39800000</v>
      </c>
      <c r="W60" s="386"/>
      <c r="X60" s="386"/>
      <c r="Y60" s="386"/>
      <c r="Z60" s="386"/>
    </row>
    <row r="61" spans="1:26">
      <c r="A61" s="12"/>
      <c r="B61" s="23" t="s">
        <v>128</v>
      </c>
      <c r="C61" s="22" t="s">
        <v>1244</v>
      </c>
      <c r="D61" s="22">
        <v>24548000</v>
      </c>
      <c r="E61" s="377"/>
      <c r="F61" s="377"/>
      <c r="G61" s="377"/>
      <c r="H61" s="377"/>
      <c r="J61" s="12"/>
      <c r="K61" s="23"/>
      <c r="L61" s="22"/>
      <c r="M61" s="22"/>
      <c r="N61" s="381"/>
      <c r="O61" s="381"/>
      <c r="P61" s="381"/>
      <c r="Q61" s="381"/>
      <c r="S61" s="12"/>
      <c r="T61" s="23" t="s">
        <v>128</v>
      </c>
      <c r="U61" s="22" t="s">
        <v>1244</v>
      </c>
      <c r="V61" s="22"/>
      <c r="W61" s="386"/>
      <c r="X61" s="386"/>
      <c r="Y61" s="386"/>
      <c r="Z61" s="386"/>
    </row>
    <row r="62" spans="1:26">
      <c r="A62" s="12"/>
      <c r="B62" s="23"/>
      <c r="C62" s="22"/>
      <c r="D62" s="22"/>
      <c r="E62" s="377"/>
      <c r="F62" s="377"/>
      <c r="G62" s="377"/>
      <c r="H62" s="377"/>
      <c r="J62" s="12"/>
      <c r="K62" s="23"/>
      <c r="L62" s="22"/>
      <c r="M62" s="22"/>
      <c r="N62" s="381"/>
      <c r="O62" s="381"/>
      <c r="P62" s="381"/>
      <c r="Q62" s="381"/>
      <c r="S62" s="12"/>
      <c r="T62" s="23"/>
      <c r="U62" s="22" t="s">
        <v>1246</v>
      </c>
      <c r="V62" s="22">
        <v>10000000</v>
      </c>
      <c r="W62" s="386"/>
      <c r="X62" s="386"/>
      <c r="Y62" s="386"/>
      <c r="Z62" s="386"/>
    </row>
    <row r="63" spans="1:26">
      <c r="A63" s="12"/>
      <c r="B63" s="13"/>
      <c r="C63" s="26" t="s">
        <v>55</v>
      </c>
      <c r="D63" s="27">
        <f>SUM(D49:D62)</f>
        <v>283233000</v>
      </c>
      <c r="E63" s="27">
        <v>0</v>
      </c>
      <c r="F63" s="27">
        <v>0</v>
      </c>
      <c r="G63" s="27"/>
      <c r="H63" s="27"/>
      <c r="J63" s="12"/>
      <c r="K63" s="13"/>
      <c r="L63" s="26" t="s">
        <v>55</v>
      </c>
      <c r="M63" s="27">
        <f>SUM(M49:M62)</f>
        <v>15300000</v>
      </c>
      <c r="N63" s="27">
        <v>0</v>
      </c>
      <c r="O63" s="27">
        <v>0</v>
      </c>
      <c r="P63" s="27"/>
      <c r="Q63" s="27"/>
      <c r="S63" s="12"/>
      <c r="T63" s="13"/>
      <c r="U63" s="26" t="s">
        <v>55</v>
      </c>
      <c r="V63" s="27">
        <f>SUM(V49:V62)</f>
        <v>131385000</v>
      </c>
      <c r="W63" s="27">
        <v>0</v>
      </c>
      <c r="X63" s="27">
        <v>0</v>
      </c>
      <c r="Y63" s="27"/>
      <c r="Z63" s="27"/>
    </row>
    <row r="64" spans="1:26">
      <c r="A64" s="20"/>
      <c r="B64" s="19"/>
      <c r="C64" s="377" t="s">
        <v>21</v>
      </c>
      <c r="D64" s="10"/>
      <c r="E64" s="530">
        <f>D63</f>
        <v>283233000</v>
      </c>
      <c r="F64" s="530"/>
      <c r="G64" s="530"/>
      <c r="H64" s="530"/>
      <c r="J64" s="20"/>
      <c r="K64" s="19"/>
      <c r="L64" s="381" t="s">
        <v>21</v>
      </c>
      <c r="M64" s="10"/>
      <c r="N64" s="530">
        <f>M63</f>
        <v>15300000</v>
      </c>
      <c r="O64" s="530"/>
      <c r="P64" s="530"/>
      <c r="Q64" s="530"/>
      <c r="S64" s="20"/>
      <c r="T64" s="19"/>
      <c r="U64" s="386" t="s">
        <v>21</v>
      </c>
      <c r="V64" s="10"/>
      <c r="W64" s="530">
        <f>V63</f>
        <v>131385000</v>
      </c>
      <c r="X64" s="530"/>
      <c r="Y64" s="530"/>
      <c r="Z64" s="530"/>
    </row>
    <row r="65" spans="1:26">
      <c r="A65" s="524" t="s">
        <v>1047</v>
      </c>
      <c r="B65" s="524"/>
      <c r="C65" s="524"/>
      <c r="D65" s="524"/>
      <c r="E65" s="524"/>
      <c r="F65" s="524"/>
      <c r="G65" s="524"/>
      <c r="H65" s="524"/>
      <c r="J65" s="524" t="s">
        <v>1047</v>
      </c>
      <c r="K65" s="524"/>
      <c r="L65" s="524"/>
      <c r="M65" s="524"/>
      <c r="N65" s="524"/>
      <c r="O65" s="524"/>
      <c r="P65" s="524"/>
      <c r="Q65" s="524"/>
      <c r="S65" s="524" t="s">
        <v>1047</v>
      </c>
      <c r="T65" s="524"/>
      <c r="U65" s="524"/>
      <c r="V65" s="524"/>
      <c r="W65" s="524"/>
      <c r="X65" s="524"/>
      <c r="Y65" s="524"/>
      <c r="Z65" s="524"/>
    </row>
    <row r="66" spans="1:26">
      <c r="A66" s="28"/>
      <c r="B66" s="19" t="s">
        <v>1234</v>
      </c>
      <c r="C66" s="23" t="s">
        <v>1235</v>
      </c>
      <c r="D66" s="23">
        <v>5720000</v>
      </c>
      <c r="E66" s="28"/>
      <c r="F66" s="28"/>
      <c r="G66" s="28"/>
      <c r="H66" s="28"/>
      <c r="J66" s="28"/>
      <c r="K66" s="19" t="s">
        <v>1234</v>
      </c>
      <c r="L66" s="23" t="s">
        <v>1235</v>
      </c>
      <c r="M66" s="23">
        <v>5720000</v>
      </c>
      <c r="N66" s="28"/>
      <c r="O66" s="28"/>
      <c r="P66" s="28"/>
      <c r="Q66" s="28"/>
      <c r="S66" s="28"/>
      <c r="T66" s="19"/>
      <c r="U66" s="23"/>
      <c r="V66" s="23"/>
      <c r="W66" s="28"/>
      <c r="X66" s="28"/>
      <c r="Y66" s="28"/>
      <c r="Z66" s="28"/>
    </row>
    <row r="67" spans="1:26">
      <c r="A67" s="28"/>
      <c r="B67" s="19" t="s">
        <v>1234</v>
      </c>
      <c r="C67" s="23" t="s">
        <v>1175</v>
      </c>
      <c r="D67" s="23">
        <v>18000</v>
      </c>
      <c r="E67" s="28"/>
      <c r="F67" s="28"/>
      <c r="G67" s="28"/>
      <c r="H67" s="28"/>
      <c r="J67" s="28"/>
      <c r="K67" s="19" t="s">
        <v>1234</v>
      </c>
      <c r="L67" s="23" t="s">
        <v>1175</v>
      </c>
      <c r="M67" s="23">
        <v>18000</v>
      </c>
      <c r="N67" s="28"/>
      <c r="O67" s="28"/>
      <c r="P67" s="28"/>
      <c r="Q67" s="28"/>
      <c r="S67" s="28"/>
      <c r="T67" s="19"/>
      <c r="U67" s="23"/>
      <c r="V67" s="23"/>
      <c r="W67" s="28"/>
      <c r="X67" s="28"/>
      <c r="Y67" s="28"/>
      <c r="Z67" s="28"/>
    </row>
    <row r="68" spans="1:26">
      <c r="A68" s="28"/>
      <c r="B68" s="19" t="s">
        <v>1234</v>
      </c>
      <c r="C68" s="23" t="s">
        <v>1236</v>
      </c>
      <c r="D68" s="23">
        <v>15000</v>
      </c>
      <c r="E68" s="28"/>
      <c r="F68" s="28"/>
      <c r="G68" s="28"/>
      <c r="H68" s="28"/>
      <c r="J68" s="28"/>
      <c r="K68" s="19" t="s">
        <v>1234</v>
      </c>
      <c r="L68" s="23" t="s">
        <v>1236</v>
      </c>
      <c r="M68" s="23">
        <v>15000</v>
      </c>
      <c r="N68" s="28"/>
      <c r="O68" s="28"/>
      <c r="P68" s="28"/>
      <c r="Q68" s="28"/>
      <c r="S68" s="28"/>
      <c r="T68" s="19"/>
      <c r="U68" s="23"/>
      <c r="V68" s="23"/>
      <c r="W68" s="28"/>
      <c r="X68" s="28"/>
      <c r="Y68" s="28"/>
      <c r="Z68" s="28"/>
    </row>
    <row r="69" spans="1:26">
      <c r="A69" s="28"/>
      <c r="B69" s="19" t="s">
        <v>1234</v>
      </c>
      <c r="C69" s="23" t="s">
        <v>1127</v>
      </c>
      <c r="D69" s="23">
        <v>450000</v>
      </c>
      <c r="E69" s="28"/>
      <c r="F69" s="28"/>
      <c r="G69" s="28"/>
      <c r="H69" s="28"/>
      <c r="J69" s="28"/>
      <c r="K69" s="19" t="s">
        <v>1234</v>
      </c>
      <c r="L69" s="23" t="s">
        <v>1127</v>
      </c>
      <c r="M69" s="23">
        <v>450000</v>
      </c>
      <c r="N69" s="28"/>
      <c r="O69" s="28"/>
      <c r="P69" s="28"/>
      <c r="Q69" s="28"/>
      <c r="S69" s="28"/>
      <c r="T69" s="19"/>
      <c r="U69" s="23"/>
      <c r="V69" s="23"/>
      <c r="W69" s="28"/>
      <c r="X69" s="28"/>
      <c r="Y69" s="28"/>
      <c r="Z69" s="28"/>
    </row>
    <row r="70" spans="1:26">
      <c r="A70" s="28"/>
      <c r="B70" s="19"/>
      <c r="C70" s="23"/>
      <c r="D70" s="23"/>
      <c r="E70" s="28"/>
      <c r="F70" s="28"/>
      <c r="G70" s="28"/>
      <c r="H70" s="28"/>
      <c r="J70" s="28"/>
      <c r="K70" s="19"/>
      <c r="L70" s="23"/>
      <c r="M70" s="23"/>
      <c r="N70" s="28"/>
      <c r="O70" s="28"/>
      <c r="P70" s="28"/>
      <c r="Q70" s="28"/>
      <c r="S70" s="28"/>
      <c r="T70" s="19"/>
      <c r="U70" s="23"/>
      <c r="V70" s="23"/>
      <c r="W70" s="28"/>
      <c r="X70" s="28"/>
      <c r="Y70" s="28"/>
      <c r="Z70" s="28"/>
    </row>
    <row r="71" spans="1:26">
      <c r="A71" s="12"/>
      <c r="B71" s="19"/>
      <c r="C71" s="24"/>
      <c r="D71" s="23"/>
      <c r="E71" s="377"/>
      <c r="F71" s="377"/>
      <c r="G71" s="377"/>
      <c r="H71" s="377"/>
      <c r="J71" s="12"/>
      <c r="K71" s="19"/>
      <c r="L71" s="24"/>
      <c r="M71" s="23"/>
      <c r="N71" s="381"/>
      <c r="O71" s="381"/>
      <c r="P71" s="381"/>
      <c r="Q71" s="381"/>
      <c r="S71" s="12"/>
      <c r="T71" s="19"/>
      <c r="U71" s="24"/>
      <c r="V71" s="23"/>
      <c r="W71" s="386"/>
      <c r="X71" s="386"/>
      <c r="Y71" s="386"/>
      <c r="Z71" s="386"/>
    </row>
    <row r="72" spans="1:26">
      <c r="A72" s="12"/>
      <c r="B72" s="13"/>
      <c r="C72" s="26" t="s">
        <v>848</v>
      </c>
      <c r="D72" s="27">
        <f>SUM(D66:D71)</f>
        <v>6203000</v>
      </c>
      <c r="E72" s="27">
        <v>0</v>
      </c>
      <c r="F72" s="27">
        <v>0</v>
      </c>
      <c r="G72" s="27"/>
      <c r="H72" s="27"/>
      <c r="J72" s="12"/>
      <c r="K72" s="13"/>
      <c r="L72" s="26" t="s">
        <v>848</v>
      </c>
      <c r="M72" s="27">
        <f>SUM(M66:M71)</f>
        <v>6203000</v>
      </c>
      <c r="N72" s="27">
        <v>0</v>
      </c>
      <c r="O72" s="27">
        <v>0</v>
      </c>
      <c r="P72" s="27"/>
      <c r="Q72" s="27"/>
      <c r="S72" s="12"/>
      <c r="T72" s="13"/>
      <c r="U72" s="26" t="s">
        <v>848</v>
      </c>
      <c r="V72" s="27">
        <f>SUM(V66:V71)</f>
        <v>0</v>
      </c>
      <c r="W72" s="27">
        <v>0</v>
      </c>
      <c r="X72" s="27">
        <v>0</v>
      </c>
      <c r="Y72" s="27"/>
      <c r="Z72" s="27"/>
    </row>
    <row r="73" spans="1:26">
      <c r="A73" s="20"/>
      <c r="B73" s="19"/>
      <c r="C73" s="377" t="s">
        <v>21</v>
      </c>
      <c r="D73" s="10"/>
      <c r="E73" s="530">
        <f>D72</f>
        <v>6203000</v>
      </c>
      <c r="F73" s="530"/>
      <c r="G73" s="530"/>
      <c r="H73" s="530"/>
      <c r="J73" s="20"/>
      <c r="K73" s="19"/>
      <c r="L73" s="381" t="s">
        <v>21</v>
      </c>
      <c r="M73" s="10"/>
      <c r="N73" s="530">
        <f>M72</f>
        <v>6203000</v>
      </c>
      <c r="O73" s="530"/>
      <c r="P73" s="530"/>
      <c r="Q73" s="530"/>
      <c r="S73" s="20"/>
      <c r="T73" s="19"/>
      <c r="U73" s="386" t="s">
        <v>21</v>
      </c>
      <c r="V73" s="10"/>
      <c r="W73" s="530">
        <f>V72</f>
        <v>0</v>
      </c>
      <c r="X73" s="530"/>
      <c r="Y73" s="530"/>
      <c r="Z73" s="530"/>
    </row>
    <row r="74" spans="1:26">
      <c r="A74" s="527" t="s">
        <v>26</v>
      </c>
      <c r="B74" s="528"/>
      <c r="C74" s="528"/>
      <c r="D74" s="528"/>
      <c r="E74" s="528"/>
      <c r="F74" s="528"/>
      <c r="G74" s="528"/>
      <c r="H74" s="529"/>
      <c r="J74" s="527" t="s">
        <v>26</v>
      </c>
      <c r="K74" s="528"/>
      <c r="L74" s="528"/>
      <c r="M74" s="528"/>
      <c r="N74" s="528"/>
      <c r="O74" s="528"/>
      <c r="P74" s="528"/>
      <c r="Q74" s="529"/>
      <c r="S74" s="527" t="s">
        <v>26</v>
      </c>
      <c r="T74" s="528"/>
      <c r="U74" s="528"/>
      <c r="V74" s="528"/>
      <c r="W74" s="528"/>
      <c r="X74" s="528"/>
      <c r="Y74" s="528"/>
      <c r="Z74" s="529"/>
    </row>
    <row r="75" spans="1:26">
      <c r="A75" s="12"/>
      <c r="B75" s="23" t="s">
        <v>1237</v>
      </c>
      <c r="C75" s="24" t="s">
        <v>1245</v>
      </c>
      <c r="D75" s="23">
        <v>4070500</v>
      </c>
      <c r="E75" s="22"/>
      <c r="F75" s="22"/>
      <c r="G75" s="16"/>
      <c r="H75" s="16"/>
      <c r="J75" s="12"/>
      <c r="K75" s="23" t="s">
        <v>1237</v>
      </c>
      <c r="L75" s="24" t="s">
        <v>1245</v>
      </c>
      <c r="M75" s="23">
        <v>4070500</v>
      </c>
      <c r="N75" s="22"/>
      <c r="O75" s="22"/>
      <c r="P75" s="16"/>
      <c r="Q75" s="16"/>
      <c r="S75" s="12"/>
      <c r="T75" s="23"/>
      <c r="U75" s="24"/>
      <c r="V75" s="23"/>
      <c r="W75" s="22"/>
      <c r="X75" s="22"/>
      <c r="Y75" s="16"/>
      <c r="Z75" s="16"/>
    </row>
    <row r="76" spans="1:26">
      <c r="A76" s="12"/>
      <c r="B76" s="23" t="s">
        <v>1238</v>
      </c>
      <c r="C76" s="24" t="s">
        <v>1239</v>
      </c>
      <c r="D76" s="23">
        <v>2310000</v>
      </c>
      <c r="E76" s="23"/>
      <c r="F76" s="22"/>
      <c r="G76" s="16"/>
      <c r="H76" s="280"/>
      <c r="J76" s="12"/>
      <c r="K76" s="23"/>
      <c r="L76" s="24"/>
      <c r="M76" s="23"/>
      <c r="N76" s="23"/>
      <c r="O76" s="22"/>
      <c r="P76" s="16"/>
      <c r="Q76" s="280"/>
      <c r="S76" s="12"/>
      <c r="T76" s="23"/>
      <c r="U76" s="24"/>
      <c r="V76" s="23"/>
      <c r="W76" s="23"/>
      <c r="X76" s="22"/>
      <c r="Y76" s="16"/>
      <c r="Z76" s="280"/>
    </row>
    <row r="77" spans="1:26">
      <c r="A77" s="12"/>
      <c r="B77" s="23" t="s">
        <v>1240</v>
      </c>
      <c r="C77" s="24" t="s">
        <v>1241</v>
      </c>
      <c r="D77" s="23">
        <v>1900000</v>
      </c>
      <c r="E77" s="22"/>
      <c r="F77" s="22"/>
      <c r="G77" s="16"/>
      <c r="H77" s="16"/>
      <c r="J77" s="12"/>
      <c r="K77" s="23"/>
      <c r="L77" s="24"/>
      <c r="M77" s="23"/>
      <c r="N77" s="22"/>
      <c r="O77" s="22"/>
      <c r="P77" s="16"/>
      <c r="Q77" s="16"/>
      <c r="S77" s="12"/>
      <c r="T77" s="23"/>
      <c r="U77" s="24"/>
      <c r="V77" s="23"/>
      <c r="W77" s="22"/>
      <c r="X77" s="22"/>
      <c r="Y77" s="16"/>
      <c r="Z77" s="16"/>
    </row>
    <row r="78" spans="1:26">
      <c r="A78" s="12"/>
      <c r="B78" s="19"/>
      <c r="C78" s="24"/>
      <c r="D78" s="23"/>
      <c r="E78" s="22"/>
      <c r="F78" s="22"/>
      <c r="G78" s="16"/>
      <c r="H78" s="16"/>
      <c r="J78" s="12"/>
      <c r="K78" s="19"/>
      <c r="L78" s="24"/>
      <c r="M78" s="23"/>
      <c r="N78" s="22"/>
      <c r="O78" s="22"/>
      <c r="P78" s="16"/>
      <c r="Q78" s="16"/>
      <c r="S78" s="12"/>
      <c r="T78" s="19"/>
      <c r="U78" s="24"/>
      <c r="V78" s="23"/>
      <c r="W78" s="22"/>
      <c r="X78" s="22"/>
      <c r="Y78" s="16"/>
      <c r="Z78" s="16"/>
    </row>
    <row r="79" spans="1:26">
      <c r="A79" s="12"/>
      <c r="B79" s="19"/>
      <c r="C79" s="23"/>
      <c r="D79" s="23"/>
      <c r="E79" s="22"/>
      <c r="F79" s="22"/>
      <c r="G79" s="16"/>
      <c r="H79" s="16"/>
      <c r="J79" s="12"/>
      <c r="K79" s="19"/>
      <c r="L79" s="23"/>
      <c r="M79" s="23"/>
      <c r="N79" s="22"/>
      <c r="O79" s="22"/>
      <c r="P79" s="16"/>
      <c r="Q79" s="16"/>
      <c r="S79" s="12"/>
      <c r="T79" s="19"/>
      <c r="U79" s="23"/>
      <c r="V79" s="23"/>
      <c r="W79" s="22"/>
      <c r="X79" s="22"/>
      <c r="Y79" s="16"/>
      <c r="Z79" s="16"/>
    </row>
    <row r="80" spans="1:26">
      <c r="A80" s="25"/>
      <c r="B80" s="19"/>
      <c r="C80" s="26" t="s">
        <v>31</v>
      </c>
      <c r="D80" s="27">
        <f>SUM(D75:D79)</f>
        <v>8280500</v>
      </c>
      <c r="E80" s="27"/>
      <c r="F80" s="27"/>
      <c r="G80" s="27"/>
      <c r="H80" s="27"/>
      <c r="J80" s="25"/>
      <c r="K80" s="19"/>
      <c r="L80" s="26" t="s">
        <v>31</v>
      </c>
      <c r="M80" s="27">
        <f>SUM(M75:M79)</f>
        <v>4070500</v>
      </c>
      <c r="N80" s="27"/>
      <c r="O80" s="27"/>
      <c r="P80" s="27"/>
      <c r="Q80" s="27"/>
      <c r="S80" s="25"/>
      <c r="T80" s="19"/>
      <c r="U80" s="26" t="s">
        <v>31</v>
      </c>
      <c r="V80" s="27">
        <f>SUM(V75:V79)</f>
        <v>0</v>
      </c>
      <c r="W80" s="27"/>
      <c r="X80" s="27"/>
      <c r="Y80" s="27"/>
      <c r="Z80" s="27"/>
    </row>
    <row r="81" spans="1:26">
      <c r="A81" s="20"/>
      <c r="B81" s="19"/>
      <c r="C81" s="377" t="s">
        <v>21</v>
      </c>
      <c r="D81" s="10"/>
      <c r="E81" s="530">
        <f>+D80</f>
        <v>8280500</v>
      </c>
      <c r="F81" s="530"/>
      <c r="G81" s="530"/>
      <c r="H81" s="530"/>
      <c r="J81" s="20"/>
      <c r="K81" s="19"/>
      <c r="L81" s="381" t="s">
        <v>21</v>
      </c>
      <c r="M81" s="10"/>
      <c r="N81" s="530">
        <f>+M80</f>
        <v>4070500</v>
      </c>
      <c r="O81" s="530"/>
      <c r="P81" s="530"/>
      <c r="Q81" s="530"/>
      <c r="S81" s="20"/>
      <c r="T81" s="19"/>
      <c r="U81" s="386" t="s">
        <v>21</v>
      </c>
      <c r="V81" s="10"/>
      <c r="W81" s="530">
        <f>+V80</f>
        <v>0</v>
      </c>
      <c r="X81" s="530"/>
      <c r="Y81" s="530"/>
      <c r="Z81" s="530"/>
    </row>
    <row r="82" spans="1:26">
      <c r="A82" s="527" t="s">
        <v>32</v>
      </c>
      <c r="B82" s="528"/>
      <c r="C82" s="528"/>
      <c r="D82" s="528"/>
      <c r="E82" s="528"/>
      <c r="F82" s="528"/>
      <c r="G82" s="528"/>
      <c r="H82" s="529"/>
      <c r="J82" s="527" t="s">
        <v>32</v>
      </c>
      <c r="K82" s="528"/>
      <c r="L82" s="528"/>
      <c r="M82" s="528"/>
      <c r="N82" s="528"/>
      <c r="O82" s="528"/>
      <c r="P82" s="528"/>
      <c r="Q82" s="529"/>
      <c r="S82" s="527" t="s">
        <v>32</v>
      </c>
      <c r="T82" s="528"/>
      <c r="U82" s="528"/>
      <c r="V82" s="528"/>
      <c r="W82" s="528"/>
      <c r="X82" s="528"/>
      <c r="Y82" s="528"/>
      <c r="Z82" s="529"/>
    </row>
    <row r="83" spans="1:26">
      <c r="A83" s="12"/>
      <c r="B83" s="13"/>
      <c r="C83" s="22"/>
      <c r="D83" s="22"/>
      <c r="E83" s="377"/>
      <c r="F83" s="377"/>
      <c r="G83" s="377"/>
      <c r="H83" s="377"/>
      <c r="J83" s="12"/>
      <c r="K83" s="13"/>
      <c r="L83" s="22" t="s">
        <v>1251</v>
      </c>
      <c r="M83" s="22">
        <v>200000</v>
      </c>
      <c r="N83" s="381"/>
      <c r="O83" s="381"/>
      <c r="P83" s="381"/>
      <c r="Q83" s="381"/>
      <c r="S83" s="12"/>
      <c r="T83" s="13"/>
      <c r="U83" s="22"/>
      <c r="V83" s="22"/>
      <c r="W83" s="386"/>
      <c r="X83" s="386"/>
      <c r="Y83" s="386"/>
      <c r="Z83" s="386"/>
    </row>
    <row r="84" spans="1:26">
      <c r="A84" s="12"/>
      <c r="B84" s="22"/>
      <c r="C84" s="22"/>
      <c r="D84" s="22"/>
      <c r="E84" s="377"/>
      <c r="F84" s="377"/>
      <c r="G84" s="377"/>
      <c r="H84" s="377"/>
      <c r="J84" s="12"/>
      <c r="K84" s="22"/>
      <c r="L84" s="22"/>
      <c r="M84" s="22"/>
      <c r="N84" s="381"/>
      <c r="O84" s="381"/>
      <c r="P84" s="381"/>
      <c r="Q84" s="381"/>
      <c r="S84" s="12"/>
      <c r="T84" s="22"/>
      <c r="U84" s="22"/>
      <c r="V84" s="22"/>
      <c r="W84" s="386"/>
      <c r="X84" s="386"/>
      <c r="Y84" s="386"/>
      <c r="Z84" s="386"/>
    </row>
    <row r="85" spans="1:26">
      <c r="A85" s="12"/>
      <c r="B85" s="13"/>
      <c r="C85" s="22"/>
      <c r="D85" s="29"/>
      <c r="E85" s="377"/>
      <c r="F85" s="377"/>
      <c r="G85" s="377"/>
      <c r="H85" s="377"/>
      <c r="J85" s="12"/>
      <c r="K85" s="13"/>
      <c r="L85" s="22"/>
      <c r="M85" s="29"/>
      <c r="N85" s="381"/>
      <c r="O85" s="381"/>
      <c r="P85" s="381"/>
      <c r="Q85" s="381"/>
      <c r="S85" s="12"/>
      <c r="T85" s="13"/>
      <c r="U85" s="22"/>
      <c r="V85" s="29"/>
      <c r="W85" s="386"/>
      <c r="X85" s="386"/>
      <c r="Y85" s="386"/>
      <c r="Z85" s="386"/>
    </row>
    <row r="86" spans="1:26">
      <c r="A86" s="12"/>
      <c r="B86" s="13"/>
      <c r="C86" s="26" t="s">
        <v>34</v>
      </c>
      <c r="D86" s="27">
        <f>SUM(D83:D84)</f>
        <v>0</v>
      </c>
      <c r="E86" s="27">
        <v>0</v>
      </c>
      <c r="F86" s="27">
        <v>0</v>
      </c>
      <c r="G86" s="27"/>
      <c r="H86" s="27"/>
      <c r="J86" s="12"/>
      <c r="K86" s="13"/>
      <c r="L86" s="26" t="s">
        <v>34</v>
      </c>
      <c r="M86" s="27">
        <f>SUM(M83:M84)</f>
        <v>200000</v>
      </c>
      <c r="N86" s="27">
        <v>0</v>
      </c>
      <c r="O86" s="27">
        <v>0</v>
      </c>
      <c r="P86" s="27"/>
      <c r="Q86" s="27"/>
      <c r="S86" s="12"/>
      <c r="T86" s="13"/>
      <c r="U86" s="26" t="s">
        <v>34</v>
      </c>
      <c r="V86" s="27">
        <f>SUM(V83:V84)</f>
        <v>0</v>
      </c>
      <c r="W86" s="27">
        <v>0</v>
      </c>
      <c r="X86" s="27">
        <v>0</v>
      </c>
      <c r="Y86" s="27"/>
      <c r="Z86" s="27"/>
    </row>
    <row r="87" spans="1:26">
      <c r="A87" s="20"/>
      <c r="B87" s="19"/>
      <c r="C87" s="377" t="s">
        <v>21</v>
      </c>
      <c r="D87" s="10"/>
      <c r="E87" s="531">
        <f>D86</f>
        <v>0</v>
      </c>
      <c r="F87" s="532"/>
      <c r="G87" s="532"/>
      <c r="H87" s="533"/>
      <c r="J87" s="20"/>
      <c r="K87" s="19"/>
      <c r="L87" s="381" t="s">
        <v>21</v>
      </c>
      <c r="M87" s="10"/>
      <c r="N87" s="531">
        <f>M86</f>
        <v>200000</v>
      </c>
      <c r="O87" s="532"/>
      <c r="P87" s="532"/>
      <c r="Q87" s="533"/>
      <c r="S87" s="20"/>
      <c r="T87" s="19"/>
      <c r="U87" s="386" t="s">
        <v>21</v>
      </c>
      <c r="V87" s="10"/>
      <c r="W87" s="531">
        <f>V86</f>
        <v>0</v>
      </c>
      <c r="X87" s="532"/>
      <c r="Y87" s="532"/>
      <c r="Z87" s="533"/>
    </row>
    <row r="88" spans="1:26">
      <c r="A88" s="525" t="s">
        <v>35</v>
      </c>
      <c r="B88" s="525"/>
      <c r="C88" s="525"/>
      <c r="D88" s="376"/>
      <c r="E88" s="526">
        <f>E33+E39+E81+E87+E64+E73+E47</f>
        <v>304379500</v>
      </c>
      <c r="F88" s="526"/>
      <c r="G88" s="526"/>
      <c r="H88" s="526"/>
      <c r="J88" s="525" t="s">
        <v>35</v>
      </c>
      <c r="K88" s="525"/>
      <c r="L88" s="525"/>
      <c r="M88" s="380"/>
      <c r="N88" s="526">
        <f>N33+N39+N81+N87+N64+N73+N47</f>
        <v>32436500</v>
      </c>
      <c r="O88" s="526"/>
      <c r="P88" s="526"/>
      <c r="Q88" s="526"/>
      <c r="S88" s="525" t="s">
        <v>35</v>
      </c>
      <c r="T88" s="525"/>
      <c r="U88" s="525"/>
      <c r="V88" s="383"/>
      <c r="W88" s="526">
        <f>W33+W39+W81+W87+W64+W73+W47</f>
        <v>131385000</v>
      </c>
      <c r="X88" s="526"/>
      <c r="Y88" s="526"/>
      <c r="Z88" s="526"/>
    </row>
    <row r="89" spans="1:26">
      <c r="A89" s="522" t="s">
        <v>36</v>
      </c>
      <c r="B89" s="522"/>
      <c r="C89" s="522"/>
      <c r="D89" s="375"/>
      <c r="E89" s="523">
        <f>+E23+E88</f>
        <v>307229500</v>
      </c>
      <c r="F89" s="523"/>
      <c r="G89" s="523"/>
      <c r="H89" s="523"/>
      <c r="J89" s="522" t="s">
        <v>36</v>
      </c>
      <c r="K89" s="522"/>
      <c r="L89" s="522"/>
      <c r="M89" s="379"/>
      <c r="N89" s="523">
        <f>+N23+N88</f>
        <v>32436500</v>
      </c>
      <c r="O89" s="523"/>
      <c r="P89" s="523"/>
      <c r="Q89" s="523"/>
      <c r="S89" s="522" t="s">
        <v>36</v>
      </c>
      <c r="T89" s="522"/>
      <c r="U89" s="522"/>
      <c r="V89" s="385"/>
      <c r="W89" s="523">
        <f>+W23+W88</f>
        <v>131385000</v>
      </c>
      <c r="X89" s="523"/>
      <c r="Y89" s="523"/>
      <c r="Z89" s="523"/>
    </row>
    <row r="90" spans="1:26">
      <c r="A90" s="37"/>
      <c r="B90" s="38"/>
      <c r="C90" s="39"/>
      <c r="D90" s="47"/>
      <c r="E90" s="39"/>
      <c r="F90" s="39"/>
      <c r="G90" s="39"/>
      <c r="H90" s="39"/>
      <c r="J90" s="37"/>
      <c r="K90" s="38"/>
      <c r="L90" s="39"/>
      <c r="M90" s="47"/>
      <c r="N90" s="39"/>
      <c r="O90" s="39"/>
      <c r="P90" s="39"/>
      <c r="Q90" s="39"/>
      <c r="S90" s="37"/>
      <c r="T90" s="38"/>
      <c r="U90" s="39"/>
      <c r="V90" s="47"/>
      <c r="W90" s="39"/>
      <c r="X90" s="39"/>
      <c r="Y90" s="39"/>
      <c r="Z90" s="39"/>
    </row>
    <row r="91" spans="1:26">
      <c r="A91" s="519" t="s">
        <v>13</v>
      </c>
      <c r="B91" s="520"/>
      <c r="C91" s="520"/>
      <c r="D91" s="520"/>
      <c r="E91" s="521"/>
      <c r="F91" s="39"/>
      <c r="G91" s="39"/>
      <c r="H91" s="40"/>
      <c r="J91" s="519" t="s">
        <v>13</v>
      </c>
      <c r="K91" s="520"/>
      <c r="L91" s="520"/>
      <c r="M91" s="520"/>
      <c r="N91" s="521"/>
      <c r="O91" s="39"/>
      <c r="P91" s="39"/>
      <c r="Q91" s="40"/>
      <c r="S91" s="519" t="s">
        <v>13</v>
      </c>
      <c r="T91" s="520"/>
      <c r="U91" s="520"/>
      <c r="V91" s="520"/>
      <c r="W91" s="521"/>
      <c r="X91" s="39"/>
      <c r="Y91" s="39"/>
      <c r="Z91" s="40"/>
    </row>
    <row r="92" spans="1:26">
      <c r="A92" s="41" t="s">
        <v>39</v>
      </c>
      <c r="B92" s="42" t="s">
        <v>40</v>
      </c>
      <c r="C92" s="43" t="s">
        <v>980</v>
      </c>
      <c r="D92" s="43" t="s">
        <v>42</v>
      </c>
      <c r="E92" s="43" t="s">
        <v>43</v>
      </c>
      <c r="F92" s="39"/>
      <c r="G92" s="39"/>
      <c r="H92" s="39"/>
      <c r="J92" s="41" t="s">
        <v>39</v>
      </c>
      <c r="K92" s="42" t="s">
        <v>40</v>
      </c>
      <c r="L92" s="43" t="s">
        <v>980</v>
      </c>
      <c r="M92" s="43" t="s">
        <v>42</v>
      </c>
      <c r="N92" s="43" t="s">
        <v>43</v>
      </c>
      <c r="O92" s="39"/>
      <c r="P92" s="39"/>
      <c r="Q92" s="39"/>
      <c r="S92" s="41" t="s">
        <v>39</v>
      </c>
      <c r="T92" s="42" t="s">
        <v>40</v>
      </c>
      <c r="U92" s="43" t="s">
        <v>980</v>
      </c>
      <c r="V92" s="43" t="s">
        <v>42</v>
      </c>
      <c r="W92" s="43" t="s">
        <v>43</v>
      </c>
      <c r="X92" s="39"/>
      <c r="Y92" s="39"/>
      <c r="Z92" s="39"/>
    </row>
    <row r="93" spans="1:26">
      <c r="A93" s="41"/>
      <c r="B93" s="110"/>
      <c r="C93" s="45"/>
      <c r="D93" s="46"/>
      <c r="E93" s="46"/>
      <c r="F93" s="39"/>
      <c r="G93" s="39"/>
      <c r="H93" s="39"/>
      <c r="J93" s="41"/>
      <c r="K93" s="110"/>
      <c r="L93" s="45" t="s">
        <v>1194</v>
      </c>
      <c r="M93" s="46">
        <v>15000000</v>
      </c>
      <c r="N93" s="46"/>
      <c r="O93" s="39"/>
      <c r="P93" s="39"/>
      <c r="Q93" s="39"/>
      <c r="S93" s="41"/>
      <c r="T93" s="110"/>
      <c r="U93" s="45" t="s">
        <v>1250</v>
      </c>
      <c r="V93" s="46">
        <v>2563500</v>
      </c>
      <c r="W93" s="46"/>
      <c r="X93" s="39"/>
      <c r="Y93" s="39"/>
      <c r="Z93" s="39"/>
    </row>
    <row r="94" spans="1:26">
      <c r="A94" s="41"/>
      <c r="B94" s="44"/>
      <c r="C94" s="45"/>
      <c r="D94" s="46"/>
      <c r="E94" s="46"/>
      <c r="F94" s="39"/>
      <c r="G94" s="39"/>
      <c r="H94" s="40"/>
      <c r="J94" s="41"/>
      <c r="K94" s="44"/>
      <c r="L94" s="45" t="s">
        <v>1249</v>
      </c>
      <c r="M94" s="46">
        <v>20000000</v>
      </c>
      <c r="N94" s="46"/>
      <c r="O94" s="39"/>
      <c r="P94" s="39"/>
      <c r="Q94" s="40"/>
      <c r="S94" s="41"/>
      <c r="T94" s="44"/>
      <c r="U94" s="45" t="s">
        <v>1248</v>
      </c>
      <c r="V94" s="46">
        <f>130000000-1100000</f>
        <v>128900000</v>
      </c>
      <c r="W94" s="46"/>
      <c r="X94" s="39"/>
      <c r="Y94" s="39"/>
      <c r="Z94" s="40"/>
    </row>
    <row r="95" spans="1:26">
      <c r="A95" s="41"/>
      <c r="B95" s="44"/>
      <c r="C95" s="46"/>
      <c r="D95" s="46"/>
      <c r="E95" s="46"/>
      <c r="F95" s="39"/>
      <c r="G95" s="39"/>
      <c r="H95" s="39"/>
      <c r="J95" s="41"/>
      <c r="K95" s="44"/>
      <c r="L95" s="46"/>
      <c r="M95" s="46"/>
      <c r="N95" s="46"/>
      <c r="O95" s="39"/>
      <c r="P95" s="39"/>
      <c r="Q95" s="39"/>
      <c r="S95" s="41"/>
      <c r="T95" s="44"/>
      <c r="U95" s="46"/>
      <c r="V95" s="46"/>
      <c r="W95" s="46"/>
      <c r="X95" s="39"/>
      <c r="Y95" s="39"/>
      <c r="Z95" s="39"/>
    </row>
    <row r="96" spans="1:26">
      <c r="A96" s="41"/>
      <c r="B96" s="44"/>
      <c r="C96" s="327"/>
      <c r="D96" s="46"/>
      <c r="E96" s="46"/>
      <c r="F96" s="39"/>
      <c r="G96" s="39"/>
      <c r="H96" s="39"/>
      <c r="J96" s="41"/>
      <c r="K96" s="44"/>
      <c r="L96" s="327"/>
      <c r="M96" s="46"/>
      <c r="N96" s="46"/>
      <c r="O96" s="39"/>
      <c r="P96" s="39"/>
      <c r="Q96" s="39"/>
      <c r="S96" s="41"/>
      <c r="T96" s="44"/>
      <c r="U96" s="327"/>
      <c r="V96" s="46"/>
      <c r="W96" s="46"/>
      <c r="X96" s="39"/>
      <c r="Y96" s="39"/>
      <c r="Z96" s="39"/>
    </row>
    <row r="97" spans="1:26">
      <c r="A97" s="41"/>
      <c r="B97" s="44"/>
      <c r="C97" s="46"/>
      <c r="D97" s="48"/>
      <c r="E97" s="46"/>
      <c r="F97" s="39"/>
      <c r="G97" s="39"/>
      <c r="H97" s="39"/>
      <c r="J97" s="41"/>
      <c r="K97" s="44"/>
      <c r="L97" s="46"/>
      <c r="M97" s="48"/>
      <c r="N97" s="46"/>
      <c r="O97" s="39"/>
      <c r="P97" s="39"/>
      <c r="Q97" s="39"/>
      <c r="S97" s="41"/>
      <c r="T97" s="44"/>
      <c r="U97" s="46"/>
      <c r="V97" s="48"/>
      <c r="W97" s="46"/>
      <c r="X97" s="39"/>
      <c r="Y97" s="39"/>
      <c r="Z97" s="39"/>
    </row>
    <row r="98" spans="1:26">
      <c r="A98" s="49"/>
      <c r="B98" s="50"/>
      <c r="C98" s="51" t="s">
        <v>44</v>
      </c>
      <c r="D98" s="51">
        <f>SUM(D93:D97)</f>
        <v>0</v>
      </c>
      <c r="E98" s="52"/>
      <c r="F98" s="39"/>
      <c r="G98" s="39"/>
      <c r="H98" s="39"/>
      <c r="J98" s="49"/>
      <c r="K98" s="50"/>
      <c r="L98" s="51" t="s">
        <v>44</v>
      </c>
      <c r="M98" s="51">
        <f>SUM(M93:M97)</f>
        <v>35000000</v>
      </c>
      <c r="N98" s="52"/>
      <c r="O98" s="39"/>
      <c r="P98" s="39"/>
      <c r="Q98" s="39"/>
      <c r="S98" s="49"/>
      <c r="T98" s="50"/>
      <c r="U98" s="51" t="s">
        <v>44</v>
      </c>
      <c r="V98" s="51">
        <f>SUM(V93:V97)</f>
        <v>131463500</v>
      </c>
      <c r="W98" s="52"/>
      <c r="X98" s="39"/>
      <c r="Y98" s="39"/>
      <c r="Z98" s="39"/>
    </row>
    <row r="99" spans="1:26">
      <c r="A99" s="53"/>
      <c r="B99" s="54"/>
      <c r="C99" s="55" t="s">
        <v>779</v>
      </c>
      <c r="D99" s="116"/>
      <c r="E99" s="3"/>
      <c r="F99" s="39"/>
      <c r="G99" s="39"/>
      <c r="H99" s="39"/>
      <c r="J99" s="53"/>
      <c r="K99" s="54"/>
      <c r="L99" s="55" t="s">
        <v>779</v>
      </c>
      <c r="M99" s="116">
        <f>+M98-N89</f>
        <v>2563500</v>
      </c>
      <c r="N99" s="3"/>
      <c r="O99" s="39"/>
      <c r="P99" s="39"/>
      <c r="Q99" s="39"/>
      <c r="S99" s="53"/>
      <c r="T99" s="54"/>
      <c r="U99" s="55" t="s">
        <v>779</v>
      </c>
      <c r="V99" s="116">
        <f>+V98-W89</f>
        <v>78500</v>
      </c>
      <c r="W99" s="3"/>
      <c r="X99" s="39"/>
      <c r="Y99" s="39"/>
      <c r="Z99" s="39"/>
    </row>
  </sheetData>
  <mergeCells count="87">
    <mergeCell ref="S91:W91"/>
    <mergeCell ref="W87:Z87"/>
    <mergeCell ref="S88:U88"/>
    <mergeCell ref="W88:Z88"/>
    <mergeCell ref="S89:U89"/>
    <mergeCell ref="W89:Z89"/>
    <mergeCell ref="S65:Z65"/>
    <mergeCell ref="W73:Z73"/>
    <mergeCell ref="S74:Z74"/>
    <mergeCell ref="W81:Z81"/>
    <mergeCell ref="S82:Z82"/>
    <mergeCell ref="W39:Z39"/>
    <mergeCell ref="S40:Z40"/>
    <mergeCell ref="W47:Z47"/>
    <mergeCell ref="S48:Z48"/>
    <mergeCell ref="W64:Z64"/>
    <mergeCell ref="S23:V23"/>
    <mergeCell ref="W23:Z23"/>
    <mergeCell ref="S24:Z24"/>
    <mergeCell ref="W33:Z33"/>
    <mergeCell ref="S34:Z34"/>
    <mergeCell ref="S3:Z3"/>
    <mergeCell ref="S12:Y12"/>
    <mergeCell ref="S13:Z13"/>
    <mergeCell ref="S14:S15"/>
    <mergeCell ref="T14:T15"/>
    <mergeCell ref="U14:U15"/>
    <mergeCell ref="V14:V15"/>
    <mergeCell ref="W14:Z14"/>
    <mergeCell ref="A3:H3"/>
    <mergeCell ref="A12:G12"/>
    <mergeCell ref="A13:H13"/>
    <mergeCell ref="A14:A15"/>
    <mergeCell ref="B14:B15"/>
    <mergeCell ref="C14:C15"/>
    <mergeCell ref="D14:D15"/>
    <mergeCell ref="E14:H14"/>
    <mergeCell ref="E73:H73"/>
    <mergeCell ref="A23:D23"/>
    <mergeCell ref="E23:H23"/>
    <mergeCell ref="A24:H24"/>
    <mergeCell ref="E33:H33"/>
    <mergeCell ref="A34:H34"/>
    <mergeCell ref="E39:H39"/>
    <mergeCell ref="A40:H40"/>
    <mergeCell ref="E47:H47"/>
    <mergeCell ref="A48:H48"/>
    <mergeCell ref="E64:H64"/>
    <mergeCell ref="A65:H65"/>
    <mergeCell ref="A89:C89"/>
    <mergeCell ref="E89:H89"/>
    <mergeCell ref="A91:E91"/>
    <mergeCell ref="A74:H74"/>
    <mergeCell ref="E81:H81"/>
    <mergeCell ref="A82:H82"/>
    <mergeCell ref="E87:H87"/>
    <mergeCell ref="A88:C88"/>
    <mergeCell ref="E88:H88"/>
    <mergeCell ref="J3:Q3"/>
    <mergeCell ref="J12:P12"/>
    <mergeCell ref="J13:Q13"/>
    <mergeCell ref="J14:J15"/>
    <mergeCell ref="K14:K15"/>
    <mergeCell ref="L14:L15"/>
    <mergeCell ref="M14:M15"/>
    <mergeCell ref="N14:Q14"/>
    <mergeCell ref="J23:M23"/>
    <mergeCell ref="N23:Q23"/>
    <mergeCell ref="J24:Q24"/>
    <mergeCell ref="N33:Q33"/>
    <mergeCell ref="J34:Q34"/>
    <mergeCell ref="N39:Q39"/>
    <mergeCell ref="J40:Q40"/>
    <mergeCell ref="N47:Q47"/>
    <mergeCell ref="J48:Q48"/>
    <mergeCell ref="N64:Q64"/>
    <mergeCell ref="J65:Q65"/>
    <mergeCell ref="N73:Q73"/>
    <mergeCell ref="J74:Q74"/>
    <mergeCell ref="N81:Q81"/>
    <mergeCell ref="J82:Q82"/>
    <mergeCell ref="J91:N91"/>
    <mergeCell ref="N87:Q87"/>
    <mergeCell ref="J88:L88"/>
    <mergeCell ref="N88:Q88"/>
    <mergeCell ref="J89:L89"/>
    <mergeCell ref="N89:Q89"/>
  </mergeCells>
  <phoneticPr fontId="16" type="noConversion"/>
  <pageMargins left="0.79" right="0.11811023622047245" top="0.35433070866141736" bottom="0.62992125984251968" header="0.23622047244094491" footer="0.31496062992125984"/>
  <pageSetup paperSize="9" scale="75" orientation="portrait" r:id="rId1"/>
  <rowBreaks count="1" manualBreakCount="1">
    <brk id="81" max="16383" man="1"/>
  </rowBreaks>
  <colBreaks count="1" manualBreakCount="1">
    <brk id="9" max="104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30"/>
  <sheetViews>
    <sheetView workbookViewId="0"/>
  </sheetViews>
  <sheetFormatPr defaultRowHeight="15"/>
  <cols>
    <col min="1" max="1" width="50.5703125" customWidth="1"/>
    <col min="2" max="2" width="12.5703125" style="77" bestFit="1" customWidth="1"/>
    <col min="3" max="3" width="40.42578125" bestFit="1" customWidth="1"/>
    <col min="4" max="4" width="10.5703125" style="77" bestFit="1" customWidth="1"/>
    <col min="5" max="5" width="35.28515625" bestFit="1" customWidth="1"/>
    <col min="6" max="6" width="11.5703125" bestFit="1" customWidth="1"/>
    <col min="7" max="7" width="52.28515625" bestFit="1" customWidth="1"/>
    <col min="8" max="8" width="12.5703125" bestFit="1" customWidth="1"/>
    <col min="9" max="9" width="47.28515625" bestFit="1" customWidth="1"/>
    <col min="10" max="10" width="10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>
      <c r="A2" s="15" t="s">
        <v>1222</v>
      </c>
      <c r="B2" s="23">
        <v>375000</v>
      </c>
      <c r="C2" s="15" t="s">
        <v>961</v>
      </c>
      <c r="D2" s="22">
        <v>150000</v>
      </c>
      <c r="E2" s="15" t="s">
        <v>1218</v>
      </c>
      <c r="F2" s="23">
        <v>175000</v>
      </c>
      <c r="G2" s="14" t="s">
        <v>1153</v>
      </c>
      <c r="H2" s="15">
        <v>500000</v>
      </c>
      <c r="I2" s="14" t="s">
        <v>1215</v>
      </c>
      <c r="J2" s="15">
        <v>1600000</v>
      </c>
    </row>
    <row r="3" spans="1:10">
      <c r="A3" s="23" t="s">
        <v>1224</v>
      </c>
      <c r="B3" s="23">
        <v>5435000</v>
      </c>
      <c r="C3" s="22" t="s">
        <v>1121</v>
      </c>
      <c r="D3" s="22">
        <v>300000</v>
      </c>
      <c r="E3" s="15" t="s">
        <v>1220</v>
      </c>
      <c r="F3" s="23">
        <v>5902000</v>
      </c>
      <c r="G3" s="15" t="s">
        <v>1243</v>
      </c>
      <c r="H3" s="23">
        <v>25000</v>
      </c>
      <c r="I3" s="14" t="s">
        <v>1216</v>
      </c>
      <c r="J3" s="15">
        <v>250000</v>
      </c>
    </row>
    <row r="4" spans="1:10">
      <c r="A4" s="22" t="s">
        <v>1226</v>
      </c>
      <c r="B4" s="22">
        <v>2810000</v>
      </c>
      <c r="C4" s="23" t="s">
        <v>1127</v>
      </c>
      <c r="D4" s="23">
        <v>450000</v>
      </c>
      <c r="E4" s="15" t="s">
        <v>1221</v>
      </c>
      <c r="F4" s="23">
        <v>36000</v>
      </c>
      <c r="G4" s="23" t="s">
        <v>1169</v>
      </c>
      <c r="H4" s="23">
        <v>50000000</v>
      </c>
      <c r="I4" s="14" t="s">
        <v>1242</v>
      </c>
      <c r="J4" s="15">
        <v>500000</v>
      </c>
    </row>
    <row r="5" spans="1:10">
      <c r="A5" s="22" t="s">
        <v>1120</v>
      </c>
      <c r="B5" s="22">
        <v>1540000</v>
      </c>
      <c r="C5" s="22" t="s">
        <v>1247</v>
      </c>
      <c r="D5" s="22">
        <v>200000</v>
      </c>
      <c r="E5" s="23" t="s">
        <v>1235</v>
      </c>
      <c r="F5" s="23">
        <v>5720000</v>
      </c>
      <c r="G5" s="22" t="s">
        <v>1227</v>
      </c>
      <c r="H5" s="22">
        <v>3000000</v>
      </c>
      <c r="I5" s="14"/>
      <c r="J5" s="15"/>
    </row>
    <row r="6" spans="1:10">
      <c r="A6" s="23" t="s">
        <v>1230</v>
      </c>
      <c r="B6" s="23">
        <v>300000</v>
      </c>
      <c r="C6" s="15"/>
      <c r="D6" s="22"/>
      <c r="E6" s="23" t="s">
        <v>1175</v>
      </c>
      <c r="F6" s="23">
        <v>18000</v>
      </c>
      <c r="G6" s="22" t="s">
        <v>1228</v>
      </c>
      <c r="H6" s="22">
        <v>20000000</v>
      </c>
      <c r="I6" s="14"/>
      <c r="J6" s="15"/>
    </row>
    <row r="7" spans="1:10">
      <c r="A7" s="23" t="s">
        <v>1231</v>
      </c>
      <c r="B7" s="23">
        <v>3500000</v>
      </c>
      <c r="C7" s="15"/>
      <c r="D7" s="22"/>
      <c r="E7" s="23" t="s">
        <v>1236</v>
      </c>
      <c r="F7" s="23">
        <v>15000</v>
      </c>
      <c r="G7" s="22" t="s">
        <v>1229</v>
      </c>
      <c r="H7" s="22">
        <v>15000000</v>
      </c>
      <c r="I7" s="14"/>
      <c r="J7" s="15"/>
    </row>
    <row r="8" spans="1:10">
      <c r="A8" s="23" t="s">
        <v>1233</v>
      </c>
      <c r="B8" s="23">
        <v>39800000</v>
      </c>
      <c r="C8" s="15"/>
      <c r="D8" s="22"/>
      <c r="E8" s="15"/>
      <c r="F8" s="23"/>
      <c r="G8" s="22" t="s">
        <v>1246</v>
      </c>
      <c r="H8" s="22">
        <v>10000000</v>
      </c>
      <c r="I8" s="14"/>
      <c r="J8" s="15"/>
    </row>
    <row r="9" spans="1:10">
      <c r="A9" s="22"/>
      <c r="B9" s="22"/>
      <c r="C9" s="15"/>
      <c r="D9" s="22"/>
      <c r="E9" s="15"/>
      <c r="F9" s="23"/>
      <c r="G9" s="23"/>
      <c r="H9" s="23"/>
      <c r="I9" s="14"/>
      <c r="J9" s="15"/>
    </row>
    <row r="10" spans="1:10">
      <c r="A10" s="22"/>
      <c r="B10" s="22"/>
      <c r="C10" s="15"/>
      <c r="D10" s="22"/>
      <c r="E10" s="15"/>
      <c r="F10" s="23"/>
      <c r="G10" s="23"/>
      <c r="H10" s="23"/>
      <c r="I10" s="14"/>
      <c r="J10" s="15"/>
    </row>
    <row r="11" spans="1:10">
      <c r="A11" s="22"/>
      <c r="B11" s="22"/>
      <c r="C11" s="15"/>
      <c r="D11" s="22"/>
      <c r="E11" s="15"/>
      <c r="F11" s="23"/>
      <c r="G11" s="23"/>
      <c r="H11" s="23"/>
      <c r="I11" s="14"/>
      <c r="J11" s="15"/>
    </row>
    <row r="12" spans="1:10">
      <c r="A12" s="22"/>
      <c r="B12" s="22"/>
      <c r="C12" s="15"/>
      <c r="D12" s="22"/>
      <c r="E12" s="15"/>
      <c r="F12" s="23"/>
      <c r="G12" s="22"/>
      <c r="H12" s="22"/>
      <c r="I12" s="14"/>
      <c r="J12" s="15"/>
    </row>
    <row r="13" spans="1:10">
      <c r="A13" s="22"/>
      <c r="B13" s="22"/>
      <c r="C13" s="15"/>
      <c r="D13" s="22"/>
      <c r="E13" s="15"/>
      <c r="F13" s="23"/>
      <c r="G13" s="22"/>
      <c r="H13" s="22"/>
      <c r="I13" s="14"/>
      <c r="J13" s="15"/>
    </row>
    <row r="14" spans="1:10">
      <c r="A14" s="23"/>
      <c r="B14" s="23"/>
      <c r="C14" s="15"/>
      <c r="D14" s="22"/>
      <c r="E14" s="15"/>
      <c r="F14" s="23"/>
      <c r="G14" s="23"/>
      <c r="H14" s="23"/>
      <c r="I14" s="14"/>
      <c r="J14" s="15"/>
    </row>
    <row r="15" spans="1:10">
      <c r="A15" s="23"/>
      <c r="B15" s="23"/>
      <c r="C15" s="194"/>
      <c r="D15" s="194"/>
      <c r="E15" s="194"/>
      <c r="F15" s="194"/>
      <c r="G15" s="15"/>
      <c r="H15" s="23"/>
      <c r="I15" s="193"/>
      <c r="J15" s="194"/>
    </row>
    <row r="16" spans="1:10">
      <c r="A16" s="68"/>
      <c r="B16" s="69"/>
      <c r="C16" s="69"/>
      <c r="D16" s="69"/>
      <c r="E16" s="69"/>
      <c r="F16" s="69"/>
      <c r="G16" s="23"/>
      <c r="H16" s="23"/>
      <c r="I16" s="68"/>
      <c r="J16" s="69"/>
    </row>
    <row r="17" spans="1:10">
      <c r="A17" s="68"/>
      <c r="B17" s="69"/>
      <c r="C17" s="69"/>
      <c r="D17" s="69"/>
      <c r="E17" s="69"/>
      <c r="F17" s="69"/>
      <c r="G17" s="119"/>
      <c r="H17" s="120"/>
      <c r="I17" s="68"/>
      <c r="J17" s="69"/>
    </row>
    <row r="18" spans="1:10">
      <c r="A18" s="70"/>
      <c r="B18" s="71">
        <f t="shared" ref="B18:J18" si="0">SUM(B2:B16)</f>
        <v>53760000</v>
      </c>
      <c r="C18" s="71">
        <f t="shared" si="0"/>
        <v>0</v>
      </c>
      <c r="D18" s="71">
        <f t="shared" si="0"/>
        <v>1100000</v>
      </c>
      <c r="E18" s="71">
        <f t="shared" si="0"/>
        <v>0</v>
      </c>
      <c r="F18" s="71">
        <f t="shared" si="0"/>
        <v>11866000</v>
      </c>
      <c r="G18" s="71">
        <f t="shared" si="0"/>
        <v>0</v>
      </c>
      <c r="H18" s="71">
        <f t="shared" si="0"/>
        <v>98525000</v>
      </c>
      <c r="I18" s="71">
        <f t="shared" si="0"/>
        <v>0</v>
      </c>
      <c r="J18" s="71">
        <f t="shared" si="0"/>
        <v>2350000</v>
      </c>
    </row>
    <row r="19" spans="1:10">
      <c r="D19" s="77">
        <v>100000</v>
      </c>
    </row>
    <row r="20" spans="1:10">
      <c r="D20" s="77">
        <v>100000</v>
      </c>
    </row>
    <row r="21" spans="1:10">
      <c r="D21" s="77">
        <f>+D18-D19</f>
        <v>1000000</v>
      </c>
    </row>
    <row r="27" spans="1:10">
      <c r="B27" s="77">
        <v>164601000</v>
      </c>
    </row>
    <row r="28" spans="1:10">
      <c r="B28" s="77">
        <f>+B18+D18+F18+H18+J18</f>
        <v>167601000</v>
      </c>
    </row>
    <row r="30" spans="1:10">
      <c r="B30" s="77">
        <f>+B27-B28</f>
        <v>-3000000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B114"/>
  <sheetViews>
    <sheetView topLeftCell="N78" workbookViewId="0">
      <selection activeCell="AB107" sqref="AB107"/>
    </sheetView>
  </sheetViews>
  <sheetFormatPr defaultRowHeight="15"/>
  <cols>
    <col min="1" max="1" width="6.42578125" customWidth="1"/>
    <col min="2" max="2" width="9.7109375" bestFit="1" customWidth="1"/>
    <col min="3" max="3" width="50.140625" customWidth="1"/>
    <col min="4" max="4" width="12" style="77" bestFit="1" customWidth="1"/>
    <col min="5" max="5" width="6.28515625" customWidth="1"/>
    <col min="6" max="6" width="6.28515625" bestFit="1" customWidth="1"/>
    <col min="7" max="7" width="6" bestFit="1" customWidth="1"/>
    <col min="8" max="8" width="9.7109375" customWidth="1"/>
    <col min="10" max="10" width="10.5703125" bestFit="1" customWidth="1"/>
    <col min="11" max="11" width="6.42578125" customWidth="1"/>
    <col min="12" max="12" width="9.7109375" bestFit="1" customWidth="1"/>
    <col min="13" max="13" width="50.140625" customWidth="1"/>
    <col min="14" max="14" width="12" style="77" bestFit="1" customWidth="1"/>
    <col min="15" max="15" width="7.5703125" bestFit="1" customWidth="1"/>
    <col min="16" max="16" width="6.28515625" bestFit="1" customWidth="1"/>
    <col min="17" max="17" width="6" bestFit="1" customWidth="1"/>
    <col min="18" max="18" width="9.7109375" customWidth="1"/>
    <col min="21" max="21" width="6.42578125" customWidth="1"/>
    <col min="22" max="22" width="9.7109375" bestFit="1" customWidth="1"/>
    <col min="23" max="23" width="50.140625" customWidth="1"/>
    <col min="24" max="24" width="12" style="77" bestFit="1" customWidth="1"/>
    <col min="25" max="25" width="7.5703125" bestFit="1" customWidth="1"/>
    <col min="26" max="26" width="6.28515625" bestFit="1" customWidth="1"/>
    <col min="27" max="27" width="6" bestFit="1" customWidth="1"/>
    <col min="28" max="28" width="9.7109375" customWidth="1"/>
  </cols>
  <sheetData>
    <row r="1" spans="1:28" ht="15.75">
      <c r="A1" s="347" t="s">
        <v>0</v>
      </c>
      <c r="B1" s="2"/>
      <c r="C1" s="3"/>
      <c r="D1" s="3"/>
      <c r="E1" s="3"/>
      <c r="F1" s="3"/>
      <c r="G1" s="3"/>
      <c r="H1" s="3"/>
      <c r="K1" s="347" t="s">
        <v>0</v>
      </c>
      <c r="L1" s="2"/>
      <c r="M1" s="3"/>
      <c r="N1" s="3"/>
      <c r="O1" s="3"/>
      <c r="P1" s="3"/>
      <c r="Q1" s="3"/>
      <c r="R1" s="3"/>
      <c r="U1" s="347" t="s">
        <v>0</v>
      </c>
      <c r="V1" s="2"/>
      <c r="W1" s="3"/>
      <c r="X1" s="3"/>
      <c r="Y1" s="3"/>
      <c r="Z1" s="3"/>
      <c r="AA1" s="3"/>
      <c r="AB1" s="3"/>
    </row>
    <row r="2" spans="1:28" ht="15.75">
      <c r="A2" s="347" t="s">
        <v>1252</v>
      </c>
      <c r="B2" s="2"/>
      <c r="C2" s="3"/>
      <c r="D2" s="3"/>
      <c r="E2" s="3"/>
      <c r="F2" s="3"/>
      <c r="G2" s="3"/>
      <c r="H2" s="3"/>
      <c r="K2" s="347" t="s">
        <v>1252</v>
      </c>
      <c r="L2" s="2"/>
      <c r="M2" s="3"/>
      <c r="N2" s="3"/>
      <c r="O2" s="3"/>
      <c r="P2" s="3"/>
      <c r="Q2" s="3"/>
      <c r="R2" s="3"/>
      <c r="U2" s="347" t="s">
        <v>1308</v>
      </c>
      <c r="V2" s="2"/>
      <c r="W2" s="3"/>
      <c r="X2" s="3"/>
      <c r="Y2" s="3"/>
      <c r="Z2" s="3"/>
      <c r="AA2" s="3"/>
      <c r="AB2" s="3"/>
    </row>
    <row r="3" spans="1:28">
      <c r="A3" s="534" t="s">
        <v>1</v>
      </c>
      <c r="B3" s="534"/>
      <c r="C3" s="534"/>
      <c r="D3" s="534"/>
      <c r="E3" s="534"/>
      <c r="F3" s="534"/>
      <c r="G3" s="534"/>
      <c r="H3" s="534"/>
      <c r="K3" s="534" t="s">
        <v>1</v>
      </c>
      <c r="L3" s="534"/>
      <c r="M3" s="534"/>
      <c r="N3" s="534"/>
      <c r="O3" s="534"/>
      <c r="P3" s="534"/>
      <c r="Q3" s="534"/>
      <c r="R3" s="534"/>
      <c r="U3" s="534" t="s">
        <v>1</v>
      </c>
      <c r="V3" s="534"/>
      <c r="W3" s="534"/>
      <c r="X3" s="534"/>
      <c r="Y3" s="534"/>
      <c r="Z3" s="534"/>
      <c r="AA3" s="534"/>
      <c r="AB3" s="534"/>
    </row>
    <row r="4" spans="1:28">
      <c r="A4" s="4"/>
      <c r="B4" s="5"/>
      <c r="C4" s="6" t="s">
        <v>2</v>
      </c>
      <c r="D4" s="77">
        <v>1000000</v>
      </c>
      <c r="E4" s="6"/>
      <c r="F4" s="6"/>
      <c r="G4" s="6"/>
      <c r="H4" s="6"/>
      <c r="K4" s="4"/>
      <c r="L4" s="5"/>
      <c r="M4" s="6" t="s">
        <v>2</v>
      </c>
      <c r="N4" s="77">
        <v>1000000</v>
      </c>
      <c r="O4" s="6"/>
      <c r="P4" s="6"/>
      <c r="Q4" s="6"/>
      <c r="R4" s="6"/>
      <c r="U4" s="4"/>
      <c r="V4" s="5"/>
      <c r="W4" s="6" t="s">
        <v>2</v>
      </c>
      <c r="X4" s="77">
        <v>1000000</v>
      </c>
      <c r="Y4" s="6"/>
      <c r="Z4" s="6"/>
      <c r="AA4" s="6"/>
      <c r="AB4" s="6"/>
    </row>
    <row r="5" spans="1:28">
      <c r="A5" s="4"/>
      <c r="B5" s="5"/>
      <c r="C5" s="6" t="s">
        <v>590</v>
      </c>
      <c r="D5" s="7" t="s">
        <v>849</v>
      </c>
      <c r="E5" s="6"/>
      <c r="F5" s="6"/>
      <c r="G5" s="6"/>
      <c r="H5" s="6"/>
      <c r="K5" s="4"/>
      <c r="L5" s="5"/>
      <c r="M5" s="6" t="s">
        <v>590</v>
      </c>
      <c r="N5" s="7" t="s">
        <v>849</v>
      </c>
      <c r="O5" s="6"/>
      <c r="P5" s="6"/>
      <c r="Q5" s="6"/>
      <c r="R5" s="6"/>
      <c r="U5" s="4"/>
      <c r="V5" s="5"/>
      <c r="W5" s="6" t="s">
        <v>590</v>
      </c>
      <c r="X5" s="7" t="s">
        <v>849</v>
      </c>
      <c r="Y5" s="6"/>
      <c r="Z5" s="6"/>
      <c r="AA5" s="6"/>
      <c r="AB5" s="6"/>
    </row>
    <row r="6" spans="1:28">
      <c r="A6" s="4"/>
      <c r="B6" s="5"/>
      <c r="C6" s="6" t="s">
        <v>3</v>
      </c>
      <c r="D6" s="8">
        <v>784815</v>
      </c>
      <c r="E6" s="6"/>
      <c r="F6" s="6"/>
      <c r="G6" s="6"/>
      <c r="H6" s="6"/>
      <c r="K6" s="4"/>
      <c r="L6" s="5"/>
      <c r="M6" s="6" t="s">
        <v>3</v>
      </c>
      <c r="N6" s="8">
        <v>784815</v>
      </c>
      <c r="O6" s="6"/>
      <c r="P6" s="6"/>
      <c r="Q6" s="6"/>
      <c r="R6" s="6"/>
      <c r="U6" s="4"/>
      <c r="V6" s="5"/>
      <c r="W6" s="6" t="s">
        <v>3</v>
      </c>
      <c r="X6" s="8">
        <v>784815</v>
      </c>
      <c r="Y6" s="6"/>
      <c r="Z6" s="6"/>
      <c r="AA6" s="6"/>
      <c r="AB6" s="6"/>
    </row>
    <row r="7" spans="1:28">
      <c r="A7" s="4"/>
      <c r="B7" s="5"/>
      <c r="C7" s="6" t="s">
        <v>4</v>
      </c>
      <c r="D7" s="115">
        <v>1139810</v>
      </c>
      <c r="E7" s="6"/>
      <c r="F7" s="6"/>
      <c r="G7" s="6"/>
      <c r="H7" s="6"/>
      <c r="K7" s="4"/>
      <c r="L7" s="5"/>
      <c r="M7" s="6" t="s">
        <v>4</v>
      </c>
      <c r="N7" s="115">
        <v>1139810</v>
      </c>
      <c r="O7" s="6"/>
      <c r="P7" s="6"/>
      <c r="Q7" s="6"/>
      <c r="R7" s="6"/>
      <c r="U7" s="4"/>
      <c r="V7" s="5"/>
      <c r="W7" s="6" t="s">
        <v>4</v>
      </c>
      <c r="X7" s="115">
        <v>1139810</v>
      </c>
      <c r="Y7" s="6"/>
      <c r="Z7" s="6"/>
      <c r="AA7" s="6"/>
      <c r="AB7" s="6"/>
    </row>
    <row r="8" spans="1:28">
      <c r="A8" s="4"/>
      <c r="B8" s="5"/>
      <c r="C8" s="6" t="s">
        <v>5</v>
      </c>
      <c r="D8" s="6">
        <v>1146153</v>
      </c>
      <c r="E8" s="6"/>
      <c r="F8" s="6"/>
      <c r="G8" s="6"/>
      <c r="H8" s="6"/>
      <c r="K8" s="4"/>
      <c r="L8" s="5"/>
      <c r="M8" s="6" t="s">
        <v>5</v>
      </c>
      <c r="N8" s="6">
        <v>1146153</v>
      </c>
      <c r="O8" s="6"/>
      <c r="P8" s="6"/>
      <c r="Q8" s="6"/>
      <c r="R8" s="6"/>
      <c r="U8" s="4"/>
      <c r="V8" s="5"/>
      <c r="W8" s="6" t="s">
        <v>5</v>
      </c>
      <c r="X8" s="6">
        <v>1146153</v>
      </c>
      <c r="Y8" s="6"/>
      <c r="Z8" s="6"/>
      <c r="AA8" s="6"/>
      <c r="AB8" s="6"/>
    </row>
    <row r="9" spans="1:28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K9" s="4"/>
      <c r="L9" s="5"/>
      <c r="M9" s="6" t="s">
        <v>6</v>
      </c>
      <c r="N9" s="6">
        <v>3297735.5133333281</v>
      </c>
      <c r="O9" s="6"/>
      <c r="P9" s="6"/>
      <c r="Q9" s="6"/>
      <c r="R9" s="6"/>
      <c r="U9" s="4"/>
      <c r="V9" s="5"/>
      <c r="W9" s="6" t="s">
        <v>6</v>
      </c>
      <c r="X9" s="6">
        <v>3297735.5133333281</v>
      </c>
      <c r="Y9" s="6"/>
      <c r="Z9" s="6"/>
      <c r="AA9" s="6"/>
      <c r="AB9" s="6"/>
    </row>
    <row r="10" spans="1:28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K10" s="4"/>
      <c r="L10" s="5"/>
      <c r="M10" s="6" t="s">
        <v>7</v>
      </c>
      <c r="N10" s="6">
        <v>2363662</v>
      </c>
      <c r="O10" s="6"/>
      <c r="P10" s="6"/>
      <c r="Q10" s="6"/>
      <c r="R10" s="6"/>
      <c r="U10" s="4"/>
      <c r="V10" s="5"/>
      <c r="W10" s="6" t="s">
        <v>7</v>
      </c>
      <c r="X10" s="6">
        <v>2363662</v>
      </c>
      <c r="Y10" s="6"/>
      <c r="Z10" s="6"/>
      <c r="AA10" s="6"/>
      <c r="AB10" s="6"/>
    </row>
    <row r="11" spans="1:28">
      <c r="A11" s="4"/>
      <c r="B11" s="5"/>
      <c r="C11" s="6"/>
      <c r="D11" s="6"/>
      <c r="E11" s="6"/>
      <c r="F11" s="6"/>
      <c r="G11" s="6"/>
      <c r="H11" s="6"/>
      <c r="K11" s="4"/>
      <c r="L11" s="5"/>
      <c r="M11" s="6"/>
      <c r="N11" s="6"/>
      <c r="O11" s="6"/>
      <c r="P11" s="6"/>
      <c r="Q11" s="6"/>
      <c r="R11" s="6"/>
      <c r="U11" s="4"/>
      <c r="V11" s="5"/>
      <c r="W11" s="6"/>
      <c r="X11" s="6"/>
      <c r="Y11" s="6"/>
      <c r="Z11" s="6"/>
      <c r="AA11" s="6"/>
      <c r="AB11" s="6"/>
    </row>
    <row r="12" spans="1:28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9732175.5133333281</v>
      </c>
      <c r="K12" s="531" t="s">
        <v>1071</v>
      </c>
      <c r="L12" s="532"/>
      <c r="M12" s="532"/>
      <c r="N12" s="532"/>
      <c r="O12" s="532"/>
      <c r="P12" s="532"/>
      <c r="Q12" s="533"/>
      <c r="R12" s="10">
        <f>SUM(N4:N10)</f>
        <v>9732175.5133333281</v>
      </c>
      <c r="U12" s="531" t="s">
        <v>1071</v>
      </c>
      <c r="V12" s="532"/>
      <c r="W12" s="532"/>
      <c r="X12" s="532"/>
      <c r="Y12" s="532"/>
      <c r="Z12" s="532"/>
      <c r="AA12" s="533"/>
      <c r="AB12" s="10">
        <f>SUM(X4:X10)</f>
        <v>9732175.5133333281</v>
      </c>
    </row>
    <row r="13" spans="1:28">
      <c r="A13" s="535" t="s">
        <v>8</v>
      </c>
      <c r="B13" s="535"/>
      <c r="C13" s="535"/>
      <c r="D13" s="535"/>
      <c r="E13" s="535"/>
      <c r="F13" s="535"/>
      <c r="G13" s="535"/>
      <c r="H13" s="535"/>
      <c r="K13" s="535" t="s">
        <v>8</v>
      </c>
      <c r="L13" s="535"/>
      <c r="M13" s="535"/>
      <c r="N13" s="535"/>
      <c r="O13" s="535"/>
      <c r="P13" s="535"/>
      <c r="Q13" s="535"/>
      <c r="R13" s="535"/>
      <c r="U13" s="535" t="s">
        <v>8</v>
      </c>
      <c r="V13" s="535"/>
      <c r="W13" s="535"/>
      <c r="X13" s="535"/>
      <c r="Y13" s="535"/>
      <c r="Z13" s="535"/>
      <c r="AA13" s="535"/>
      <c r="AB13" s="535"/>
    </row>
    <row r="14" spans="1:28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K14" s="536" t="s">
        <v>9</v>
      </c>
      <c r="L14" s="537" t="s">
        <v>10</v>
      </c>
      <c r="M14" s="538" t="s">
        <v>11</v>
      </c>
      <c r="N14" s="538" t="s">
        <v>12</v>
      </c>
      <c r="O14" s="530" t="s">
        <v>13</v>
      </c>
      <c r="P14" s="530"/>
      <c r="Q14" s="530"/>
      <c r="R14" s="530"/>
      <c r="U14" s="536" t="s">
        <v>9</v>
      </c>
      <c r="V14" s="537" t="s">
        <v>10</v>
      </c>
      <c r="W14" s="538" t="s">
        <v>11</v>
      </c>
      <c r="X14" s="538" t="s">
        <v>12</v>
      </c>
      <c r="Y14" s="530" t="s">
        <v>13</v>
      </c>
      <c r="Z14" s="530"/>
      <c r="AA14" s="530"/>
      <c r="AB14" s="530"/>
    </row>
    <row r="15" spans="1:28">
      <c r="A15" s="536"/>
      <c r="B15" s="537"/>
      <c r="C15" s="538"/>
      <c r="D15" s="538"/>
      <c r="E15" s="389" t="s">
        <v>14</v>
      </c>
      <c r="F15" s="389" t="s">
        <v>15</v>
      </c>
      <c r="G15" s="389" t="s">
        <v>16</v>
      </c>
      <c r="H15" s="389" t="s">
        <v>17</v>
      </c>
      <c r="K15" s="536"/>
      <c r="L15" s="537"/>
      <c r="M15" s="538"/>
      <c r="N15" s="538"/>
      <c r="O15" s="394" t="s">
        <v>14</v>
      </c>
      <c r="P15" s="394" t="s">
        <v>15</v>
      </c>
      <c r="Q15" s="394" t="s">
        <v>16</v>
      </c>
      <c r="R15" s="394" t="s">
        <v>17</v>
      </c>
      <c r="U15" s="536"/>
      <c r="V15" s="537"/>
      <c r="W15" s="538"/>
      <c r="X15" s="538"/>
      <c r="Y15" s="398" t="s">
        <v>14</v>
      </c>
      <c r="Z15" s="398" t="s">
        <v>15</v>
      </c>
      <c r="AA15" s="398" t="s">
        <v>16</v>
      </c>
      <c r="AB15" s="398" t="s">
        <v>17</v>
      </c>
    </row>
    <row r="16" spans="1:28">
      <c r="A16" s="12"/>
      <c r="B16" s="19" t="s">
        <v>1302</v>
      </c>
      <c r="C16" s="14" t="s">
        <v>1153</v>
      </c>
      <c r="D16" s="15">
        <v>500000</v>
      </c>
      <c r="E16" s="16"/>
      <c r="F16" s="16"/>
      <c r="G16" s="16"/>
      <c r="H16" s="16"/>
      <c r="K16" s="12"/>
      <c r="L16" s="19" t="s">
        <v>1302</v>
      </c>
      <c r="M16" s="14" t="s">
        <v>1153</v>
      </c>
      <c r="N16" s="15"/>
      <c r="O16" s="16"/>
      <c r="P16" s="16"/>
      <c r="Q16" s="16"/>
      <c r="R16" s="16"/>
      <c r="U16" s="12"/>
      <c r="V16" s="19" t="s">
        <v>1302</v>
      </c>
      <c r="W16" s="14" t="s">
        <v>1153</v>
      </c>
      <c r="X16" s="15">
        <v>500000</v>
      </c>
      <c r="Y16" s="16"/>
      <c r="Z16" s="16"/>
      <c r="AA16" s="16"/>
      <c r="AB16" s="16"/>
    </row>
    <row r="17" spans="1:28">
      <c r="A17" s="12"/>
      <c r="B17" s="19" t="s">
        <v>1214</v>
      </c>
      <c r="C17" s="14" t="s">
        <v>1215</v>
      </c>
      <c r="D17" s="15">
        <v>1600000</v>
      </c>
      <c r="E17" s="16"/>
      <c r="F17" s="16"/>
      <c r="G17" s="16"/>
      <c r="H17" s="16"/>
      <c r="K17" s="12"/>
      <c r="L17" s="19" t="s">
        <v>1214</v>
      </c>
      <c r="M17" s="14" t="s">
        <v>1215</v>
      </c>
      <c r="N17" s="15"/>
      <c r="O17" s="16"/>
      <c r="P17" s="16"/>
      <c r="Q17" s="16"/>
      <c r="R17" s="16"/>
      <c r="U17" s="12"/>
      <c r="V17" s="19"/>
      <c r="W17" s="14"/>
      <c r="X17" s="15"/>
      <c r="Y17" s="16"/>
      <c r="Z17" s="16"/>
      <c r="AA17" s="16"/>
      <c r="AB17" s="16"/>
    </row>
    <row r="18" spans="1:28">
      <c r="A18" s="12"/>
      <c r="B18" s="19" t="s">
        <v>1214</v>
      </c>
      <c r="C18" s="14" t="s">
        <v>1216</v>
      </c>
      <c r="D18" s="15">
        <v>250000</v>
      </c>
      <c r="E18" s="16"/>
      <c r="F18" s="16"/>
      <c r="G18" s="16"/>
      <c r="H18" s="16"/>
      <c r="K18" s="12"/>
      <c r="L18" s="19" t="s">
        <v>1214</v>
      </c>
      <c r="M18" s="14" t="s">
        <v>1216</v>
      </c>
      <c r="N18" s="15"/>
      <c r="O18" s="16"/>
      <c r="P18" s="16"/>
      <c r="Q18" s="16"/>
      <c r="R18" s="16"/>
      <c r="U18" s="12"/>
      <c r="V18" s="19" t="s">
        <v>1214</v>
      </c>
      <c r="W18" s="14" t="s">
        <v>1216</v>
      </c>
      <c r="X18" s="15">
        <v>250000</v>
      </c>
      <c r="Y18" s="16"/>
      <c r="Z18" s="16"/>
      <c r="AA18" s="16"/>
      <c r="AB18" s="16"/>
    </row>
    <row r="19" spans="1:28">
      <c r="A19" s="12"/>
      <c r="B19" s="19" t="s">
        <v>1214</v>
      </c>
      <c r="C19" s="14" t="s">
        <v>1242</v>
      </c>
      <c r="D19" s="15">
        <v>500000</v>
      </c>
      <c r="E19" s="16"/>
      <c r="F19" s="16"/>
      <c r="G19" s="16"/>
      <c r="H19" s="16"/>
      <c r="K19" s="12"/>
      <c r="L19" s="19" t="s">
        <v>1214</v>
      </c>
      <c r="M19" s="14" t="s">
        <v>1242</v>
      </c>
      <c r="N19" s="15"/>
      <c r="O19" s="16"/>
      <c r="P19" s="16"/>
      <c r="Q19" s="16"/>
      <c r="R19" s="16"/>
      <c r="U19" s="12"/>
      <c r="V19" s="19"/>
      <c r="W19" s="14"/>
      <c r="X19" s="15"/>
      <c r="Y19" s="16"/>
      <c r="Z19" s="16"/>
      <c r="AA19" s="16"/>
      <c r="AB19" s="16"/>
    </row>
    <row r="20" spans="1:28">
      <c r="A20" s="12"/>
      <c r="B20" s="19" t="s">
        <v>1214</v>
      </c>
      <c r="C20" s="14" t="s">
        <v>1253</v>
      </c>
      <c r="D20" s="15">
        <f>22000+48000</f>
        <v>70000</v>
      </c>
      <c r="E20" s="16"/>
      <c r="F20" s="16"/>
      <c r="G20" s="16"/>
      <c r="H20" s="16"/>
      <c r="K20" s="12"/>
      <c r="L20" s="19" t="s">
        <v>1214</v>
      </c>
      <c r="M20" s="14" t="s">
        <v>1253</v>
      </c>
      <c r="N20" s="15"/>
      <c r="O20" s="16"/>
      <c r="P20" s="16"/>
      <c r="Q20" s="16"/>
      <c r="R20" s="16"/>
      <c r="U20" s="12"/>
      <c r="V20" s="19" t="s">
        <v>1214</v>
      </c>
      <c r="W20" s="14" t="s">
        <v>1253</v>
      </c>
      <c r="X20" s="15">
        <f>22000+48000</f>
        <v>70000</v>
      </c>
      <c r="Y20" s="16"/>
      <c r="Z20" s="16"/>
      <c r="AA20" s="16"/>
      <c r="AB20" s="16"/>
    </row>
    <row r="21" spans="1:28" ht="17.25" customHeight="1">
      <c r="A21" s="12"/>
      <c r="B21" s="19"/>
      <c r="C21" s="14"/>
      <c r="D21" s="15"/>
      <c r="E21" s="16"/>
      <c r="F21" s="16"/>
      <c r="G21" s="16"/>
      <c r="H21" s="16"/>
      <c r="K21" s="12"/>
      <c r="L21" s="19"/>
      <c r="M21" s="14"/>
      <c r="N21" s="15"/>
      <c r="O21" s="16"/>
      <c r="P21" s="16"/>
      <c r="Q21" s="16"/>
      <c r="R21" s="16"/>
      <c r="U21" s="12"/>
      <c r="V21" s="19"/>
      <c r="W21" s="14"/>
      <c r="X21" s="15"/>
      <c r="Y21" s="16"/>
      <c r="Z21" s="16"/>
      <c r="AA21" s="16"/>
      <c r="AB21" s="16"/>
    </row>
    <row r="22" spans="1:28">
      <c r="A22" s="18"/>
      <c r="B22" s="19"/>
      <c r="C22" s="389" t="s">
        <v>20</v>
      </c>
      <c r="D22" s="10">
        <f>SUM(D16:D21)</f>
        <v>2920000</v>
      </c>
      <c r="E22" s="10"/>
      <c r="F22" s="10"/>
      <c r="G22" s="10"/>
      <c r="H22" s="10"/>
      <c r="K22" s="18"/>
      <c r="L22" s="19"/>
      <c r="M22" s="394" t="s">
        <v>20</v>
      </c>
      <c r="N22" s="10">
        <f>SUM(N16:N21)</f>
        <v>0</v>
      </c>
      <c r="O22" s="10"/>
      <c r="P22" s="10"/>
      <c r="Q22" s="10"/>
      <c r="R22" s="10"/>
      <c r="U22" s="18"/>
      <c r="V22" s="19"/>
      <c r="W22" s="398" t="s">
        <v>20</v>
      </c>
      <c r="X22" s="10">
        <f>SUM(X16:X21)</f>
        <v>820000</v>
      </c>
      <c r="Y22" s="10"/>
      <c r="Z22" s="10"/>
      <c r="AA22" s="10"/>
      <c r="AB22" s="10"/>
    </row>
    <row r="23" spans="1:28">
      <c r="A23" s="20"/>
      <c r="B23" s="390"/>
      <c r="C23" s="152" t="s">
        <v>21</v>
      </c>
      <c r="D23" s="150"/>
      <c r="E23" s="150"/>
      <c r="F23" s="150"/>
      <c r="G23" s="151"/>
      <c r="H23" s="21">
        <f>+D22</f>
        <v>2920000</v>
      </c>
      <c r="K23" s="20"/>
      <c r="L23" s="392"/>
      <c r="M23" s="152" t="s">
        <v>21</v>
      </c>
      <c r="N23" s="150"/>
      <c r="O23" s="150"/>
      <c r="P23" s="150"/>
      <c r="Q23" s="151"/>
      <c r="R23" s="21">
        <f>+N22</f>
        <v>0</v>
      </c>
      <c r="U23" s="20"/>
      <c r="V23" s="396"/>
      <c r="W23" s="152" t="s">
        <v>21</v>
      </c>
      <c r="X23" s="150"/>
      <c r="Y23" s="150"/>
      <c r="Z23" s="150"/>
      <c r="AA23" s="151"/>
      <c r="AB23" s="21">
        <f>+X22</f>
        <v>820000</v>
      </c>
    </row>
    <row r="24" spans="1:28">
      <c r="A24" s="526" t="s">
        <v>22</v>
      </c>
      <c r="B24" s="526"/>
      <c r="C24" s="526"/>
      <c r="D24" s="526"/>
      <c r="E24" s="526">
        <f>+H23</f>
        <v>2920000</v>
      </c>
      <c r="F24" s="526"/>
      <c r="G24" s="526"/>
      <c r="H24" s="526"/>
      <c r="K24" s="526" t="s">
        <v>22</v>
      </c>
      <c r="L24" s="526"/>
      <c r="M24" s="526"/>
      <c r="N24" s="526"/>
      <c r="O24" s="526">
        <f>+R23</f>
        <v>0</v>
      </c>
      <c r="P24" s="526"/>
      <c r="Q24" s="526"/>
      <c r="R24" s="526"/>
      <c r="U24" s="526" t="s">
        <v>22</v>
      </c>
      <c r="V24" s="526"/>
      <c r="W24" s="526"/>
      <c r="X24" s="526"/>
      <c r="Y24" s="526">
        <f>+AB23</f>
        <v>820000</v>
      </c>
      <c r="Z24" s="526"/>
      <c r="AA24" s="526"/>
      <c r="AB24" s="526"/>
    </row>
    <row r="25" spans="1:28">
      <c r="A25" s="524" t="s">
        <v>23</v>
      </c>
      <c r="B25" s="524"/>
      <c r="C25" s="524"/>
      <c r="D25" s="524"/>
      <c r="E25" s="524"/>
      <c r="F25" s="524"/>
      <c r="G25" s="524"/>
      <c r="H25" s="524"/>
      <c r="K25" s="524" t="s">
        <v>23</v>
      </c>
      <c r="L25" s="524"/>
      <c r="M25" s="524"/>
      <c r="N25" s="524"/>
      <c r="O25" s="524"/>
      <c r="P25" s="524"/>
      <c r="Q25" s="524"/>
      <c r="R25" s="524"/>
      <c r="U25" s="524" t="s">
        <v>23</v>
      </c>
      <c r="V25" s="524"/>
      <c r="W25" s="524"/>
      <c r="X25" s="524"/>
      <c r="Y25" s="524"/>
      <c r="Z25" s="524"/>
      <c r="AA25" s="524"/>
      <c r="AB25" s="524"/>
    </row>
    <row r="26" spans="1:28">
      <c r="A26" s="12"/>
      <c r="B26" s="13" t="s">
        <v>1254</v>
      </c>
      <c r="C26" s="15" t="s">
        <v>1255</v>
      </c>
      <c r="D26" s="23">
        <v>375000</v>
      </c>
      <c r="E26" s="22"/>
      <c r="F26" s="22"/>
      <c r="G26" s="16"/>
      <c r="H26" s="16"/>
      <c r="K26" s="12"/>
      <c r="L26" s="13" t="s">
        <v>1254</v>
      </c>
      <c r="M26" s="15" t="s">
        <v>1255</v>
      </c>
      <c r="N26" s="23">
        <v>375000</v>
      </c>
      <c r="O26" s="22"/>
      <c r="P26" s="22"/>
      <c r="Q26" s="16"/>
      <c r="R26" s="16"/>
      <c r="U26" s="12"/>
      <c r="V26" s="13"/>
      <c r="W26" s="15"/>
      <c r="X26" s="23"/>
      <c r="Y26" s="22"/>
      <c r="Z26" s="22"/>
      <c r="AA26" s="16"/>
      <c r="AB26" s="16"/>
    </row>
    <row r="27" spans="1:28">
      <c r="A27" s="12"/>
      <c r="B27" s="13" t="s">
        <v>1256</v>
      </c>
      <c r="C27" s="15" t="s">
        <v>1257</v>
      </c>
      <c r="D27" s="23">
        <v>355000</v>
      </c>
      <c r="E27" s="22"/>
      <c r="F27" s="22"/>
      <c r="G27" s="16"/>
      <c r="H27" s="16"/>
      <c r="K27" s="12"/>
      <c r="L27" s="13" t="s">
        <v>1256</v>
      </c>
      <c r="M27" s="15" t="s">
        <v>1257</v>
      </c>
      <c r="N27" s="23">
        <v>355000</v>
      </c>
      <c r="O27" s="22"/>
      <c r="P27" s="22"/>
      <c r="Q27" s="16"/>
      <c r="R27" s="16"/>
      <c r="U27" s="12"/>
      <c r="V27" s="13"/>
      <c r="W27" s="15"/>
      <c r="X27" s="23"/>
      <c r="Y27" s="22"/>
      <c r="Z27" s="22"/>
      <c r="AA27" s="16"/>
      <c r="AB27" s="16"/>
    </row>
    <row r="28" spans="1:28">
      <c r="A28" s="12"/>
      <c r="B28" s="13" t="s">
        <v>1258</v>
      </c>
      <c r="C28" s="15" t="s">
        <v>1259</v>
      </c>
      <c r="D28" s="23">
        <v>150000</v>
      </c>
      <c r="E28" s="22"/>
      <c r="F28" s="22"/>
      <c r="G28" s="16"/>
      <c r="H28" s="16"/>
      <c r="K28" s="12"/>
      <c r="L28" s="13" t="s">
        <v>1258</v>
      </c>
      <c r="M28" s="15" t="s">
        <v>1259</v>
      </c>
      <c r="N28" s="23">
        <v>150000</v>
      </c>
      <c r="O28" s="22"/>
      <c r="P28" s="22"/>
      <c r="Q28" s="16"/>
      <c r="R28" s="16"/>
      <c r="U28" s="12"/>
      <c r="V28" s="13"/>
      <c r="W28" s="15"/>
      <c r="X28" s="23"/>
      <c r="Y28" s="22"/>
      <c r="Z28" s="22"/>
      <c r="AA28" s="16"/>
      <c r="AB28" s="16"/>
    </row>
    <row r="29" spans="1:28">
      <c r="A29" s="12"/>
      <c r="B29" s="13" t="s">
        <v>1258</v>
      </c>
      <c r="C29" s="13" t="s">
        <v>1260</v>
      </c>
      <c r="D29" s="22">
        <f>2200000+70000+30000</f>
        <v>2300000</v>
      </c>
      <c r="E29" s="22"/>
      <c r="F29" s="22"/>
      <c r="G29" s="16"/>
      <c r="H29" s="16"/>
      <c r="K29" s="12"/>
      <c r="L29" s="13" t="s">
        <v>1258</v>
      </c>
      <c r="M29" s="13" t="s">
        <v>1260</v>
      </c>
      <c r="N29" s="22"/>
      <c r="O29" s="22"/>
      <c r="P29" s="22"/>
      <c r="Q29" s="16"/>
      <c r="R29" s="16"/>
      <c r="U29" s="12"/>
      <c r="V29" s="13"/>
      <c r="W29" s="13"/>
      <c r="X29" s="22"/>
      <c r="Y29" s="22"/>
      <c r="Z29" s="22"/>
      <c r="AA29" s="16"/>
      <c r="AB29" s="16"/>
    </row>
    <row r="30" spans="1:28">
      <c r="A30" s="12"/>
      <c r="B30" s="13" t="s">
        <v>1261</v>
      </c>
      <c r="C30" s="15" t="s">
        <v>1262</v>
      </c>
      <c r="D30" s="23">
        <v>10408000</v>
      </c>
      <c r="E30" s="22"/>
      <c r="F30" s="22"/>
      <c r="G30" s="16"/>
      <c r="H30" s="16"/>
      <c r="K30" s="12"/>
      <c r="L30" s="13" t="s">
        <v>1261</v>
      </c>
      <c r="M30" s="15" t="s">
        <v>1262</v>
      </c>
      <c r="N30" s="23">
        <v>10408000</v>
      </c>
      <c r="O30" s="22"/>
      <c r="P30" s="22"/>
      <c r="Q30" s="16"/>
      <c r="R30" s="16"/>
      <c r="U30" s="12"/>
      <c r="V30" s="13"/>
      <c r="W30" s="15"/>
      <c r="X30" s="23"/>
      <c r="Y30" s="22"/>
      <c r="Z30" s="22"/>
      <c r="AA30" s="16"/>
      <c r="AB30" s="16"/>
    </row>
    <row r="31" spans="1:28">
      <c r="A31" s="12"/>
      <c r="B31" s="13" t="s">
        <v>1261</v>
      </c>
      <c r="C31" s="15" t="s">
        <v>1263</v>
      </c>
      <c r="D31" s="23">
        <v>163000</v>
      </c>
      <c r="E31" s="22"/>
      <c r="F31" s="22"/>
      <c r="G31" s="16"/>
      <c r="H31" s="16"/>
      <c r="K31" s="12"/>
      <c r="L31" s="13" t="s">
        <v>1261</v>
      </c>
      <c r="M31" s="15" t="s">
        <v>1263</v>
      </c>
      <c r="N31" s="23">
        <v>163000</v>
      </c>
      <c r="O31" s="22"/>
      <c r="P31" s="22"/>
      <c r="Q31" s="16"/>
      <c r="R31" s="16"/>
      <c r="U31" s="12"/>
      <c r="V31" s="13"/>
      <c r="W31" s="15"/>
      <c r="X31" s="23"/>
      <c r="Y31" s="22"/>
      <c r="Z31" s="22"/>
      <c r="AA31" s="16"/>
      <c r="AB31" s="16"/>
    </row>
    <row r="32" spans="1:28">
      <c r="A32" s="12"/>
      <c r="B32" s="13" t="s">
        <v>1264</v>
      </c>
      <c r="C32" s="15" t="s">
        <v>1265</v>
      </c>
      <c r="D32" s="23">
        <v>2187000</v>
      </c>
      <c r="E32" s="22"/>
      <c r="F32" s="22"/>
      <c r="G32" s="16"/>
      <c r="H32" s="16"/>
      <c r="K32" s="12"/>
      <c r="L32" s="13" t="s">
        <v>1264</v>
      </c>
      <c r="M32" s="15" t="s">
        <v>1265</v>
      </c>
      <c r="N32" s="23">
        <v>2187000</v>
      </c>
      <c r="O32" s="22"/>
      <c r="P32" s="22"/>
      <c r="Q32" s="16"/>
      <c r="R32" s="16"/>
      <c r="U32" s="12"/>
      <c r="V32" s="13"/>
      <c r="W32" s="15"/>
      <c r="X32" s="23"/>
      <c r="Y32" s="22"/>
      <c r="Z32" s="22"/>
      <c r="AA32" s="16"/>
      <c r="AB32" s="16"/>
    </row>
    <row r="33" spans="1:28">
      <c r="A33" s="12"/>
      <c r="B33" s="13" t="s">
        <v>1264</v>
      </c>
      <c r="C33" s="15" t="s">
        <v>1266</v>
      </c>
      <c r="D33" s="23">
        <v>15000</v>
      </c>
      <c r="E33" s="22"/>
      <c r="F33" s="22"/>
      <c r="G33" s="16"/>
      <c r="H33" s="16"/>
      <c r="K33" s="12"/>
      <c r="L33" s="13" t="s">
        <v>1264</v>
      </c>
      <c r="M33" s="15" t="s">
        <v>1266</v>
      </c>
      <c r="N33" s="23">
        <v>15000</v>
      </c>
      <c r="O33" s="22"/>
      <c r="P33" s="22"/>
      <c r="Q33" s="16"/>
      <c r="R33" s="16"/>
      <c r="U33" s="12"/>
      <c r="V33" s="13"/>
      <c r="W33" s="15"/>
      <c r="X33" s="23"/>
      <c r="Y33" s="22"/>
      <c r="Z33" s="22"/>
      <c r="AA33" s="16"/>
      <c r="AB33" s="16"/>
    </row>
    <row r="34" spans="1:28">
      <c r="A34" s="12"/>
      <c r="B34" s="13" t="s">
        <v>1264</v>
      </c>
      <c r="C34" s="15" t="s">
        <v>961</v>
      </c>
      <c r="D34" s="23">
        <v>150000</v>
      </c>
      <c r="E34" s="22"/>
      <c r="F34" s="22"/>
      <c r="G34" s="16"/>
      <c r="H34" s="16"/>
      <c r="K34" s="12"/>
      <c r="L34" s="13" t="s">
        <v>1264</v>
      </c>
      <c r="M34" s="15" t="s">
        <v>961</v>
      </c>
      <c r="N34" s="23">
        <v>150000</v>
      </c>
      <c r="O34" s="22"/>
      <c r="P34" s="22"/>
      <c r="Q34" s="16"/>
      <c r="R34" s="16"/>
      <c r="U34" s="12"/>
      <c r="V34" s="13"/>
      <c r="W34" s="15"/>
      <c r="X34" s="23"/>
      <c r="Y34" s="22"/>
      <c r="Z34" s="22"/>
      <c r="AA34" s="16"/>
      <c r="AB34" s="16"/>
    </row>
    <row r="35" spans="1:28">
      <c r="A35" s="12"/>
      <c r="B35" s="13"/>
      <c r="C35" s="15" t="s">
        <v>1300</v>
      </c>
      <c r="D35" s="23">
        <v>100000</v>
      </c>
      <c r="E35" s="22"/>
      <c r="F35" s="22"/>
      <c r="G35" s="16"/>
      <c r="H35" s="16"/>
      <c r="K35" s="12"/>
      <c r="L35" s="13"/>
      <c r="M35" s="15" t="s">
        <v>1300</v>
      </c>
      <c r="N35" s="23">
        <v>100000</v>
      </c>
      <c r="O35" s="22"/>
      <c r="P35" s="22"/>
      <c r="Q35" s="16"/>
      <c r="R35" s="16"/>
      <c r="U35" s="12"/>
      <c r="V35" s="13"/>
      <c r="W35" s="15"/>
      <c r="X35" s="23"/>
      <c r="Y35" s="22"/>
      <c r="Z35" s="22"/>
      <c r="AA35" s="16"/>
      <c r="AB35" s="16"/>
    </row>
    <row r="36" spans="1:28" hidden="1">
      <c r="A36" s="12"/>
      <c r="B36" s="13"/>
      <c r="C36" s="15"/>
      <c r="D36" s="23"/>
      <c r="E36" s="22"/>
      <c r="F36" s="22"/>
      <c r="G36" s="16"/>
      <c r="H36" s="16"/>
      <c r="K36" s="12"/>
      <c r="L36" s="13"/>
      <c r="M36" s="15"/>
      <c r="N36" s="23"/>
      <c r="O36" s="22"/>
      <c r="P36" s="22"/>
      <c r="Q36" s="16"/>
      <c r="R36" s="16"/>
      <c r="U36" s="12"/>
      <c r="V36" s="13"/>
      <c r="W36" s="15"/>
      <c r="X36" s="23"/>
      <c r="Y36" s="22"/>
      <c r="Z36" s="22"/>
      <c r="AA36" s="16"/>
      <c r="AB36" s="16"/>
    </row>
    <row r="37" spans="1:28" hidden="1">
      <c r="A37" s="12"/>
      <c r="B37" s="13"/>
      <c r="C37" s="15"/>
      <c r="D37" s="23"/>
      <c r="E37" s="22"/>
      <c r="F37" s="22"/>
      <c r="G37" s="16"/>
      <c r="H37" s="16"/>
      <c r="K37" s="12"/>
      <c r="L37" s="13"/>
      <c r="M37" s="15"/>
      <c r="N37" s="23"/>
      <c r="O37" s="22"/>
      <c r="P37" s="22"/>
      <c r="Q37" s="16"/>
      <c r="R37" s="16"/>
      <c r="U37" s="12"/>
      <c r="V37" s="13"/>
      <c r="W37" s="15"/>
      <c r="X37" s="23"/>
      <c r="Y37" s="22"/>
      <c r="Z37" s="22"/>
      <c r="AA37" s="16"/>
      <c r="AB37" s="16"/>
    </row>
    <row r="38" spans="1:28">
      <c r="A38" s="25"/>
      <c r="B38" s="19"/>
      <c r="C38" s="26" t="s">
        <v>24</v>
      </c>
      <c r="D38" s="27">
        <f>SUM(D26:D37)</f>
        <v>16203000</v>
      </c>
      <c r="E38" s="27"/>
      <c r="F38" s="27"/>
      <c r="G38" s="27"/>
      <c r="H38" s="27"/>
      <c r="K38" s="25"/>
      <c r="L38" s="19"/>
      <c r="M38" s="26" t="s">
        <v>24</v>
      </c>
      <c r="N38" s="27">
        <f>SUM(N26:N37)</f>
        <v>13903000</v>
      </c>
      <c r="O38" s="27"/>
      <c r="P38" s="27"/>
      <c r="Q38" s="27"/>
      <c r="R38" s="27"/>
      <c r="U38" s="25"/>
      <c r="V38" s="19"/>
      <c r="W38" s="26" t="s">
        <v>24</v>
      </c>
      <c r="X38" s="27">
        <f>SUM(X26:X37)</f>
        <v>0</v>
      </c>
      <c r="Y38" s="27"/>
      <c r="Z38" s="27"/>
      <c r="AA38" s="27"/>
      <c r="AB38" s="27"/>
    </row>
    <row r="39" spans="1:28">
      <c r="A39" s="20"/>
      <c r="B39" s="19"/>
      <c r="C39" s="389" t="s">
        <v>21</v>
      </c>
      <c r="D39" s="10"/>
      <c r="E39" s="530">
        <f>D38</f>
        <v>16203000</v>
      </c>
      <c r="F39" s="530"/>
      <c r="G39" s="530"/>
      <c r="H39" s="530"/>
      <c r="K39" s="20"/>
      <c r="L39" s="19"/>
      <c r="M39" s="394" t="s">
        <v>21</v>
      </c>
      <c r="N39" s="10"/>
      <c r="O39" s="530">
        <f>N38</f>
        <v>13903000</v>
      </c>
      <c r="P39" s="530"/>
      <c r="Q39" s="530"/>
      <c r="R39" s="530"/>
      <c r="U39" s="20"/>
      <c r="V39" s="19"/>
      <c r="W39" s="398" t="s">
        <v>21</v>
      </c>
      <c r="X39" s="10"/>
      <c r="Y39" s="530">
        <f>X38</f>
        <v>0</v>
      </c>
      <c r="Z39" s="530"/>
      <c r="AA39" s="530"/>
      <c r="AB39" s="530"/>
    </row>
    <row r="40" spans="1:28">
      <c r="A40" s="524" t="s">
        <v>1292</v>
      </c>
      <c r="B40" s="524"/>
      <c r="C40" s="524"/>
      <c r="D40" s="524"/>
      <c r="E40" s="524"/>
      <c r="F40" s="524"/>
      <c r="G40" s="524"/>
      <c r="H40" s="524"/>
      <c r="K40" s="524" t="s">
        <v>1292</v>
      </c>
      <c r="L40" s="524"/>
      <c r="M40" s="524"/>
      <c r="N40" s="524"/>
      <c r="O40" s="524"/>
      <c r="P40" s="524"/>
      <c r="Q40" s="524"/>
      <c r="R40" s="524"/>
      <c r="U40" s="524" t="s">
        <v>1292</v>
      </c>
      <c r="V40" s="524"/>
      <c r="W40" s="524"/>
      <c r="X40" s="524"/>
      <c r="Y40" s="524"/>
      <c r="Z40" s="524"/>
      <c r="AA40" s="524"/>
      <c r="AB40" s="524"/>
    </row>
    <row r="41" spans="1:28">
      <c r="A41" s="28"/>
      <c r="B41" s="188" t="s">
        <v>1294</v>
      </c>
      <c r="C41" s="23" t="s">
        <v>1293</v>
      </c>
      <c r="D41" s="23">
        <v>450000</v>
      </c>
      <c r="E41" s="28"/>
      <c r="F41" s="28"/>
      <c r="G41" s="28"/>
      <c r="H41" s="28"/>
      <c r="K41" s="28"/>
      <c r="L41" s="188" t="s">
        <v>1294</v>
      </c>
      <c r="M41" s="23" t="s">
        <v>1293</v>
      </c>
      <c r="N41" s="23">
        <v>450000</v>
      </c>
      <c r="O41" s="28"/>
      <c r="P41" s="28"/>
      <c r="Q41" s="28"/>
      <c r="R41" s="28"/>
      <c r="U41" s="28"/>
      <c r="V41" s="188"/>
      <c r="W41" s="23"/>
      <c r="X41" s="23"/>
      <c r="Y41" s="28"/>
      <c r="Z41" s="28"/>
      <c r="AA41" s="28"/>
      <c r="AB41" s="28"/>
    </row>
    <row r="42" spans="1:28" hidden="1">
      <c r="A42" s="28"/>
      <c r="B42" s="23"/>
      <c r="C42" s="23"/>
      <c r="D42" s="23"/>
      <c r="E42" s="28"/>
      <c r="F42" s="28"/>
      <c r="G42" s="28"/>
      <c r="H42" s="28"/>
      <c r="K42" s="28"/>
      <c r="L42" s="23"/>
      <c r="M42" s="23"/>
      <c r="N42" s="23"/>
      <c r="O42" s="28"/>
      <c r="P42" s="28"/>
      <c r="Q42" s="28"/>
      <c r="R42" s="28"/>
      <c r="U42" s="28"/>
      <c r="V42" s="23"/>
      <c r="W42" s="23"/>
      <c r="X42" s="23"/>
      <c r="Y42" s="28"/>
      <c r="Z42" s="28"/>
      <c r="AA42" s="28"/>
      <c r="AB42" s="28"/>
    </row>
    <row r="43" spans="1:28" hidden="1">
      <c r="A43" s="28"/>
      <c r="B43" s="188"/>
      <c r="C43" s="23"/>
      <c r="D43" s="23"/>
      <c r="E43" s="28"/>
      <c r="F43" s="28"/>
      <c r="G43" s="28"/>
      <c r="H43" s="28"/>
      <c r="K43" s="28"/>
      <c r="L43" s="188"/>
      <c r="M43" s="23"/>
      <c r="N43" s="23"/>
      <c r="O43" s="28"/>
      <c r="P43" s="28"/>
      <c r="Q43" s="28"/>
      <c r="R43" s="28"/>
      <c r="U43" s="28"/>
      <c r="V43" s="188"/>
      <c r="W43" s="23"/>
      <c r="X43" s="23"/>
      <c r="Y43" s="28"/>
      <c r="Z43" s="28"/>
      <c r="AA43" s="28"/>
      <c r="AB43" s="28"/>
    </row>
    <row r="44" spans="1:28">
      <c r="A44" s="12"/>
      <c r="B44" s="13"/>
      <c r="C44" s="26" t="s">
        <v>448</v>
      </c>
      <c r="D44" s="27">
        <f>SUM(D41:D43)</f>
        <v>450000</v>
      </c>
      <c r="E44" s="27">
        <v>0</v>
      </c>
      <c r="F44" s="27">
        <v>0</v>
      </c>
      <c r="G44" s="27"/>
      <c r="H44" s="27"/>
      <c r="K44" s="12"/>
      <c r="L44" s="13"/>
      <c r="M44" s="26" t="s">
        <v>448</v>
      </c>
      <c r="N44" s="27">
        <f>SUM(N41:N43)</f>
        <v>450000</v>
      </c>
      <c r="O44" s="27">
        <v>0</v>
      </c>
      <c r="P44" s="27">
        <v>0</v>
      </c>
      <c r="Q44" s="27"/>
      <c r="R44" s="27"/>
      <c r="U44" s="12"/>
      <c r="V44" s="13"/>
      <c r="W44" s="26" t="s">
        <v>448</v>
      </c>
      <c r="X44" s="27">
        <f>SUM(X41:X43)</f>
        <v>0</v>
      </c>
      <c r="Y44" s="27">
        <v>0</v>
      </c>
      <c r="Z44" s="27">
        <v>0</v>
      </c>
      <c r="AA44" s="27"/>
      <c r="AB44" s="27"/>
    </row>
    <row r="45" spans="1:28">
      <c r="A45" s="20"/>
      <c r="B45" s="19"/>
      <c r="C45" s="389" t="s">
        <v>21</v>
      </c>
      <c r="D45" s="10"/>
      <c r="E45" s="530">
        <f>D44</f>
        <v>450000</v>
      </c>
      <c r="F45" s="530"/>
      <c r="G45" s="530"/>
      <c r="H45" s="530"/>
      <c r="K45" s="20"/>
      <c r="L45" s="19"/>
      <c r="M45" s="394" t="s">
        <v>21</v>
      </c>
      <c r="N45" s="10"/>
      <c r="O45" s="530">
        <f>N44</f>
        <v>450000</v>
      </c>
      <c r="P45" s="530"/>
      <c r="Q45" s="530"/>
      <c r="R45" s="530"/>
      <c r="U45" s="20"/>
      <c r="V45" s="19"/>
      <c r="W45" s="398" t="s">
        <v>21</v>
      </c>
      <c r="X45" s="10"/>
      <c r="Y45" s="530">
        <f>X44</f>
        <v>0</v>
      </c>
      <c r="Z45" s="530"/>
      <c r="AA45" s="530"/>
      <c r="AB45" s="530"/>
    </row>
    <row r="46" spans="1:28" hidden="1">
      <c r="A46" s="524" t="s">
        <v>1133</v>
      </c>
      <c r="B46" s="524"/>
      <c r="C46" s="524"/>
      <c r="D46" s="524"/>
      <c r="E46" s="524"/>
      <c r="F46" s="524"/>
      <c r="G46" s="524"/>
      <c r="H46" s="524"/>
      <c r="K46" s="524" t="s">
        <v>1133</v>
      </c>
      <c r="L46" s="524"/>
      <c r="M46" s="524"/>
      <c r="N46" s="524"/>
      <c r="O46" s="524"/>
      <c r="P46" s="524"/>
      <c r="Q46" s="524"/>
      <c r="R46" s="524"/>
      <c r="U46" s="524" t="s">
        <v>1133</v>
      </c>
      <c r="V46" s="524"/>
      <c r="W46" s="524"/>
      <c r="X46" s="524"/>
      <c r="Y46" s="524"/>
      <c r="Z46" s="524"/>
      <c r="AA46" s="524"/>
      <c r="AB46" s="524"/>
    </row>
    <row r="47" spans="1:28" hidden="1">
      <c r="A47" s="28"/>
      <c r="B47" s="19"/>
      <c r="C47" s="23"/>
      <c r="D47" s="23"/>
      <c r="E47" s="28"/>
      <c r="F47" s="28"/>
      <c r="G47" s="28"/>
      <c r="H47" s="28"/>
      <c r="K47" s="28"/>
      <c r="L47" s="19"/>
      <c r="M47" s="23"/>
      <c r="N47" s="23"/>
      <c r="O47" s="28"/>
      <c r="P47" s="28"/>
      <c r="Q47" s="28"/>
      <c r="R47" s="28"/>
      <c r="U47" s="28"/>
      <c r="V47" s="19"/>
      <c r="W47" s="23"/>
      <c r="X47" s="23"/>
      <c r="Y47" s="28"/>
      <c r="Z47" s="28"/>
      <c r="AA47" s="28"/>
      <c r="AB47" s="28"/>
    </row>
    <row r="48" spans="1:28" hidden="1">
      <c r="A48" s="28"/>
      <c r="B48" s="19"/>
      <c r="C48" s="23"/>
      <c r="D48" s="23"/>
      <c r="E48" s="28"/>
      <c r="F48" s="28"/>
      <c r="G48" s="28"/>
      <c r="H48" s="28"/>
      <c r="K48" s="28"/>
      <c r="L48" s="19"/>
      <c r="M48" s="23"/>
      <c r="N48" s="23"/>
      <c r="O48" s="28"/>
      <c r="P48" s="28"/>
      <c r="Q48" s="28"/>
      <c r="R48" s="28"/>
      <c r="U48" s="28"/>
      <c r="V48" s="19"/>
      <c r="W48" s="23"/>
      <c r="X48" s="23"/>
      <c r="Y48" s="28"/>
      <c r="Z48" s="28"/>
      <c r="AA48" s="28"/>
      <c r="AB48" s="28"/>
    </row>
    <row r="49" spans="1:28" hidden="1">
      <c r="A49" s="28"/>
      <c r="B49" s="19"/>
      <c r="C49" s="23"/>
      <c r="D49" s="23"/>
      <c r="E49" s="28"/>
      <c r="F49" s="28"/>
      <c r="G49" s="28"/>
      <c r="H49" s="28"/>
      <c r="K49" s="28"/>
      <c r="L49" s="19"/>
      <c r="M49" s="23"/>
      <c r="N49" s="23"/>
      <c r="O49" s="28"/>
      <c r="P49" s="28"/>
      <c r="Q49" s="28"/>
      <c r="R49" s="28"/>
      <c r="U49" s="28"/>
      <c r="V49" s="19"/>
      <c r="W49" s="23"/>
      <c r="X49" s="23"/>
      <c r="Y49" s="28"/>
      <c r="Z49" s="28"/>
      <c r="AA49" s="28"/>
      <c r="AB49" s="28"/>
    </row>
    <row r="50" spans="1:28" hidden="1">
      <c r="A50" s="28"/>
      <c r="B50" s="23"/>
      <c r="C50" s="23"/>
      <c r="D50" s="23"/>
      <c r="E50" s="28"/>
      <c r="F50" s="28"/>
      <c r="G50" s="28"/>
      <c r="H50" s="28"/>
      <c r="K50" s="28"/>
      <c r="L50" s="23"/>
      <c r="M50" s="23"/>
      <c r="N50" s="23"/>
      <c r="O50" s="28"/>
      <c r="P50" s="28"/>
      <c r="Q50" s="28"/>
      <c r="R50" s="28"/>
      <c r="U50" s="28"/>
      <c r="V50" s="23"/>
      <c r="W50" s="23"/>
      <c r="X50" s="23"/>
      <c r="Y50" s="28"/>
      <c r="Z50" s="28"/>
      <c r="AA50" s="28"/>
      <c r="AB50" s="28"/>
    </row>
    <row r="51" spans="1:28" hidden="1">
      <c r="A51" s="28"/>
      <c r="B51" s="23"/>
      <c r="C51" s="23"/>
      <c r="D51" s="23"/>
      <c r="E51" s="28"/>
      <c r="F51" s="28"/>
      <c r="G51" s="28"/>
      <c r="H51" s="28"/>
      <c r="K51" s="28"/>
      <c r="L51" s="23"/>
      <c r="M51" s="23"/>
      <c r="N51" s="23"/>
      <c r="O51" s="28"/>
      <c r="P51" s="28"/>
      <c r="Q51" s="28"/>
      <c r="R51" s="28"/>
      <c r="U51" s="28"/>
      <c r="V51" s="23"/>
      <c r="W51" s="23"/>
      <c r="X51" s="23"/>
      <c r="Y51" s="28"/>
      <c r="Z51" s="28"/>
      <c r="AA51" s="28"/>
      <c r="AB51" s="28"/>
    </row>
    <row r="52" spans="1:28" hidden="1">
      <c r="A52" s="12"/>
      <c r="B52" s="13"/>
      <c r="C52" s="26" t="s">
        <v>896</v>
      </c>
      <c r="D52" s="27">
        <f>SUM(D47:D50)</f>
        <v>0</v>
      </c>
      <c r="E52" s="27">
        <v>0</v>
      </c>
      <c r="F52" s="27">
        <v>0</v>
      </c>
      <c r="G52" s="27"/>
      <c r="H52" s="27"/>
      <c r="K52" s="12"/>
      <c r="L52" s="13"/>
      <c r="M52" s="26" t="s">
        <v>896</v>
      </c>
      <c r="N52" s="27">
        <f>SUM(N47:N50)</f>
        <v>0</v>
      </c>
      <c r="O52" s="27">
        <v>0</v>
      </c>
      <c r="P52" s="27">
        <v>0</v>
      </c>
      <c r="Q52" s="27"/>
      <c r="R52" s="27"/>
      <c r="U52" s="12"/>
      <c r="V52" s="13"/>
      <c r="W52" s="26" t="s">
        <v>896</v>
      </c>
      <c r="X52" s="27">
        <f>SUM(X47:X50)</f>
        <v>0</v>
      </c>
      <c r="Y52" s="27">
        <v>0</v>
      </c>
      <c r="Z52" s="27">
        <v>0</v>
      </c>
      <c r="AA52" s="27"/>
      <c r="AB52" s="27"/>
    </row>
    <row r="53" spans="1:28" hidden="1">
      <c r="A53" s="20"/>
      <c r="B53" s="19"/>
      <c r="C53" s="389" t="s">
        <v>21</v>
      </c>
      <c r="D53" s="10"/>
      <c r="E53" s="530">
        <f>D52</f>
        <v>0</v>
      </c>
      <c r="F53" s="530"/>
      <c r="G53" s="530"/>
      <c r="H53" s="530"/>
      <c r="K53" s="20"/>
      <c r="L53" s="19"/>
      <c r="M53" s="394" t="s">
        <v>21</v>
      </c>
      <c r="N53" s="10"/>
      <c r="O53" s="530">
        <f>N52</f>
        <v>0</v>
      </c>
      <c r="P53" s="530"/>
      <c r="Q53" s="530"/>
      <c r="R53" s="530"/>
      <c r="U53" s="20"/>
      <c r="V53" s="19"/>
      <c r="W53" s="398" t="s">
        <v>21</v>
      </c>
      <c r="X53" s="10"/>
      <c r="Y53" s="530">
        <f>X52</f>
        <v>0</v>
      </c>
      <c r="Z53" s="530"/>
      <c r="AA53" s="530"/>
      <c r="AB53" s="530"/>
    </row>
    <row r="54" spans="1:28">
      <c r="A54" s="524" t="s">
        <v>1280</v>
      </c>
      <c r="B54" s="524"/>
      <c r="C54" s="524"/>
      <c r="D54" s="524"/>
      <c r="E54" s="524"/>
      <c r="F54" s="524"/>
      <c r="G54" s="524"/>
      <c r="H54" s="524"/>
      <c r="K54" s="524" t="s">
        <v>1280</v>
      </c>
      <c r="L54" s="524"/>
      <c r="M54" s="524"/>
      <c r="N54" s="524"/>
      <c r="O54" s="524"/>
      <c r="P54" s="524"/>
      <c r="Q54" s="524"/>
      <c r="R54" s="524"/>
      <c r="U54" s="524" t="s">
        <v>1280</v>
      </c>
      <c r="V54" s="524"/>
      <c r="W54" s="524"/>
      <c r="X54" s="524"/>
      <c r="Y54" s="524"/>
      <c r="Z54" s="524"/>
      <c r="AA54" s="524"/>
      <c r="AB54" s="524"/>
    </row>
    <row r="55" spans="1:28">
      <c r="A55" s="12"/>
      <c r="B55" s="23" t="s">
        <v>1267</v>
      </c>
      <c r="C55" s="23" t="s">
        <v>1268</v>
      </c>
      <c r="D55" s="23">
        <v>1000000</v>
      </c>
      <c r="E55" s="389"/>
      <c r="F55" s="389"/>
      <c r="G55" s="389"/>
      <c r="H55" s="389"/>
      <c r="K55" s="12"/>
      <c r="L55" s="23" t="s">
        <v>1267</v>
      </c>
      <c r="M55" s="23" t="s">
        <v>1268</v>
      </c>
      <c r="N55" s="23"/>
      <c r="O55" s="394"/>
      <c r="P55" s="394"/>
      <c r="Q55" s="394"/>
      <c r="R55" s="394"/>
      <c r="U55" s="12"/>
      <c r="V55" s="23" t="s">
        <v>1267</v>
      </c>
      <c r="W55" s="23" t="s">
        <v>1268</v>
      </c>
      <c r="X55" s="23">
        <v>1000000</v>
      </c>
      <c r="Y55" s="398"/>
      <c r="Z55" s="398"/>
      <c r="AA55" s="398"/>
      <c r="AB55" s="398"/>
    </row>
    <row r="56" spans="1:28">
      <c r="A56" s="12"/>
      <c r="B56" s="23" t="s">
        <v>1269</v>
      </c>
      <c r="C56" s="22" t="s">
        <v>1270</v>
      </c>
      <c r="D56" s="22">
        <v>750000</v>
      </c>
      <c r="E56" s="389"/>
      <c r="F56" s="389"/>
      <c r="G56" s="389"/>
      <c r="H56" s="389"/>
      <c r="K56" s="12"/>
      <c r="L56" s="23" t="s">
        <v>1269</v>
      </c>
      <c r="M56" s="22" t="s">
        <v>1270</v>
      </c>
      <c r="N56" s="22"/>
      <c r="O56" s="394"/>
      <c r="P56" s="394"/>
      <c r="Q56" s="394"/>
      <c r="R56" s="394"/>
      <c r="U56" s="12"/>
      <c r="V56" s="23" t="s">
        <v>1269</v>
      </c>
      <c r="W56" s="22" t="s">
        <v>1270</v>
      </c>
      <c r="X56" s="22">
        <v>750000</v>
      </c>
      <c r="Y56" s="398"/>
      <c r="Z56" s="398"/>
      <c r="AA56" s="398"/>
      <c r="AB56" s="398"/>
    </row>
    <row r="57" spans="1:28">
      <c r="A57" s="12"/>
      <c r="B57" s="23" t="s">
        <v>1271</v>
      </c>
      <c r="C57" s="22" t="s">
        <v>1272</v>
      </c>
      <c r="D57" s="22">
        <v>6000000</v>
      </c>
      <c r="E57" s="389"/>
      <c r="F57" s="389"/>
      <c r="G57" s="389"/>
      <c r="H57" s="389"/>
      <c r="K57" s="12"/>
      <c r="L57" s="23" t="s">
        <v>1271</v>
      </c>
      <c r="M57" s="22" t="s">
        <v>1272</v>
      </c>
      <c r="N57" s="22">
        <v>5000000</v>
      </c>
      <c r="O57" s="394"/>
      <c r="P57" s="394"/>
      <c r="Q57" s="394"/>
      <c r="R57" s="394"/>
      <c r="U57" s="12"/>
      <c r="V57" s="23"/>
      <c r="W57" s="22"/>
      <c r="X57" s="22"/>
      <c r="Y57" s="398"/>
      <c r="Z57" s="398"/>
      <c r="AA57" s="398"/>
      <c r="AB57" s="398"/>
    </row>
    <row r="58" spans="1:28">
      <c r="A58" s="12"/>
      <c r="B58" s="23" t="s">
        <v>1273</v>
      </c>
      <c r="C58" s="22" t="s">
        <v>1274</v>
      </c>
      <c r="D58" s="22">
        <v>5460000</v>
      </c>
      <c r="E58" s="389"/>
      <c r="F58" s="389"/>
      <c r="G58" s="389"/>
      <c r="H58" s="389"/>
      <c r="K58" s="12"/>
      <c r="L58" s="23" t="s">
        <v>1273</v>
      </c>
      <c r="M58" s="22" t="s">
        <v>1274</v>
      </c>
      <c r="N58" s="22"/>
      <c r="O58" s="394"/>
      <c r="P58" s="394"/>
      <c r="Q58" s="394"/>
      <c r="R58" s="394"/>
      <c r="U58" s="12"/>
      <c r="V58" s="23"/>
      <c r="W58" s="22"/>
      <c r="X58" s="22"/>
      <c r="Y58" s="398"/>
      <c r="Z58" s="398"/>
      <c r="AA58" s="398"/>
      <c r="AB58" s="398"/>
    </row>
    <row r="59" spans="1:28">
      <c r="A59" s="12"/>
      <c r="B59" s="23" t="s">
        <v>1273</v>
      </c>
      <c r="C59" s="22" t="s">
        <v>1275</v>
      </c>
      <c r="D59" s="22">
        <v>75000000</v>
      </c>
      <c r="E59" s="389"/>
      <c r="F59" s="389"/>
      <c r="G59" s="389"/>
      <c r="H59" s="389"/>
      <c r="K59" s="12"/>
      <c r="L59" s="23" t="s">
        <v>1273</v>
      </c>
      <c r="M59" s="22" t="s">
        <v>1275</v>
      </c>
      <c r="N59" s="22"/>
      <c r="O59" s="394"/>
      <c r="P59" s="394"/>
      <c r="Q59" s="394"/>
      <c r="R59" s="394"/>
      <c r="U59" s="12"/>
      <c r="V59" s="23" t="s">
        <v>1273</v>
      </c>
      <c r="W59" s="22" t="s">
        <v>1275</v>
      </c>
      <c r="X59" s="22">
        <v>25000000</v>
      </c>
      <c r="Y59" s="398"/>
      <c r="Z59" s="398"/>
      <c r="AA59" s="398"/>
      <c r="AB59" s="398"/>
    </row>
    <row r="60" spans="1:28">
      <c r="A60" s="12"/>
      <c r="B60" s="23" t="s">
        <v>1273</v>
      </c>
      <c r="C60" s="22" t="s">
        <v>1276</v>
      </c>
      <c r="D60" s="22">
        <v>25000000</v>
      </c>
      <c r="E60" s="389"/>
      <c r="F60" s="389"/>
      <c r="G60" s="389"/>
      <c r="H60" s="389"/>
      <c r="K60" s="12"/>
      <c r="L60" s="23" t="s">
        <v>1273</v>
      </c>
      <c r="M60" s="22" t="s">
        <v>1276</v>
      </c>
      <c r="N60" s="22">
        <v>5000000</v>
      </c>
      <c r="O60" s="394"/>
      <c r="P60" s="394"/>
      <c r="Q60" s="394"/>
      <c r="R60" s="394"/>
      <c r="U60" s="12"/>
      <c r="V60" s="23"/>
      <c r="W60" s="22"/>
      <c r="X60" s="22"/>
      <c r="Y60" s="398"/>
      <c r="Z60" s="398"/>
      <c r="AA60" s="398"/>
      <c r="AB60" s="398"/>
    </row>
    <row r="61" spans="1:28">
      <c r="A61" s="12"/>
      <c r="B61" s="23" t="s">
        <v>1273</v>
      </c>
      <c r="C61" s="22" t="s">
        <v>1120</v>
      </c>
      <c r="D61" s="22">
        <v>1540000</v>
      </c>
      <c r="E61" s="389"/>
      <c r="F61" s="389"/>
      <c r="G61" s="389"/>
      <c r="H61" s="389"/>
      <c r="K61" s="12"/>
      <c r="L61" s="23" t="s">
        <v>1273</v>
      </c>
      <c r="M61" s="22" t="s">
        <v>1120</v>
      </c>
      <c r="N61" s="22">
        <v>1540000</v>
      </c>
      <c r="O61" s="394"/>
      <c r="P61" s="394"/>
      <c r="Q61" s="394"/>
      <c r="R61" s="394"/>
      <c r="U61" s="12"/>
      <c r="V61" s="23"/>
      <c r="W61" s="22"/>
      <c r="X61" s="22"/>
      <c r="Y61" s="398"/>
      <c r="Z61" s="398"/>
      <c r="AA61" s="398"/>
      <c r="AB61" s="398"/>
    </row>
    <row r="62" spans="1:28">
      <c r="A62" s="12"/>
      <c r="B62" s="23" t="s">
        <v>1273</v>
      </c>
      <c r="C62" s="22" t="s">
        <v>1121</v>
      </c>
      <c r="D62" s="22">
        <v>150000</v>
      </c>
      <c r="E62" s="389"/>
      <c r="F62" s="389"/>
      <c r="G62" s="389"/>
      <c r="H62" s="389"/>
      <c r="K62" s="12"/>
      <c r="L62" s="23" t="s">
        <v>1273</v>
      </c>
      <c r="M62" s="22" t="s">
        <v>1121</v>
      </c>
      <c r="N62" s="22">
        <v>150000</v>
      </c>
      <c r="O62" s="394"/>
      <c r="P62" s="394"/>
      <c r="Q62" s="394"/>
      <c r="R62" s="394"/>
      <c r="U62" s="12"/>
      <c r="V62" s="23"/>
      <c r="W62" s="22"/>
      <c r="X62" s="22"/>
      <c r="Y62" s="398"/>
      <c r="Z62" s="398"/>
      <c r="AA62" s="398"/>
      <c r="AB62" s="398"/>
    </row>
    <row r="63" spans="1:28">
      <c r="A63" s="12"/>
      <c r="B63" s="23" t="s">
        <v>1273</v>
      </c>
      <c r="C63" s="23" t="s">
        <v>1277</v>
      </c>
      <c r="D63" s="23">
        <v>301000</v>
      </c>
      <c r="E63" s="389"/>
      <c r="F63" s="389"/>
      <c r="G63" s="389"/>
      <c r="H63" s="389"/>
      <c r="K63" s="12"/>
      <c r="L63" s="23" t="s">
        <v>1273</v>
      </c>
      <c r="M63" s="23" t="s">
        <v>1277</v>
      </c>
      <c r="N63" s="23"/>
      <c r="O63" s="394"/>
      <c r="P63" s="394"/>
      <c r="Q63" s="394"/>
      <c r="R63" s="394"/>
      <c r="U63" s="12"/>
      <c r="V63" s="23"/>
      <c r="W63" s="23"/>
      <c r="X63" s="23"/>
      <c r="Y63" s="398"/>
      <c r="Z63" s="398"/>
      <c r="AA63" s="398"/>
      <c r="AB63" s="398"/>
    </row>
    <row r="64" spans="1:28">
      <c r="A64" s="12"/>
      <c r="B64" s="23" t="s">
        <v>1273</v>
      </c>
      <c r="C64" s="23" t="s">
        <v>1279</v>
      </c>
      <c r="D64" s="23">
        <v>300000</v>
      </c>
      <c r="E64" s="389"/>
      <c r="F64" s="389"/>
      <c r="G64" s="389"/>
      <c r="H64" s="389"/>
      <c r="K64" s="12"/>
      <c r="L64" s="23" t="s">
        <v>1273</v>
      </c>
      <c r="M64" s="23" t="s">
        <v>1279</v>
      </c>
      <c r="N64" s="23"/>
      <c r="O64" s="394"/>
      <c r="P64" s="394"/>
      <c r="Q64" s="394"/>
      <c r="R64" s="394"/>
      <c r="U64" s="12"/>
      <c r="V64" s="23"/>
      <c r="W64" s="23"/>
      <c r="X64" s="23"/>
      <c r="Y64" s="398"/>
      <c r="Z64" s="398"/>
      <c r="AA64" s="398"/>
      <c r="AB64" s="398"/>
    </row>
    <row r="65" spans="1:28">
      <c r="A65" s="12"/>
      <c r="B65" s="23" t="s">
        <v>1273</v>
      </c>
      <c r="C65" s="23" t="s">
        <v>1278</v>
      </c>
      <c r="D65" s="23">
        <v>4800000</v>
      </c>
      <c r="E65" s="389"/>
      <c r="F65" s="389"/>
      <c r="G65" s="389"/>
      <c r="H65" s="389"/>
      <c r="K65" s="12"/>
      <c r="L65" s="23" t="s">
        <v>1273</v>
      </c>
      <c r="M65" s="23" t="s">
        <v>1278</v>
      </c>
      <c r="N65" s="23"/>
      <c r="O65" s="394"/>
      <c r="P65" s="394"/>
      <c r="Q65" s="394"/>
      <c r="R65" s="394"/>
      <c r="U65" s="12"/>
      <c r="V65" s="23"/>
      <c r="W65" s="23"/>
      <c r="X65" s="23"/>
      <c r="Y65" s="398"/>
      <c r="Z65" s="398"/>
      <c r="AA65" s="398"/>
      <c r="AB65" s="398"/>
    </row>
    <row r="66" spans="1:28">
      <c r="A66" s="12"/>
      <c r="B66" s="23" t="s">
        <v>1281</v>
      </c>
      <c r="C66" s="23" t="s">
        <v>1282</v>
      </c>
      <c r="D66" s="23">
        <v>50000000</v>
      </c>
      <c r="E66" s="389"/>
      <c r="F66" s="389"/>
      <c r="G66" s="389"/>
      <c r="H66" s="389"/>
      <c r="K66" s="12"/>
      <c r="L66" s="23" t="s">
        <v>1281</v>
      </c>
      <c r="M66" s="23" t="s">
        <v>1282</v>
      </c>
      <c r="N66" s="23"/>
      <c r="O66" s="394"/>
      <c r="P66" s="394"/>
      <c r="Q66" s="394"/>
      <c r="R66" s="394"/>
      <c r="U66" s="12"/>
      <c r="V66" s="23"/>
      <c r="W66" s="23"/>
      <c r="X66" s="23"/>
      <c r="Y66" s="398"/>
      <c r="Z66" s="398"/>
      <c r="AA66" s="398"/>
      <c r="AB66" s="398"/>
    </row>
    <row r="67" spans="1:28">
      <c r="A67" s="12"/>
      <c r="B67" s="23" t="s">
        <v>1281</v>
      </c>
      <c r="C67" s="23" t="s">
        <v>1283</v>
      </c>
      <c r="D67" s="23">
        <v>10000000</v>
      </c>
      <c r="E67" s="389"/>
      <c r="F67" s="389"/>
      <c r="G67" s="389"/>
      <c r="H67" s="389"/>
      <c r="K67" s="12"/>
      <c r="L67" s="23" t="s">
        <v>1281</v>
      </c>
      <c r="M67" s="23" t="s">
        <v>1283</v>
      </c>
      <c r="N67" s="23"/>
      <c r="O67" s="394"/>
      <c r="P67" s="394"/>
      <c r="Q67" s="394"/>
      <c r="R67" s="394"/>
      <c r="U67" s="12"/>
      <c r="V67" s="23"/>
      <c r="W67" s="23"/>
      <c r="X67" s="23"/>
      <c r="Y67" s="398"/>
      <c r="Z67" s="398"/>
      <c r="AA67" s="398"/>
      <c r="AB67" s="398"/>
    </row>
    <row r="68" spans="1:28">
      <c r="A68" s="12"/>
      <c r="B68" s="23" t="s">
        <v>1281</v>
      </c>
      <c r="C68" s="23" t="s">
        <v>1284</v>
      </c>
      <c r="D68" s="23">
        <v>10000000</v>
      </c>
      <c r="E68" s="389"/>
      <c r="F68" s="389"/>
      <c r="G68" s="389"/>
      <c r="H68" s="389"/>
      <c r="K68" s="12"/>
      <c r="L68" s="23" t="s">
        <v>1281</v>
      </c>
      <c r="M68" s="23" t="s">
        <v>1284</v>
      </c>
      <c r="N68" s="23"/>
      <c r="O68" s="394"/>
      <c r="P68" s="394"/>
      <c r="Q68" s="394"/>
      <c r="R68" s="394"/>
      <c r="U68" s="12"/>
      <c r="V68" s="23" t="s">
        <v>1281</v>
      </c>
      <c r="W68" s="23" t="s">
        <v>1284</v>
      </c>
      <c r="X68" s="23">
        <v>15000000</v>
      </c>
      <c r="Y68" s="398"/>
      <c r="Z68" s="398"/>
      <c r="AA68" s="398"/>
      <c r="AB68" s="398"/>
    </row>
    <row r="69" spans="1:28">
      <c r="A69" s="12"/>
      <c r="B69" s="23" t="s">
        <v>1285</v>
      </c>
      <c r="C69" s="23" t="s">
        <v>1286</v>
      </c>
      <c r="D69" s="23">
        <v>1300000</v>
      </c>
      <c r="E69" s="389"/>
      <c r="F69" s="389"/>
      <c r="G69" s="389"/>
      <c r="H69" s="389"/>
      <c r="K69" s="12"/>
      <c r="L69" s="23" t="s">
        <v>1285</v>
      </c>
      <c r="M69" s="23" t="s">
        <v>1286</v>
      </c>
      <c r="N69" s="23"/>
      <c r="O69" s="394"/>
      <c r="P69" s="394"/>
      <c r="Q69" s="394"/>
      <c r="R69" s="394"/>
      <c r="U69" s="12"/>
      <c r="V69" s="23"/>
      <c r="W69" s="23"/>
      <c r="X69" s="23"/>
      <c r="Y69" s="398"/>
      <c r="Z69" s="398"/>
      <c r="AA69" s="398"/>
      <c r="AB69" s="398"/>
    </row>
    <row r="70" spans="1:28">
      <c r="A70" s="12"/>
      <c r="B70" s="23" t="s">
        <v>1285</v>
      </c>
      <c r="C70" s="22" t="s">
        <v>1244</v>
      </c>
      <c r="D70" s="22">
        <v>14319000</v>
      </c>
      <c r="E70" s="389"/>
      <c r="F70" s="389"/>
      <c r="G70" s="389"/>
      <c r="H70" s="389"/>
      <c r="K70" s="12"/>
      <c r="L70" s="23" t="s">
        <v>1285</v>
      </c>
      <c r="M70" s="22" t="s">
        <v>1244</v>
      </c>
      <c r="N70" s="22"/>
      <c r="O70" s="394"/>
      <c r="P70" s="394"/>
      <c r="Q70" s="394"/>
      <c r="R70" s="394"/>
      <c r="U70" s="12"/>
      <c r="V70" s="23"/>
      <c r="W70" s="22"/>
      <c r="X70" s="22"/>
      <c r="Y70" s="398"/>
      <c r="Z70" s="398"/>
      <c r="AA70" s="398"/>
      <c r="AB70" s="398"/>
    </row>
    <row r="71" spans="1:28">
      <c r="A71" s="12"/>
      <c r="B71" s="23"/>
      <c r="C71" s="22"/>
      <c r="D71" s="22"/>
      <c r="E71" s="389"/>
      <c r="F71" s="389"/>
      <c r="G71" s="389"/>
      <c r="H71" s="389"/>
      <c r="K71" s="12"/>
      <c r="L71" s="23"/>
      <c r="M71" s="22"/>
      <c r="N71" s="22"/>
      <c r="O71" s="394"/>
      <c r="P71" s="394"/>
      <c r="Q71" s="394"/>
      <c r="R71" s="394"/>
      <c r="U71" s="12"/>
      <c r="V71" s="23"/>
      <c r="W71" s="22"/>
      <c r="X71" s="22"/>
      <c r="Y71" s="398"/>
      <c r="Z71" s="398"/>
      <c r="AA71" s="398"/>
      <c r="AB71" s="398"/>
    </row>
    <row r="72" spans="1:28">
      <c r="A72" s="12"/>
      <c r="B72" s="23"/>
      <c r="C72" s="22"/>
      <c r="D72" s="22"/>
      <c r="E72" s="389"/>
      <c r="F72" s="389"/>
      <c r="G72" s="389"/>
      <c r="H72" s="389"/>
      <c r="K72" s="12"/>
      <c r="L72" s="23"/>
      <c r="M72" s="22"/>
      <c r="N72" s="22"/>
      <c r="O72" s="394"/>
      <c r="P72" s="394"/>
      <c r="Q72" s="394"/>
      <c r="R72" s="394"/>
      <c r="U72" s="12"/>
      <c r="V72" s="23"/>
      <c r="W72" s="22"/>
      <c r="X72" s="22"/>
      <c r="Y72" s="398"/>
      <c r="Z72" s="398"/>
      <c r="AA72" s="398"/>
      <c r="AB72" s="398"/>
    </row>
    <row r="73" spans="1:28">
      <c r="A73" s="12"/>
      <c r="B73" s="13"/>
      <c r="C73" s="26" t="s">
        <v>55</v>
      </c>
      <c r="D73" s="27">
        <f>SUM(D55:D72)</f>
        <v>205920000</v>
      </c>
      <c r="E73" s="27">
        <v>0</v>
      </c>
      <c r="F73" s="27">
        <v>0</v>
      </c>
      <c r="G73" s="27"/>
      <c r="H73" s="27"/>
      <c r="K73" s="12"/>
      <c r="L73" s="13"/>
      <c r="M73" s="26" t="s">
        <v>55</v>
      </c>
      <c r="N73" s="27">
        <f>SUM(N55:N72)</f>
        <v>11690000</v>
      </c>
      <c r="O73" s="27">
        <v>0</v>
      </c>
      <c r="P73" s="27">
        <v>0</v>
      </c>
      <c r="Q73" s="27"/>
      <c r="R73" s="27"/>
      <c r="U73" s="12"/>
      <c r="V73" s="13"/>
      <c r="W73" s="26" t="s">
        <v>55</v>
      </c>
      <c r="X73" s="27">
        <f>SUM(X55:X72)</f>
        <v>41750000</v>
      </c>
      <c r="Y73" s="27">
        <v>0</v>
      </c>
      <c r="Z73" s="27">
        <v>0</v>
      </c>
      <c r="AA73" s="27"/>
      <c r="AB73" s="27"/>
    </row>
    <row r="74" spans="1:28">
      <c r="A74" s="20"/>
      <c r="B74" s="19"/>
      <c r="C74" s="389" t="s">
        <v>21</v>
      </c>
      <c r="D74" s="10"/>
      <c r="E74" s="530">
        <f>D73</f>
        <v>205920000</v>
      </c>
      <c r="F74" s="530"/>
      <c r="G74" s="530"/>
      <c r="H74" s="530"/>
      <c r="K74" s="20"/>
      <c r="L74" s="19"/>
      <c r="M74" s="394" t="s">
        <v>21</v>
      </c>
      <c r="N74" s="10"/>
      <c r="O74" s="530">
        <f>N73</f>
        <v>11690000</v>
      </c>
      <c r="P74" s="530"/>
      <c r="Q74" s="530"/>
      <c r="R74" s="530"/>
      <c r="U74" s="20"/>
      <c r="V74" s="19"/>
      <c r="W74" s="398" t="s">
        <v>21</v>
      </c>
      <c r="X74" s="10"/>
      <c r="Y74" s="530">
        <f>X73</f>
        <v>41750000</v>
      </c>
      <c r="Z74" s="530"/>
      <c r="AA74" s="530"/>
      <c r="AB74" s="530"/>
    </row>
    <row r="75" spans="1:28">
      <c r="A75" s="524" t="s">
        <v>1047</v>
      </c>
      <c r="B75" s="524"/>
      <c r="C75" s="524"/>
      <c r="D75" s="524"/>
      <c r="E75" s="524"/>
      <c r="F75" s="524"/>
      <c r="G75" s="524"/>
      <c r="H75" s="524"/>
      <c r="K75" s="524" t="s">
        <v>1047</v>
      </c>
      <c r="L75" s="524"/>
      <c r="M75" s="524"/>
      <c r="N75" s="524"/>
      <c r="O75" s="524"/>
      <c r="P75" s="524"/>
      <c r="Q75" s="524"/>
      <c r="R75" s="524"/>
      <c r="U75" s="524" t="s">
        <v>1047</v>
      </c>
      <c r="V75" s="524"/>
      <c r="W75" s="524"/>
      <c r="X75" s="524"/>
      <c r="Y75" s="524"/>
      <c r="Z75" s="524"/>
      <c r="AA75" s="524"/>
      <c r="AB75" s="524"/>
    </row>
    <row r="76" spans="1:28">
      <c r="A76" s="28"/>
      <c r="B76" s="19" t="s">
        <v>1287</v>
      </c>
      <c r="C76" s="23" t="s">
        <v>1288</v>
      </c>
      <c r="D76" s="23">
        <v>500000</v>
      </c>
      <c r="E76" s="28"/>
      <c r="F76" s="28"/>
      <c r="G76" s="28"/>
      <c r="H76" s="28"/>
      <c r="K76" s="28"/>
      <c r="L76" s="19" t="s">
        <v>1287</v>
      </c>
      <c r="M76" s="23" t="s">
        <v>1288</v>
      </c>
      <c r="N76" s="23"/>
      <c r="O76" s="28"/>
      <c r="P76" s="28"/>
      <c r="Q76" s="28"/>
      <c r="R76" s="28"/>
      <c r="U76" s="28"/>
      <c r="V76" s="19"/>
      <c r="W76" s="23"/>
      <c r="X76" s="23"/>
      <c r="Y76" s="28"/>
      <c r="Z76" s="28"/>
      <c r="AA76" s="28"/>
      <c r="AB76" s="28"/>
    </row>
    <row r="77" spans="1:28">
      <c r="A77" s="28"/>
      <c r="B77" s="19" t="s">
        <v>1287</v>
      </c>
      <c r="C77" s="23" t="s">
        <v>1289</v>
      </c>
      <c r="D77" s="23">
        <v>1000000</v>
      </c>
      <c r="E77" s="28"/>
      <c r="F77" s="28"/>
      <c r="G77" s="28"/>
      <c r="H77" s="28"/>
      <c r="K77" s="28"/>
      <c r="L77" s="19" t="s">
        <v>1287</v>
      </c>
      <c r="M77" s="23" t="s">
        <v>1289</v>
      </c>
      <c r="N77" s="23"/>
      <c r="O77" s="28"/>
      <c r="P77" s="28"/>
      <c r="Q77" s="28"/>
      <c r="R77" s="28"/>
      <c r="U77" s="28"/>
      <c r="V77" s="19" t="s">
        <v>1287</v>
      </c>
      <c r="W77" s="23" t="s">
        <v>1289</v>
      </c>
      <c r="X77" s="23">
        <v>1000000</v>
      </c>
      <c r="Y77" s="28"/>
      <c r="Z77" s="28"/>
      <c r="AA77" s="28"/>
      <c r="AB77" s="28"/>
    </row>
    <row r="78" spans="1:28">
      <c r="A78" s="28"/>
      <c r="B78" s="19" t="s">
        <v>1290</v>
      </c>
      <c r="C78" s="23" t="s">
        <v>1291</v>
      </c>
      <c r="D78" s="23">
        <v>8445000</v>
      </c>
      <c r="E78" s="28"/>
      <c r="F78" s="28"/>
      <c r="G78" s="28"/>
      <c r="H78" s="28"/>
      <c r="K78" s="28"/>
      <c r="L78" s="19" t="s">
        <v>1290</v>
      </c>
      <c r="M78" s="23" t="s">
        <v>1291</v>
      </c>
      <c r="N78" s="23">
        <v>8445000</v>
      </c>
      <c r="O78" s="28"/>
      <c r="P78" s="28"/>
      <c r="Q78" s="28"/>
      <c r="R78" s="28"/>
      <c r="U78" s="28"/>
      <c r="V78" s="19"/>
      <c r="W78" s="23"/>
      <c r="X78" s="23"/>
      <c r="Y78" s="28"/>
      <c r="Z78" s="28"/>
      <c r="AA78" s="28"/>
      <c r="AB78" s="28"/>
    </row>
    <row r="79" spans="1:28">
      <c r="A79" s="28"/>
      <c r="B79" s="19" t="s">
        <v>1290</v>
      </c>
      <c r="C79" s="23" t="s">
        <v>1175</v>
      </c>
      <c r="D79" s="23">
        <v>30000</v>
      </c>
      <c r="E79" s="28"/>
      <c r="F79" s="28"/>
      <c r="G79" s="28"/>
      <c r="H79" s="28"/>
      <c r="K79" s="28"/>
      <c r="L79" s="19" t="s">
        <v>1290</v>
      </c>
      <c r="M79" s="23" t="s">
        <v>1175</v>
      </c>
      <c r="N79" s="23">
        <v>30000</v>
      </c>
      <c r="O79" s="28"/>
      <c r="P79" s="28"/>
      <c r="Q79" s="28"/>
      <c r="R79" s="28"/>
      <c r="U79" s="28"/>
      <c r="V79" s="19"/>
      <c r="W79" s="23"/>
      <c r="X79" s="23"/>
      <c r="Y79" s="28"/>
      <c r="Z79" s="28"/>
      <c r="AA79" s="28"/>
      <c r="AB79" s="28"/>
    </row>
    <row r="80" spans="1:28">
      <c r="A80" s="28"/>
      <c r="B80" s="19" t="s">
        <v>1290</v>
      </c>
      <c r="C80" s="23" t="s">
        <v>1127</v>
      </c>
      <c r="D80" s="23">
        <v>300000</v>
      </c>
      <c r="E80" s="28"/>
      <c r="F80" s="28"/>
      <c r="G80" s="28"/>
      <c r="H80" s="28"/>
      <c r="K80" s="28"/>
      <c r="L80" s="19" t="s">
        <v>1290</v>
      </c>
      <c r="M80" s="23" t="s">
        <v>1127</v>
      </c>
      <c r="N80" s="23">
        <v>300000</v>
      </c>
      <c r="O80" s="28"/>
      <c r="P80" s="28"/>
      <c r="Q80" s="28"/>
      <c r="R80" s="28"/>
      <c r="U80" s="28"/>
      <c r="V80" s="19"/>
      <c r="W80" s="23"/>
      <c r="X80" s="23"/>
      <c r="Y80" s="28"/>
      <c r="Z80" s="28"/>
      <c r="AA80" s="28"/>
      <c r="AB80" s="28"/>
    </row>
    <row r="81" spans="1:28" hidden="1">
      <c r="A81" s="28"/>
      <c r="B81" s="19"/>
      <c r="C81" s="23"/>
      <c r="D81" s="23"/>
      <c r="E81" s="28"/>
      <c r="F81" s="28"/>
      <c r="G81" s="28"/>
      <c r="H81" s="28"/>
      <c r="K81" s="28"/>
      <c r="L81" s="19"/>
      <c r="M81" s="23"/>
      <c r="N81" s="23"/>
      <c r="O81" s="28"/>
      <c r="P81" s="28"/>
      <c r="Q81" s="28"/>
      <c r="R81" s="28"/>
      <c r="U81" s="28"/>
      <c r="V81" s="19"/>
      <c r="W81" s="23"/>
      <c r="X81" s="23"/>
      <c r="Y81" s="28"/>
      <c r="Z81" s="28"/>
      <c r="AA81" s="28"/>
      <c r="AB81" s="28"/>
    </row>
    <row r="82" spans="1:28" hidden="1">
      <c r="A82" s="12"/>
      <c r="B82" s="19"/>
      <c r="C82" s="24"/>
      <c r="D82" s="23"/>
      <c r="E82" s="389"/>
      <c r="F82" s="389"/>
      <c r="G82" s="389"/>
      <c r="H82" s="389"/>
      <c r="K82" s="12"/>
      <c r="L82" s="19"/>
      <c r="M82" s="24"/>
      <c r="N82" s="23"/>
      <c r="O82" s="394"/>
      <c r="P82" s="394"/>
      <c r="Q82" s="394"/>
      <c r="R82" s="394"/>
      <c r="U82" s="12"/>
      <c r="V82" s="19"/>
      <c r="W82" s="24"/>
      <c r="X82" s="23"/>
      <c r="Y82" s="398"/>
      <c r="Z82" s="398"/>
      <c r="AA82" s="398"/>
      <c r="AB82" s="398"/>
    </row>
    <row r="83" spans="1:28">
      <c r="A83" s="12"/>
      <c r="B83" s="13"/>
      <c r="C83" s="26" t="s">
        <v>848</v>
      </c>
      <c r="D83" s="27">
        <f>SUM(D76:D82)</f>
        <v>10275000</v>
      </c>
      <c r="E83" s="27">
        <v>0</v>
      </c>
      <c r="F83" s="27">
        <v>0</v>
      </c>
      <c r="G83" s="27"/>
      <c r="H83" s="27"/>
      <c r="K83" s="12"/>
      <c r="L83" s="13"/>
      <c r="M83" s="26" t="s">
        <v>848</v>
      </c>
      <c r="N83" s="27">
        <f>SUM(N76:N82)</f>
        <v>8775000</v>
      </c>
      <c r="O83" s="27">
        <v>0</v>
      </c>
      <c r="P83" s="27">
        <v>0</v>
      </c>
      <c r="Q83" s="27"/>
      <c r="R83" s="27"/>
      <c r="U83" s="12"/>
      <c r="V83" s="13"/>
      <c r="W83" s="26" t="s">
        <v>848</v>
      </c>
      <c r="X83" s="27">
        <f>SUM(X76:X82)</f>
        <v>1000000</v>
      </c>
      <c r="Y83" s="27">
        <v>0</v>
      </c>
      <c r="Z83" s="27">
        <v>0</v>
      </c>
      <c r="AA83" s="27"/>
      <c r="AB83" s="27"/>
    </row>
    <row r="84" spans="1:28">
      <c r="A84" s="20"/>
      <c r="B84" s="19"/>
      <c r="C84" s="389" t="s">
        <v>21</v>
      </c>
      <c r="D84" s="10"/>
      <c r="E84" s="530">
        <f>D83</f>
        <v>10275000</v>
      </c>
      <c r="F84" s="530"/>
      <c r="G84" s="530"/>
      <c r="H84" s="530"/>
      <c r="K84" s="20"/>
      <c r="L84" s="19"/>
      <c r="M84" s="394" t="s">
        <v>21</v>
      </c>
      <c r="N84" s="10"/>
      <c r="O84" s="530">
        <f>N83</f>
        <v>8775000</v>
      </c>
      <c r="P84" s="530"/>
      <c r="Q84" s="530"/>
      <c r="R84" s="530"/>
      <c r="U84" s="20"/>
      <c r="V84" s="19"/>
      <c r="W84" s="398" t="s">
        <v>21</v>
      </c>
      <c r="X84" s="10"/>
      <c r="Y84" s="530">
        <f>X83</f>
        <v>1000000</v>
      </c>
      <c r="Z84" s="530"/>
      <c r="AA84" s="530"/>
      <c r="AB84" s="530"/>
    </row>
    <row r="85" spans="1:28">
      <c r="A85" s="527" t="s">
        <v>26</v>
      </c>
      <c r="B85" s="528"/>
      <c r="C85" s="528"/>
      <c r="D85" s="528"/>
      <c r="E85" s="528"/>
      <c r="F85" s="528"/>
      <c r="G85" s="528"/>
      <c r="H85" s="529"/>
      <c r="K85" s="527" t="s">
        <v>26</v>
      </c>
      <c r="L85" s="528"/>
      <c r="M85" s="528"/>
      <c r="N85" s="528"/>
      <c r="O85" s="528"/>
      <c r="P85" s="528"/>
      <c r="Q85" s="528"/>
      <c r="R85" s="529"/>
      <c r="U85" s="527" t="s">
        <v>26</v>
      </c>
      <c r="V85" s="528"/>
      <c r="W85" s="528"/>
      <c r="X85" s="528"/>
      <c r="Y85" s="528"/>
      <c r="Z85" s="528"/>
      <c r="AA85" s="528"/>
      <c r="AB85" s="529"/>
    </row>
    <row r="86" spans="1:28">
      <c r="A86" s="12"/>
      <c r="B86" s="23" t="s">
        <v>1238</v>
      </c>
      <c r="C86" s="24" t="s">
        <v>1239</v>
      </c>
      <c r="D86" s="23">
        <v>2310000</v>
      </c>
      <c r="E86" s="23"/>
      <c r="F86" s="22"/>
      <c r="G86" s="16"/>
      <c r="H86" s="280"/>
      <c r="K86" s="12"/>
      <c r="L86" s="23" t="s">
        <v>1238</v>
      </c>
      <c r="M86" s="24" t="s">
        <v>1239</v>
      </c>
      <c r="N86" s="23"/>
      <c r="O86" s="23"/>
      <c r="P86" s="22"/>
      <c r="Q86" s="16"/>
      <c r="R86" s="280"/>
      <c r="U86" s="12"/>
      <c r="V86" s="23" t="s">
        <v>1238</v>
      </c>
      <c r="W86" s="24" t="s">
        <v>1239</v>
      </c>
      <c r="X86" s="23">
        <v>2310000</v>
      </c>
      <c r="Y86" s="23"/>
      <c r="Z86" s="22"/>
      <c r="AA86" s="16"/>
      <c r="AB86" s="280"/>
    </row>
    <row r="87" spans="1:28">
      <c r="A87" s="12"/>
      <c r="B87" s="23" t="s">
        <v>1240</v>
      </c>
      <c r="C87" s="24" t="s">
        <v>1241</v>
      </c>
      <c r="D87" s="23">
        <v>1900000</v>
      </c>
      <c r="E87" s="22"/>
      <c r="F87" s="22"/>
      <c r="G87" s="16"/>
      <c r="H87" s="16"/>
      <c r="K87" s="12"/>
      <c r="L87" s="23" t="s">
        <v>1240</v>
      </c>
      <c r="M87" s="24" t="s">
        <v>1241</v>
      </c>
      <c r="N87" s="23"/>
      <c r="O87" s="22"/>
      <c r="P87" s="22"/>
      <c r="Q87" s="16"/>
      <c r="R87" s="16"/>
      <c r="U87" s="12"/>
      <c r="V87" s="23" t="s">
        <v>1240</v>
      </c>
      <c r="W87" s="24" t="s">
        <v>1241</v>
      </c>
      <c r="X87" s="23">
        <v>1900000</v>
      </c>
      <c r="Y87" s="22"/>
      <c r="Z87" s="22"/>
      <c r="AA87" s="16"/>
      <c r="AB87" s="16"/>
    </row>
    <row r="88" spans="1:28">
      <c r="A88" s="12"/>
      <c r="B88" s="23" t="s">
        <v>1295</v>
      </c>
      <c r="C88" s="24" t="s">
        <v>1241</v>
      </c>
      <c r="D88" s="23">
        <v>12185500</v>
      </c>
      <c r="E88" s="22"/>
      <c r="F88" s="22"/>
      <c r="G88" s="16"/>
      <c r="H88" s="16"/>
      <c r="K88" s="12"/>
      <c r="L88" s="23" t="s">
        <v>1295</v>
      </c>
      <c r="M88" s="24" t="s">
        <v>1241</v>
      </c>
      <c r="N88" s="23"/>
      <c r="O88" s="22"/>
      <c r="P88" s="22"/>
      <c r="Q88" s="16"/>
      <c r="R88" s="16"/>
      <c r="U88" s="12"/>
      <c r="V88" s="23" t="s">
        <v>1295</v>
      </c>
      <c r="W88" s="24" t="s">
        <v>1241</v>
      </c>
      <c r="X88" s="23">
        <v>12185500</v>
      </c>
      <c r="Y88" s="22"/>
      <c r="Z88" s="22"/>
      <c r="AA88" s="16"/>
      <c r="AB88" s="16"/>
    </row>
    <row r="89" spans="1:28">
      <c r="A89" s="12"/>
      <c r="B89" s="23" t="s">
        <v>1295</v>
      </c>
      <c r="C89" s="24" t="s">
        <v>1301</v>
      </c>
      <c r="D89" s="23">
        <v>5888500</v>
      </c>
      <c r="E89" s="22"/>
      <c r="F89" s="22"/>
      <c r="G89" s="16"/>
      <c r="H89" s="16"/>
      <c r="K89" s="12"/>
      <c r="L89" s="23" t="s">
        <v>1295</v>
      </c>
      <c r="M89" s="24" t="s">
        <v>1301</v>
      </c>
      <c r="N89" s="23"/>
      <c r="O89" s="22"/>
      <c r="P89" s="22"/>
      <c r="Q89" s="16"/>
      <c r="R89" s="16"/>
      <c r="U89" s="12"/>
      <c r="V89" s="23" t="s">
        <v>1295</v>
      </c>
      <c r="W89" s="24" t="s">
        <v>1301</v>
      </c>
      <c r="X89" s="23">
        <v>5888500</v>
      </c>
      <c r="Y89" s="22"/>
      <c r="Z89" s="22"/>
      <c r="AA89" s="16"/>
      <c r="AB89" s="16"/>
    </row>
    <row r="90" spans="1:28">
      <c r="A90" s="12"/>
      <c r="B90" s="23" t="s">
        <v>1295</v>
      </c>
      <c r="C90" s="24" t="s">
        <v>1301</v>
      </c>
      <c r="D90" s="23">
        <v>295000</v>
      </c>
      <c r="E90" s="22"/>
      <c r="F90" s="22"/>
      <c r="G90" s="16"/>
      <c r="H90" s="16"/>
      <c r="K90" s="12"/>
      <c r="L90" s="23" t="s">
        <v>1295</v>
      </c>
      <c r="M90" s="24" t="s">
        <v>1301</v>
      </c>
      <c r="N90" s="23"/>
      <c r="O90" s="22"/>
      <c r="P90" s="22"/>
      <c r="Q90" s="16"/>
      <c r="R90" s="16"/>
      <c r="U90" s="12"/>
      <c r="V90" s="23" t="s">
        <v>1295</v>
      </c>
      <c r="W90" s="24" t="s">
        <v>1301</v>
      </c>
      <c r="X90" s="23">
        <v>295000</v>
      </c>
      <c r="Y90" s="22"/>
      <c r="Z90" s="22"/>
      <c r="AA90" s="16"/>
      <c r="AB90" s="16"/>
    </row>
    <row r="91" spans="1:28">
      <c r="A91" s="12"/>
      <c r="B91" s="23" t="s">
        <v>1295</v>
      </c>
      <c r="C91" s="24" t="s">
        <v>1296</v>
      </c>
      <c r="D91" s="23">
        <v>10000</v>
      </c>
      <c r="E91" s="22"/>
      <c r="F91" s="22"/>
      <c r="G91" s="16"/>
      <c r="H91" s="16"/>
      <c r="K91" s="12"/>
      <c r="L91" s="23" t="s">
        <v>1295</v>
      </c>
      <c r="M91" s="24" t="s">
        <v>1296</v>
      </c>
      <c r="N91" s="23"/>
      <c r="O91" s="22"/>
      <c r="P91" s="22"/>
      <c r="Q91" s="16"/>
      <c r="R91" s="16"/>
      <c r="U91" s="12"/>
      <c r="V91" s="23" t="s">
        <v>1295</v>
      </c>
      <c r="W91" s="24" t="s">
        <v>1296</v>
      </c>
      <c r="X91" s="23"/>
      <c r="Y91" s="22"/>
      <c r="Z91" s="22"/>
      <c r="AA91" s="16"/>
      <c r="AB91" s="16"/>
    </row>
    <row r="92" spans="1:28">
      <c r="A92" s="12"/>
      <c r="B92" s="23" t="s">
        <v>1297</v>
      </c>
      <c r="C92" s="24" t="s">
        <v>1298</v>
      </c>
      <c r="D92" s="23">
        <v>4934000</v>
      </c>
      <c r="E92" s="22"/>
      <c r="F92" s="22"/>
      <c r="G92" s="16"/>
      <c r="H92" s="16"/>
      <c r="J92" s="72">
        <f>+D92+D93</f>
        <v>9892000</v>
      </c>
      <c r="K92" s="12"/>
      <c r="L92" s="23" t="s">
        <v>1297</v>
      </c>
      <c r="M92" s="24" t="s">
        <v>1298</v>
      </c>
      <c r="N92" s="23"/>
      <c r="O92" s="22"/>
      <c r="P92" s="22"/>
      <c r="Q92" s="16"/>
      <c r="R92" s="16"/>
      <c r="U92" s="12"/>
      <c r="V92" s="23" t="s">
        <v>1297</v>
      </c>
      <c r="W92" s="24" t="s">
        <v>1298</v>
      </c>
      <c r="X92" s="23"/>
      <c r="Y92" s="22"/>
      <c r="Z92" s="22"/>
      <c r="AA92" s="16"/>
      <c r="AB92" s="16"/>
    </row>
    <row r="93" spans="1:28">
      <c r="A93" s="12"/>
      <c r="B93" s="23" t="s">
        <v>1297</v>
      </c>
      <c r="C93" s="24" t="s">
        <v>1299</v>
      </c>
      <c r="D93" s="23">
        <v>4958000</v>
      </c>
      <c r="E93" s="22"/>
      <c r="F93" s="22"/>
      <c r="G93" s="16"/>
      <c r="H93" s="16"/>
      <c r="K93" s="12"/>
      <c r="L93" s="23" t="s">
        <v>1297</v>
      </c>
      <c r="M93" s="24" t="s">
        <v>1299</v>
      </c>
      <c r="N93" s="23"/>
      <c r="O93" s="22"/>
      <c r="P93" s="22"/>
      <c r="Q93" s="16"/>
      <c r="R93" s="16"/>
      <c r="U93" s="12"/>
      <c r="V93" s="23" t="s">
        <v>1297</v>
      </c>
      <c r="W93" s="24" t="s">
        <v>1299</v>
      </c>
      <c r="X93" s="23"/>
      <c r="Y93" s="22"/>
      <c r="Z93" s="22"/>
      <c r="AA93" s="16"/>
      <c r="AB93" s="16"/>
    </row>
    <row r="94" spans="1:28">
      <c r="A94" s="12"/>
      <c r="B94" s="19"/>
      <c r="C94" s="23"/>
      <c r="D94" s="23"/>
      <c r="E94" s="22"/>
      <c r="F94" s="22"/>
      <c r="G94" s="16"/>
      <c r="H94" s="16"/>
      <c r="K94" s="12"/>
      <c r="L94" s="19"/>
      <c r="M94" s="23"/>
      <c r="N94" s="23"/>
      <c r="O94" s="22"/>
      <c r="P94" s="22"/>
      <c r="Q94" s="16"/>
      <c r="R94" s="16"/>
      <c r="U94" s="12"/>
      <c r="V94" s="19"/>
      <c r="W94" s="23"/>
      <c r="X94" s="23"/>
      <c r="Y94" s="22"/>
      <c r="Z94" s="22"/>
      <c r="AA94" s="16"/>
      <c r="AB94" s="16"/>
    </row>
    <row r="95" spans="1:28">
      <c r="A95" s="25"/>
      <c r="B95" s="19"/>
      <c r="C95" s="26" t="s">
        <v>31</v>
      </c>
      <c r="D95" s="27">
        <f>SUM(D86:D94)</f>
        <v>32481000</v>
      </c>
      <c r="E95" s="27"/>
      <c r="F95" s="27"/>
      <c r="G95" s="27"/>
      <c r="H95" s="27"/>
      <c r="K95" s="25"/>
      <c r="L95" s="19"/>
      <c r="M95" s="26" t="s">
        <v>31</v>
      </c>
      <c r="N95" s="27">
        <f>SUM(N86:N94)</f>
        <v>0</v>
      </c>
      <c r="O95" s="27"/>
      <c r="P95" s="27"/>
      <c r="Q95" s="27"/>
      <c r="R95" s="27"/>
      <c r="U95" s="25"/>
      <c r="V95" s="19"/>
      <c r="W95" s="26" t="s">
        <v>31</v>
      </c>
      <c r="X95" s="27">
        <f>SUM(X86:X94)</f>
        <v>22579000</v>
      </c>
      <c r="Y95" s="27"/>
      <c r="Z95" s="27"/>
      <c r="AA95" s="27"/>
      <c r="AB95" s="27"/>
    </row>
    <row r="96" spans="1:28">
      <c r="A96" s="20"/>
      <c r="B96" s="19"/>
      <c r="C96" s="389" t="s">
        <v>21</v>
      </c>
      <c r="D96" s="10"/>
      <c r="E96" s="530">
        <f>+D95</f>
        <v>32481000</v>
      </c>
      <c r="F96" s="530"/>
      <c r="G96" s="530"/>
      <c r="H96" s="530"/>
      <c r="K96" s="20"/>
      <c r="L96" s="19"/>
      <c r="M96" s="394" t="s">
        <v>21</v>
      </c>
      <c r="N96" s="10"/>
      <c r="O96" s="530">
        <f>+N95</f>
        <v>0</v>
      </c>
      <c r="P96" s="530"/>
      <c r="Q96" s="530"/>
      <c r="R96" s="530"/>
      <c r="U96" s="20"/>
      <c r="V96" s="19"/>
      <c r="W96" s="398" t="s">
        <v>21</v>
      </c>
      <c r="X96" s="10"/>
      <c r="Y96" s="530">
        <f>+X95</f>
        <v>22579000</v>
      </c>
      <c r="Z96" s="530"/>
      <c r="AA96" s="530"/>
      <c r="AB96" s="530"/>
    </row>
    <row r="97" spans="1:28">
      <c r="A97" s="527" t="s">
        <v>32</v>
      </c>
      <c r="B97" s="528"/>
      <c r="C97" s="528"/>
      <c r="D97" s="528"/>
      <c r="E97" s="528"/>
      <c r="F97" s="528"/>
      <c r="G97" s="528"/>
      <c r="H97" s="529"/>
      <c r="K97" s="527" t="s">
        <v>32</v>
      </c>
      <c r="L97" s="528"/>
      <c r="M97" s="528"/>
      <c r="N97" s="528"/>
      <c r="O97" s="528"/>
      <c r="P97" s="528"/>
      <c r="Q97" s="528"/>
      <c r="R97" s="529"/>
      <c r="T97">
        <v>181</v>
      </c>
      <c r="U97" s="527" t="s">
        <v>32</v>
      </c>
      <c r="V97" s="528"/>
      <c r="W97" s="528"/>
      <c r="X97" s="528"/>
      <c r="Y97" s="528"/>
      <c r="Z97" s="528"/>
      <c r="AA97" s="528"/>
      <c r="AB97" s="529"/>
    </row>
    <row r="98" spans="1:28">
      <c r="A98" s="12"/>
      <c r="B98" s="13"/>
      <c r="C98" s="22"/>
      <c r="D98" s="22"/>
      <c r="E98" s="389"/>
      <c r="F98" s="389"/>
      <c r="G98" s="389"/>
      <c r="H98" s="389"/>
      <c r="K98" s="12"/>
      <c r="L98" s="13"/>
      <c r="M98" s="22" t="s">
        <v>1304</v>
      </c>
      <c r="N98" s="22">
        <v>6500000</v>
      </c>
      <c r="O98" s="394"/>
      <c r="P98" s="394"/>
      <c r="Q98" s="394"/>
      <c r="R98" s="394"/>
      <c r="T98">
        <v>60</v>
      </c>
      <c r="U98" s="12"/>
      <c r="V98" s="13"/>
      <c r="W98" s="22" t="s">
        <v>1306</v>
      </c>
      <c r="X98" s="22">
        <v>6000000</v>
      </c>
      <c r="Y98" s="398"/>
      <c r="Z98" s="398"/>
      <c r="AA98" s="398"/>
      <c r="AB98" s="398"/>
    </row>
    <row r="99" spans="1:28">
      <c r="A99" s="12"/>
      <c r="B99" s="22"/>
      <c r="C99" s="22"/>
      <c r="D99" s="22"/>
      <c r="E99" s="389"/>
      <c r="F99" s="389"/>
      <c r="G99" s="389"/>
      <c r="H99" s="389"/>
      <c r="K99" s="12"/>
      <c r="L99" s="22"/>
      <c r="M99" s="22" t="s">
        <v>987</v>
      </c>
      <c r="N99" s="22">
        <v>3000000</v>
      </c>
      <c r="O99" s="394"/>
      <c r="P99" s="394"/>
      <c r="Q99" s="394"/>
      <c r="R99" s="394"/>
      <c r="T99">
        <f>+T97-T98</f>
        <v>121</v>
      </c>
      <c r="U99" s="12"/>
      <c r="V99" s="22"/>
      <c r="W99" s="22"/>
      <c r="X99" s="22"/>
      <c r="Y99" s="398"/>
      <c r="Z99" s="398"/>
      <c r="AA99" s="398"/>
      <c r="AB99" s="398"/>
    </row>
    <row r="100" spans="1:28">
      <c r="A100" s="12"/>
      <c r="B100" s="13"/>
      <c r="C100" s="22"/>
      <c r="D100" s="29"/>
      <c r="E100" s="389"/>
      <c r="F100" s="389"/>
      <c r="G100" s="389"/>
      <c r="H100" s="389"/>
      <c r="K100" s="12"/>
      <c r="L100" s="13"/>
      <c r="M100" s="22"/>
      <c r="N100" s="29"/>
      <c r="O100" s="394"/>
      <c r="P100" s="394"/>
      <c r="Q100" s="394"/>
      <c r="R100" s="394"/>
      <c r="U100" s="12"/>
      <c r="V100" s="13"/>
      <c r="W100" s="22"/>
      <c r="X100" s="29"/>
      <c r="Y100" s="398"/>
      <c r="Z100" s="398"/>
      <c r="AA100" s="398"/>
      <c r="AB100" s="398"/>
    </row>
    <row r="101" spans="1:28">
      <c r="A101" s="12"/>
      <c r="B101" s="13"/>
      <c r="C101" s="26" t="s">
        <v>34</v>
      </c>
      <c r="D101" s="27">
        <f>SUM(D98:D99)</f>
        <v>0</v>
      </c>
      <c r="E101" s="27">
        <v>0</v>
      </c>
      <c r="F101" s="27">
        <v>0</v>
      </c>
      <c r="G101" s="27"/>
      <c r="H101" s="27"/>
      <c r="K101" s="12"/>
      <c r="L101" s="13"/>
      <c r="M101" s="26" t="s">
        <v>34</v>
      </c>
      <c r="N101" s="27">
        <f>SUM(N98:N99)</f>
        <v>9500000</v>
      </c>
      <c r="O101" s="27">
        <v>0</v>
      </c>
      <c r="P101" s="27">
        <v>0</v>
      </c>
      <c r="Q101" s="27"/>
      <c r="R101" s="27"/>
      <c r="U101" s="12"/>
      <c r="V101" s="13"/>
      <c r="W101" s="26" t="s">
        <v>34</v>
      </c>
      <c r="X101" s="27">
        <f>SUM(X98:X99)</f>
        <v>6000000</v>
      </c>
      <c r="Y101" s="27">
        <v>0</v>
      </c>
      <c r="Z101" s="27">
        <v>0</v>
      </c>
      <c r="AA101" s="27"/>
      <c r="AB101" s="27"/>
    </row>
    <row r="102" spans="1:28">
      <c r="A102" s="20"/>
      <c r="B102" s="19"/>
      <c r="C102" s="389" t="s">
        <v>21</v>
      </c>
      <c r="D102" s="10"/>
      <c r="E102" s="531">
        <f>D101</f>
        <v>0</v>
      </c>
      <c r="F102" s="532"/>
      <c r="G102" s="532"/>
      <c r="H102" s="533"/>
      <c r="K102" s="20"/>
      <c r="L102" s="19"/>
      <c r="M102" s="394" t="s">
        <v>21</v>
      </c>
      <c r="N102" s="10"/>
      <c r="O102" s="531">
        <f>N101</f>
        <v>9500000</v>
      </c>
      <c r="P102" s="532"/>
      <c r="Q102" s="532"/>
      <c r="R102" s="533"/>
      <c r="U102" s="20"/>
      <c r="V102" s="19"/>
      <c r="W102" s="398" t="s">
        <v>21</v>
      </c>
      <c r="X102" s="10"/>
      <c r="Y102" s="531">
        <f>X101</f>
        <v>6000000</v>
      </c>
      <c r="Z102" s="532"/>
      <c r="AA102" s="532"/>
      <c r="AB102" s="533"/>
    </row>
    <row r="103" spans="1:28">
      <c r="A103" s="525" t="s">
        <v>35</v>
      </c>
      <c r="B103" s="525"/>
      <c r="C103" s="525"/>
      <c r="D103" s="388"/>
      <c r="E103" s="526">
        <f>E39+E45+E96+E102+E74+E84+E53</f>
        <v>265329000</v>
      </c>
      <c r="F103" s="526"/>
      <c r="G103" s="526"/>
      <c r="H103" s="526"/>
      <c r="K103" s="525" t="s">
        <v>35</v>
      </c>
      <c r="L103" s="525"/>
      <c r="M103" s="525"/>
      <c r="N103" s="391"/>
      <c r="O103" s="526">
        <f>O39+O45+O96+O102+O74+O84+O53</f>
        <v>44318000</v>
      </c>
      <c r="P103" s="526"/>
      <c r="Q103" s="526"/>
      <c r="R103" s="526"/>
      <c r="U103" s="525" t="s">
        <v>35</v>
      </c>
      <c r="V103" s="525"/>
      <c r="W103" s="525"/>
      <c r="X103" s="395"/>
      <c r="Y103" s="526">
        <f>Y39+Y45+Y96+Y102+Y74+Y84+Y53</f>
        <v>71329000</v>
      </c>
      <c r="Z103" s="526"/>
      <c r="AA103" s="526"/>
      <c r="AB103" s="526"/>
    </row>
    <row r="104" spans="1:28">
      <c r="A104" s="522" t="s">
        <v>36</v>
      </c>
      <c r="B104" s="522"/>
      <c r="C104" s="522"/>
      <c r="D104" s="387"/>
      <c r="E104" s="523">
        <f>+E24+E103</f>
        <v>268249000</v>
      </c>
      <c r="F104" s="523"/>
      <c r="G104" s="523"/>
      <c r="H104" s="523"/>
      <c r="K104" s="522" t="s">
        <v>36</v>
      </c>
      <c r="L104" s="522"/>
      <c r="M104" s="522"/>
      <c r="N104" s="393"/>
      <c r="O104" s="523">
        <f>+O24+O103</f>
        <v>44318000</v>
      </c>
      <c r="P104" s="523"/>
      <c r="Q104" s="523"/>
      <c r="R104" s="523"/>
      <c r="U104" s="522" t="s">
        <v>36</v>
      </c>
      <c r="V104" s="522"/>
      <c r="W104" s="522"/>
      <c r="X104" s="397"/>
      <c r="Y104" s="523">
        <f>+Y24+Y103</f>
        <v>72149000</v>
      </c>
      <c r="Z104" s="523"/>
      <c r="AA104" s="523"/>
      <c r="AB104" s="523"/>
    </row>
    <row r="105" spans="1:28">
      <c r="A105" s="37"/>
      <c r="B105" s="38"/>
      <c r="C105" s="39"/>
      <c r="D105" s="47"/>
      <c r="E105" s="39"/>
      <c r="F105" s="39"/>
      <c r="G105" s="39"/>
      <c r="H105" s="39"/>
      <c r="K105" s="37"/>
      <c r="L105" s="38"/>
      <c r="M105" s="39"/>
      <c r="N105" s="47"/>
      <c r="O105" s="39"/>
      <c r="P105" s="39"/>
      <c r="Q105" s="39"/>
      <c r="R105" s="39"/>
      <c r="U105" s="37"/>
      <c r="V105" s="38"/>
      <c r="W105" s="39"/>
      <c r="X105" s="47"/>
      <c r="Y105" s="39"/>
      <c r="Z105" s="39"/>
      <c r="AA105" s="39"/>
      <c r="AB105" s="39"/>
    </row>
    <row r="106" spans="1:28">
      <c r="A106" s="519" t="s">
        <v>13</v>
      </c>
      <c r="B106" s="520"/>
      <c r="C106" s="520"/>
      <c r="D106" s="520"/>
      <c r="E106" s="521"/>
      <c r="F106" s="39"/>
      <c r="G106" s="39"/>
      <c r="H106" s="40"/>
      <c r="K106" s="519" t="s">
        <v>13</v>
      </c>
      <c r="L106" s="520"/>
      <c r="M106" s="520"/>
      <c r="N106" s="520"/>
      <c r="O106" s="521"/>
      <c r="P106" s="39"/>
      <c r="Q106" s="39"/>
      <c r="R106" s="40"/>
      <c r="U106" s="519" t="s">
        <v>13</v>
      </c>
      <c r="V106" s="520"/>
      <c r="W106" s="520"/>
      <c r="X106" s="520"/>
      <c r="Y106" s="521"/>
      <c r="Z106" s="39"/>
      <c r="AA106" s="39"/>
      <c r="AB106" s="40"/>
    </row>
    <row r="107" spans="1:28">
      <c r="A107" s="41" t="s">
        <v>39</v>
      </c>
      <c r="B107" s="42" t="s">
        <v>40</v>
      </c>
      <c r="C107" s="43" t="s">
        <v>980</v>
      </c>
      <c r="D107" s="43" t="s">
        <v>42</v>
      </c>
      <c r="E107" s="43" t="s">
        <v>43</v>
      </c>
      <c r="F107" s="39"/>
      <c r="G107" s="39"/>
      <c r="H107" s="39"/>
      <c r="K107" s="41" t="s">
        <v>39</v>
      </c>
      <c r="L107" s="42" t="s">
        <v>40</v>
      </c>
      <c r="M107" s="43" t="s">
        <v>980</v>
      </c>
      <c r="N107" s="43" t="s">
        <v>42</v>
      </c>
      <c r="O107" s="43" t="s">
        <v>43</v>
      </c>
      <c r="P107" s="39"/>
      <c r="Q107" s="39"/>
      <c r="R107" s="39"/>
      <c r="U107" s="41" t="s">
        <v>39</v>
      </c>
      <c r="V107" s="42" t="s">
        <v>40</v>
      </c>
      <c r="W107" s="43" t="s">
        <v>980</v>
      </c>
      <c r="X107" s="43" t="s">
        <v>42</v>
      </c>
      <c r="Y107" s="43" t="s">
        <v>43</v>
      </c>
      <c r="Z107" s="39"/>
      <c r="AA107" s="39"/>
      <c r="AB107" s="39"/>
    </row>
    <row r="108" spans="1:28">
      <c r="A108" s="41"/>
      <c r="B108" s="110"/>
      <c r="C108" s="45"/>
      <c r="D108" s="46"/>
      <c r="E108" s="46"/>
      <c r="F108" s="39"/>
      <c r="G108" s="39"/>
      <c r="H108" s="39"/>
      <c r="K108" s="41"/>
      <c r="L108" s="110"/>
      <c r="M108" s="45" t="s">
        <v>1303</v>
      </c>
      <c r="N108" s="46">
        <v>60000000</v>
      </c>
      <c r="O108" s="46"/>
      <c r="P108" s="39"/>
      <c r="Q108" s="39"/>
      <c r="R108" s="39"/>
      <c r="U108" s="41"/>
      <c r="V108" s="110"/>
      <c r="W108" s="45" t="s">
        <v>1305</v>
      </c>
      <c r="X108" s="46">
        <v>60609000</v>
      </c>
      <c r="Y108" s="46"/>
      <c r="Z108" s="39"/>
      <c r="AA108" s="39"/>
      <c r="AB108" s="39"/>
    </row>
    <row r="109" spans="1:28">
      <c r="A109" s="41"/>
      <c r="B109" s="44"/>
      <c r="C109" s="45"/>
      <c r="D109" s="46"/>
      <c r="E109" s="46"/>
      <c r="F109" s="39"/>
      <c r="G109" s="39"/>
      <c r="H109" s="40"/>
      <c r="K109" s="41"/>
      <c r="L109" s="44"/>
      <c r="M109" s="45"/>
      <c r="N109" s="46"/>
      <c r="O109" s="46"/>
      <c r="P109" s="39"/>
      <c r="Q109" s="39"/>
      <c r="R109" s="40"/>
      <c r="U109" s="41"/>
      <c r="V109" s="44"/>
      <c r="W109" s="45" t="s">
        <v>1307</v>
      </c>
      <c r="X109" s="46">
        <f>+N114</f>
        <v>15682000</v>
      </c>
      <c r="Y109" s="46"/>
      <c r="Z109" s="39"/>
      <c r="AA109" s="39"/>
      <c r="AB109" s="40"/>
    </row>
    <row r="110" spans="1:28">
      <c r="A110" s="41"/>
      <c r="B110" s="44"/>
      <c r="C110" s="46"/>
      <c r="D110" s="46"/>
      <c r="E110" s="46"/>
      <c r="F110" s="39"/>
      <c r="G110" s="39"/>
      <c r="H110" s="39"/>
      <c r="K110" s="41"/>
      <c r="L110" s="44"/>
      <c r="M110" s="46"/>
      <c r="N110" s="46"/>
      <c r="O110" s="46"/>
      <c r="P110" s="39"/>
      <c r="Q110" s="39"/>
      <c r="R110" s="39"/>
      <c r="U110" s="41"/>
      <c r="V110" s="44"/>
      <c r="W110" s="46"/>
      <c r="X110" s="46"/>
      <c r="Y110" s="46"/>
      <c r="Z110" s="39"/>
      <c r="AA110" s="39"/>
      <c r="AB110" s="39"/>
    </row>
    <row r="111" spans="1:28">
      <c r="A111" s="41"/>
      <c r="B111" s="44"/>
      <c r="C111" s="327"/>
      <c r="D111" s="46"/>
      <c r="E111" s="46"/>
      <c r="F111" s="39"/>
      <c r="G111" s="39"/>
      <c r="H111" s="39"/>
      <c r="K111" s="41"/>
      <c r="L111" s="44"/>
      <c r="M111" s="327"/>
      <c r="N111" s="46"/>
      <c r="O111" s="46"/>
      <c r="P111" s="39"/>
      <c r="Q111" s="39"/>
      <c r="R111" s="39"/>
      <c r="U111" s="41"/>
      <c r="V111" s="44"/>
      <c r="W111" s="327"/>
      <c r="X111" s="46"/>
      <c r="Y111" s="46"/>
      <c r="Z111" s="39"/>
      <c r="AA111" s="39"/>
      <c r="AB111" s="39"/>
    </row>
    <row r="112" spans="1:28">
      <c r="A112" s="41"/>
      <c r="B112" s="44"/>
      <c r="C112" s="46"/>
      <c r="D112" s="48"/>
      <c r="E112" s="46"/>
      <c r="F112" s="39"/>
      <c r="G112" s="39"/>
      <c r="H112" s="39"/>
      <c r="K112" s="41"/>
      <c r="L112" s="44"/>
      <c r="M112" s="46"/>
      <c r="N112" s="48"/>
      <c r="O112" s="46"/>
      <c r="P112" s="39"/>
      <c r="Q112" s="39"/>
      <c r="R112" s="39"/>
      <c r="U112" s="41"/>
      <c r="V112" s="44"/>
      <c r="W112" s="46"/>
      <c r="X112" s="48"/>
      <c r="Y112" s="46"/>
      <c r="Z112" s="39"/>
      <c r="AA112" s="39"/>
      <c r="AB112" s="39"/>
    </row>
    <row r="113" spans="1:28">
      <c r="A113" s="49"/>
      <c r="B113" s="50"/>
      <c r="C113" s="51" t="s">
        <v>44</v>
      </c>
      <c r="D113" s="51">
        <f>SUM(D108:D112)</f>
        <v>0</v>
      </c>
      <c r="E113" s="52"/>
      <c r="F113" s="39"/>
      <c r="G113" s="39"/>
      <c r="H113" s="39"/>
      <c r="K113" s="49"/>
      <c r="L113" s="50"/>
      <c r="M113" s="51" t="s">
        <v>44</v>
      </c>
      <c r="N113" s="51">
        <f>SUM(N108:N112)</f>
        <v>60000000</v>
      </c>
      <c r="O113" s="52"/>
      <c r="P113" s="39"/>
      <c r="Q113" s="39"/>
      <c r="R113" s="39"/>
      <c r="U113" s="49"/>
      <c r="V113" s="50"/>
      <c r="W113" s="51" t="s">
        <v>44</v>
      </c>
      <c r="X113" s="51">
        <f>SUM(X108:X112)</f>
        <v>76291000</v>
      </c>
      <c r="Y113" s="52"/>
      <c r="Z113" s="39"/>
      <c r="AA113" s="39"/>
      <c r="AB113" s="39"/>
    </row>
    <row r="114" spans="1:28">
      <c r="A114" s="53"/>
      <c r="B114" s="54"/>
      <c r="C114" s="55" t="s">
        <v>779</v>
      </c>
      <c r="D114" s="116"/>
      <c r="E114" s="3"/>
      <c r="F114" s="39"/>
      <c r="G114" s="39"/>
      <c r="H114" s="39"/>
      <c r="K114" s="53"/>
      <c r="L114" s="54"/>
      <c r="M114" s="55" t="s">
        <v>779</v>
      </c>
      <c r="N114" s="116">
        <f>+N113-O104</f>
        <v>15682000</v>
      </c>
      <c r="O114" s="3"/>
      <c r="P114" s="39"/>
      <c r="Q114" s="39"/>
      <c r="R114" s="39"/>
      <c r="U114" s="53"/>
      <c r="V114" s="54"/>
      <c r="W114" s="55" t="s">
        <v>779</v>
      </c>
      <c r="X114" s="116">
        <f>+X113-Y104</f>
        <v>4142000</v>
      </c>
      <c r="Y114" s="3"/>
      <c r="Z114" s="39"/>
      <c r="AA114" s="39"/>
      <c r="AB114" s="39"/>
    </row>
  </sheetData>
  <mergeCells count="87">
    <mergeCell ref="U106:Y106"/>
    <mergeCell ref="Y102:AB102"/>
    <mergeCell ref="U103:W103"/>
    <mergeCell ref="Y103:AB103"/>
    <mergeCell ref="U104:W104"/>
    <mergeCell ref="Y104:AB104"/>
    <mergeCell ref="U75:AB75"/>
    <mergeCell ref="Y84:AB84"/>
    <mergeCell ref="U85:AB85"/>
    <mergeCell ref="Y96:AB96"/>
    <mergeCell ref="U97:AB97"/>
    <mergeCell ref="Y45:AB45"/>
    <mergeCell ref="U46:AB46"/>
    <mergeCell ref="Y53:AB53"/>
    <mergeCell ref="U54:AB54"/>
    <mergeCell ref="Y74:AB74"/>
    <mergeCell ref="U24:X24"/>
    <mergeCell ref="Y24:AB24"/>
    <mergeCell ref="U25:AB25"/>
    <mergeCell ref="Y39:AB39"/>
    <mergeCell ref="U40:AB40"/>
    <mergeCell ref="U3:AB3"/>
    <mergeCell ref="U12:AA12"/>
    <mergeCell ref="U13:AB13"/>
    <mergeCell ref="U14:U15"/>
    <mergeCell ref="V14:V15"/>
    <mergeCell ref="W14:W15"/>
    <mergeCell ref="X14:X15"/>
    <mergeCell ref="Y14:AB14"/>
    <mergeCell ref="K106:O106"/>
    <mergeCell ref="O102:R102"/>
    <mergeCell ref="K103:M103"/>
    <mergeCell ref="O103:R103"/>
    <mergeCell ref="K104:M104"/>
    <mergeCell ref="O104:R104"/>
    <mergeCell ref="K75:R75"/>
    <mergeCell ref="O84:R84"/>
    <mergeCell ref="K85:R85"/>
    <mergeCell ref="O96:R96"/>
    <mergeCell ref="K97:R97"/>
    <mergeCell ref="O45:R45"/>
    <mergeCell ref="K46:R46"/>
    <mergeCell ref="O53:R53"/>
    <mergeCell ref="K54:R54"/>
    <mergeCell ref="O74:R74"/>
    <mergeCell ref="K24:N24"/>
    <mergeCell ref="O24:R24"/>
    <mergeCell ref="K25:R25"/>
    <mergeCell ref="O39:R39"/>
    <mergeCell ref="K40:R40"/>
    <mergeCell ref="K3:R3"/>
    <mergeCell ref="K12:Q12"/>
    <mergeCell ref="K13:R13"/>
    <mergeCell ref="K14:K15"/>
    <mergeCell ref="L14:L15"/>
    <mergeCell ref="M14:M15"/>
    <mergeCell ref="N14:N15"/>
    <mergeCell ref="O14:R14"/>
    <mergeCell ref="A3:H3"/>
    <mergeCell ref="A12:G12"/>
    <mergeCell ref="A13:H13"/>
    <mergeCell ref="A14:A15"/>
    <mergeCell ref="B14:B15"/>
    <mergeCell ref="C14:C15"/>
    <mergeCell ref="D14:D15"/>
    <mergeCell ref="E14:H14"/>
    <mergeCell ref="E84:H84"/>
    <mergeCell ref="A24:D24"/>
    <mergeCell ref="E24:H24"/>
    <mergeCell ref="A25:H25"/>
    <mergeCell ref="E39:H39"/>
    <mergeCell ref="A40:H40"/>
    <mergeCell ref="E45:H45"/>
    <mergeCell ref="A46:H46"/>
    <mergeCell ref="E53:H53"/>
    <mergeCell ref="A54:H54"/>
    <mergeCell ref="E74:H74"/>
    <mergeCell ref="A75:H75"/>
    <mergeCell ref="A104:C104"/>
    <mergeCell ref="E104:H104"/>
    <mergeCell ref="A106:E106"/>
    <mergeCell ref="A85:H85"/>
    <mergeCell ref="E96:H96"/>
    <mergeCell ref="A97:H97"/>
    <mergeCell ref="E102:H102"/>
    <mergeCell ref="A103:C103"/>
    <mergeCell ref="E103:H103"/>
  </mergeCells>
  <phoneticPr fontId="16" type="noConversion"/>
  <pageMargins left="0.49" right="0.23" top="0.21" bottom="0.74803149606299213" header="0.14000000000000001" footer="0.31496062992125984"/>
  <pageSetup paperSize="9" scale="85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37"/>
  <sheetViews>
    <sheetView workbookViewId="0"/>
  </sheetViews>
  <sheetFormatPr defaultRowHeight="15"/>
  <cols>
    <col min="1" max="1" width="50.5703125" customWidth="1"/>
    <col min="2" max="2" width="12.5703125" style="77" bestFit="1" customWidth="1"/>
    <col min="3" max="3" width="40.42578125" bestFit="1" customWidth="1"/>
    <col min="4" max="4" width="10.5703125" style="77" bestFit="1" customWidth="1"/>
    <col min="5" max="5" width="62.28515625" bestFit="1" customWidth="1"/>
    <col min="6" max="6" width="11.5703125" bestFit="1" customWidth="1"/>
    <col min="7" max="7" width="52.28515625" bestFit="1" customWidth="1"/>
    <col min="8" max="8" width="12.5703125" style="77" bestFit="1" customWidth="1"/>
    <col min="9" max="9" width="47.28515625" bestFit="1" customWidth="1"/>
    <col min="10" max="10" width="10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>
      <c r="A2" s="22" t="s">
        <v>1120</v>
      </c>
      <c r="B2" s="22">
        <v>1540000</v>
      </c>
      <c r="C2" s="15" t="s">
        <v>961</v>
      </c>
      <c r="D2" s="23">
        <v>150000</v>
      </c>
      <c r="E2" s="15" t="s">
        <v>1255</v>
      </c>
      <c r="F2" s="23">
        <v>375000</v>
      </c>
      <c r="G2" s="15" t="s">
        <v>1259</v>
      </c>
      <c r="H2" s="23">
        <v>150000</v>
      </c>
      <c r="I2" s="14"/>
      <c r="J2" s="15"/>
    </row>
    <row r="3" spans="1:10">
      <c r="A3" s="23"/>
      <c r="B3" s="23"/>
      <c r="C3" s="23" t="s">
        <v>1293</v>
      </c>
      <c r="D3" s="23">
        <v>450000</v>
      </c>
      <c r="E3" s="15" t="s">
        <v>1257</v>
      </c>
      <c r="F3" s="23">
        <v>355000</v>
      </c>
      <c r="G3" s="15" t="s">
        <v>1262</v>
      </c>
      <c r="H3" s="23">
        <v>10408000</v>
      </c>
      <c r="I3" s="14"/>
      <c r="J3" s="15"/>
    </row>
    <row r="4" spans="1:10">
      <c r="A4" s="22"/>
      <c r="B4" s="22"/>
      <c r="C4" s="22" t="s">
        <v>1121</v>
      </c>
      <c r="D4" s="22">
        <v>150000</v>
      </c>
      <c r="E4" s="15" t="s">
        <v>1265</v>
      </c>
      <c r="F4" s="23">
        <v>2187000</v>
      </c>
      <c r="G4" s="15" t="s">
        <v>1263</v>
      </c>
      <c r="H4" s="23">
        <v>163000</v>
      </c>
      <c r="I4" s="14"/>
      <c r="J4" s="15"/>
    </row>
    <row r="5" spans="1:10">
      <c r="A5" s="23"/>
      <c r="B5" s="23"/>
      <c r="C5" s="23" t="s">
        <v>1127</v>
      </c>
      <c r="D5" s="23">
        <v>300000</v>
      </c>
      <c r="E5" s="15" t="s">
        <v>1266</v>
      </c>
      <c r="F5" s="23">
        <v>15000</v>
      </c>
      <c r="G5" s="15" t="s">
        <v>1300</v>
      </c>
      <c r="H5" s="23">
        <v>100000</v>
      </c>
      <c r="I5" s="14"/>
      <c r="J5" s="15"/>
    </row>
    <row r="6" spans="1:10">
      <c r="A6" s="22"/>
      <c r="B6" s="22"/>
      <c r="C6" s="15"/>
      <c r="D6" s="22"/>
      <c r="E6" s="23" t="s">
        <v>1291</v>
      </c>
      <c r="F6" s="23">
        <v>8445000</v>
      </c>
      <c r="G6" s="22" t="s">
        <v>1272</v>
      </c>
      <c r="H6" s="22">
        <v>5000000</v>
      </c>
      <c r="I6" s="14"/>
      <c r="J6" s="15"/>
    </row>
    <row r="7" spans="1:10">
      <c r="A7" s="23"/>
      <c r="B7" s="23"/>
      <c r="C7" s="15"/>
      <c r="D7" s="22"/>
      <c r="E7" s="23" t="s">
        <v>1175</v>
      </c>
      <c r="F7" s="23">
        <v>30000</v>
      </c>
      <c r="G7" s="22" t="s">
        <v>1276</v>
      </c>
      <c r="H7" s="22">
        <v>5000000</v>
      </c>
      <c r="I7" s="14"/>
      <c r="J7" s="15"/>
    </row>
    <row r="8" spans="1:10">
      <c r="A8" s="23"/>
      <c r="B8" s="23"/>
      <c r="C8" s="15"/>
      <c r="D8" s="22"/>
      <c r="E8" s="15"/>
      <c r="F8" s="23"/>
      <c r="G8" s="24" t="s">
        <v>1239</v>
      </c>
      <c r="H8" s="23">
        <v>2310000</v>
      </c>
      <c r="I8" s="14"/>
      <c r="J8" s="15"/>
    </row>
    <row r="9" spans="1:10">
      <c r="A9" s="22"/>
      <c r="B9" s="22"/>
      <c r="C9" s="15"/>
      <c r="D9" s="22"/>
      <c r="E9" s="15"/>
      <c r="F9" s="23"/>
      <c r="G9" s="24" t="s">
        <v>1241</v>
      </c>
      <c r="H9" s="23">
        <v>1900000</v>
      </c>
      <c r="I9" s="14"/>
      <c r="J9" s="15"/>
    </row>
    <row r="10" spans="1:10">
      <c r="A10" s="22"/>
      <c r="B10" s="22"/>
      <c r="C10" s="15"/>
      <c r="D10" s="22"/>
      <c r="E10" s="15"/>
      <c r="F10" s="23"/>
      <c r="G10" s="24" t="s">
        <v>1241</v>
      </c>
      <c r="H10" s="23">
        <v>12185500</v>
      </c>
      <c r="I10" s="14"/>
      <c r="J10" s="15"/>
    </row>
    <row r="11" spans="1:10">
      <c r="A11" s="22"/>
      <c r="B11" s="22"/>
      <c r="C11" s="15"/>
      <c r="D11" s="22"/>
      <c r="E11" s="15"/>
      <c r="F11" s="23"/>
      <c r="G11" s="24" t="s">
        <v>1301</v>
      </c>
      <c r="H11" s="23">
        <v>5888500</v>
      </c>
      <c r="I11" s="14"/>
      <c r="J11" s="15"/>
    </row>
    <row r="12" spans="1:10">
      <c r="A12" s="22"/>
      <c r="B12" s="22"/>
      <c r="C12" s="15"/>
      <c r="D12" s="22"/>
      <c r="E12" s="15"/>
      <c r="F12" s="23"/>
      <c r="G12" s="24" t="s">
        <v>1301</v>
      </c>
      <c r="H12" s="23">
        <v>295000</v>
      </c>
      <c r="I12" s="14"/>
      <c r="J12" s="15"/>
    </row>
    <row r="13" spans="1:10">
      <c r="A13" s="22"/>
      <c r="B13" s="22"/>
      <c r="C13" s="15"/>
      <c r="D13" s="22"/>
      <c r="E13" s="15"/>
      <c r="F13" s="23"/>
      <c r="G13" s="22" t="s">
        <v>1304</v>
      </c>
      <c r="H13" s="22">
        <v>6500000</v>
      </c>
      <c r="I13" s="14"/>
      <c r="J13" s="15"/>
    </row>
    <row r="14" spans="1:10">
      <c r="A14" s="23"/>
      <c r="B14" s="23"/>
      <c r="C14" s="15"/>
      <c r="D14" s="22"/>
      <c r="E14" s="15"/>
      <c r="F14" s="23"/>
      <c r="G14" s="22" t="s">
        <v>987</v>
      </c>
      <c r="H14" s="22">
        <v>3000000</v>
      </c>
      <c r="I14" s="14"/>
      <c r="J14" s="15"/>
    </row>
    <row r="15" spans="1:10">
      <c r="A15" s="23"/>
      <c r="B15" s="23"/>
      <c r="C15" s="194"/>
      <c r="D15" s="194"/>
      <c r="E15" s="194"/>
      <c r="F15" s="194"/>
      <c r="G15" s="15"/>
      <c r="H15" s="23"/>
      <c r="I15" s="193"/>
      <c r="J15" s="194"/>
    </row>
    <row r="16" spans="1:10">
      <c r="A16" s="68"/>
      <c r="B16" s="69"/>
      <c r="C16" s="69"/>
      <c r="D16" s="69"/>
      <c r="E16" s="69"/>
      <c r="F16" s="69"/>
      <c r="G16" s="23"/>
      <c r="H16" s="23"/>
      <c r="I16" s="68"/>
      <c r="J16" s="69"/>
    </row>
    <row r="17" spans="1:10">
      <c r="A17" s="68"/>
      <c r="B17" s="69"/>
      <c r="C17" s="69"/>
      <c r="D17" s="69"/>
      <c r="E17" s="69"/>
      <c r="F17" s="69"/>
      <c r="G17" s="119"/>
      <c r="H17" s="120"/>
      <c r="I17" s="68"/>
      <c r="J17" s="69"/>
    </row>
    <row r="18" spans="1:10">
      <c r="A18" s="70"/>
      <c r="B18" s="71">
        <f t="shared" ref="B18:J18" si="0">SUM(B2:B16)</f>
        <v>1540000</v>
      </c>
      <c r="C18" s="71">
        <f t="shared" si="0"/>
        <v>0</v>
      </c>
      <c r="D18" s="71">
        <f t="shared" si="0"/>
        <v>1050000</v>
      </c>
      <c r="E18" s="71">
        <f t="shared" si="0"/>
        <v>0</v>
      </c>
      <c r="F18" s="71">
        <f t="shared" si="0"/>
        <v>11407000</v>
      </c>
      <c r="G18" s="71">
        <f t="shared" si="0"/>
        <v>0</v>
      </c>
      <c r="H18" s="71">
        <f t="shared" si="0"/>
        <v>52900000</v>
      </c>
      <c r="I18" s="71">
        <f t="shared" si="0"/>
        <v>0</v>
      </c>
      <c r="J18" s="71">
        <f t="shared" si="0"/>
        <v>0</v>
      </c>
    </row>
    <row r="19" spans="1:10">
      <c r="D19" s="77">
        <v>100000</v>
      </c>
    </row>
    <row r="21" spans="1:10">
      <c r="A21" s="57" t="s">
        <v>47</v>
      </c>
      <c r="B21" s="58"/>
      <c r="D21" s="77">
        <f>+D18-D19</f>
        <v>950000</v>
      </c>
    </row>
    <row r="22" spans="1:10">
      <c r="A22" s="23"/>
      <c r="B22" s="23"/>
    </row>
    <row r="23" spans="1:10">
      <c r="A23" s="22"/>
      <c r="B23" s="22"/>
    </row>
    <row r="24" spans="1:10">
      <c r="A24" s="23" t="s">
        <v>1289</v>
      </c>
      <c r="B24" s="23">
        <v>1000000</v>
      </c>
    </row>
    <row r="25" spans="1:10">
      <c r="A25" s="156" t="s">
        <v>1306</v>
      </c>
      <c r="B25" s="156">
        <v>6000000</v>
      </c>
    </row>
    <row r="26" spans="1:10">
      <c r="A26" s="23" t="s">
        <v>1309</v>
      </c>
      <c r="B26" s="23">
        <v>1750000</v>
      </c>
    </row>
    <row r="27" spans="1:10">
      <c r="A27" s="23"/>
      <c r="B27" s="23"/>
    </row>
    <row r="28" spans="1:10">
      <c r="A28" s="22"/>
      <c r="B28" s="22"/>
    </row>
    <row r="29" spans="1:10">
      <c r="A29" s="22"/>
      <c r="B29" s="22"/>
    </row>
    <row r="30" spans="1:10">
      <c r="A30" s="22"/>
      <c r="B30" s="22"/>
    </row>
    <row r="31" spans="1:10">
      <c r="A31" s="22"/>
      <c r="B31" s="22"/>
    </row>
    <row r="32" spans="1:10">
      <c r="A32" s="22"/>
      <c r="B32" s="22"/>
    </row>
    <row r="33" spans="1:2">
      <c r="A33" s="23"/>
      <c r="B33" s="23"/>
    </row>
    <row r="34" spans="1:2">
      <c r="A34" s="23"/>
      <c r="B34" s="23"/>
    </row>
    <row r="35" spans="1:2">
      <c r="A35" s="68"/>
      <c r="B35" s="69"/>
    </row>
    <row r="36" spans="1:2">
      <c r="A36" s="68"/>
      <c r="B36" s="69"/>
    </row>
    <row r="37" spans="1:2">
      <c r="A37" s="70"/>
      <c r="B37" s="71">
        <f>SUM(B22:B35)</f>
        <v>8750000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K113"/>
  <sheetViews>
    <sheetView topLeftCell="S1" workbookViewId="0">
      <selection activeCell="W107" sqref="W107"/>
    </sheetView>
  </sheetViews>
  <sheetFormatPr defaultRowHeight="15"/>
  <cols>
    <col min="1" max="1" width="6.42578125" customWidth="1"/>
    <col min="2" max="2" width="9.7109375" bestFit="1" customWidth="1"/>
    <col min="3" max="3" width="59" bestFit="1" customWidth="1"/>
    <col min="4" max="4" width="12" style="77" bestFit="1" customWidth="1"/>
    <col min="5" max="5" width="6.5703125" customWidth="1"/>
    <col min="6" max="6" width="6.28515625" bestFit="1" customWidth="1"/>
    <col min="7" max="7" width="6" bestFit="1" customWidth="1"/>
    <col min="8" max="8" width="10" bestFit="1" customWidth="1"/>
    <col min="11" max="11" width="6.42578125" customWidth="1"/>
    <col min="12" max="12" width="9.7109375" bestFit="1" customWidth="1"/>
    <col min="13" max="13" width="59" bestFit="1" customWidth="1"/>
    <col min="14" max="14" width="12" style="77" bestFit="1" customWidth="1"/>
    <col min="15" max="15" width="6.5703125" customWidth="1"/>
    <col min="16" max="16" width="6.28515625" bestFit="1" customWidth="1"/>
    <col min="17" max="17" width="6" bestFit="1" customWidth="1"/>
    <col min="18" max="18" width="10" bestFit="1" customWidth="1"/>
    <col min="21" max="21" width="6.42578125" customWidth="1"/>
    <col min="22" max="22" width="10.42578125" bestFit="1" customWidth="1"/>
    <col min="23" max="23" width="59" bestFit="1" customWidth="1"/>
    <col min="24" max="24" width="12" style="77" bestFit="1" customWidth="1"/>
    <col min="25" max="25" width="6.5703125" customWidth="1"/>
    <col min="26" max="26" width="6.28515625" bestFit="1" customWidth="1"/>
    <col min="27" max="27" width="6" bestFit="1" customWidth="1"/>
    <col min="28" max="28" width="10" bestFit="1" customWidth="1"/>
    <col min="29" max="29" width="11.5703125" bestFit="1" customWidth="1"/>
    <col min="30" max="30" width="6.42578125" customWidth="1"/>
    <col min="31" max="31" width="10.42578125" bestFit="1" customWidth="1"/>
    <col min="32" max="32" width="59" bestFit="1" customWidth="1"/>
    <col min="33" max="33" width="12" style="77" bestFit="1" customWidth="1"/>
    <col min="34" max="34" width="6.5703125" customWidth="1"/>
    <col min="35" max="35" width="6.28515625" bestFit="1" customWidth="1"/>
    <col min="36" max="36" width="6" bestFit="1" customWidth="1"/>
    <col min="37" max="37" width="10" bestFit="1" customWidth="1"/>
  </cols>
  <sheetData>
    <row r="1" spans="1:37" ht="15.75">
      <c r="A1" s="347" t="s">
        <v>0</v>
      </c>
      <c r="B1" s="2"/>
      <c r="C1" s="3"/>
      <c r="D1" s="3"/>
      <c r="E1" s="3"/>
      <c r="F1" s="3"/>
      <c r="G1" s="3"/>
      <c r="H1" s="3"/>
      <c r="K1" s="347" t="s">
        <v>0</v>
      </c>
      <c r="L1" s="2"/>
      <c r="M1" s="3"/>
      <c r="N1" s="3"/>
      <c r="O1" s="3"/>
      <c r="P1" s="3"/>
      <c r="Q1" s="3"/>
      <c r="R1" s="3"/>
      <c r="U1" s="347" t="s">
        <v>0</v>
      </c>
      <c r="V1" s="2"/>
      <c r="W1" s="3"/>
      <c r="X1" s="3"/>
      <c r="Y1" s="3"/>
      <c r="Z1" s="3"/>
      <c r="AA1" s="3"/>
      <c r="AB1" s="3"/>
      <c r="AD1" s="347" t="s">
        <v>0</v>
      </c>
      <c r="AE1" s="2"/>
      <c r="AF1" s="3"/>
      <c r="AG1" s="3"/>
      <c r="AH1" s="3"/>
      <c r="AI1" s="3"/>
      <c r="AJ1" s="3"/>
      <c r="AK1" s="3"/>
    </row>
    <row r="2" spans="1:37" ht="15.75">
      <c r="A2" s="347" t="s">
        <v>1332</v>
      </c>
      <c r="B2" s="2"/>
      <c r="C2" s="3"/>
      <c r="D2" s="3"/>
      <c r="E2" s="3"/>
      <c r="F2" s="3"/>
      <c r="G2" s="3"/>
      <c r="H2" s="3"/>
      <c r="K2" s="347" t="s">
        <v>1332</v>
      </c>
      <c r="L2" s="2"/>
      <c r="M2" s="3"/>
      <c r="N2" s="3"/>
      <c r="O2" s="3"/>
      <c r="P2" s="3"/>
      <c r="Q2" s="3"/>
      <c r="R2" s="3"/>
      <c r="U2" s="347" t="s">
        <v>1346</v>
      </c>
      <c r="V2" s="2"/>
      <c r="W2" s="3"/>
      <c r="X2" s="3"/>
      <c r="Y2" s="3"/>
      <c r="Z2" s="3"/>
      <c r="AA2" s="3"/>
      <c r="AB2" s="3"/>
      <c r="AD2" s="347" t="s">
        <v>1352</v>
      </c>
      <c r="AE2" s="2"/>
      <c r="AF2" s="3"/>
      <c r="AG2" s="3"/>
      <c r="AH2" s="3"/>
      <c r="AI2" s="3"/>
      <c r="AJ2" s="3"/>
      <c r="AK2" s="3"/>
    </row>
    <row r="3" spans="1:37">
      <c r="A3" s="534" t="s">
        <v>1</v>
      </c>
      <c r="B3" s="534"/>
      <c r="C3" s="534"/>
      <c r="D3" s="534"/>
      <c r="E3" s="534"/>
      <c r="F3" s="534"/>
      <c r="G3" s="534"/>
      <c r="H3" s="534"/>
      <c r="K3" s="534" t="s">
        <v>1</v>
      </c>
      <c r="L3" s="534"/>
      <c r="M3" s="534"/>
      <c r="N3" s="534"/>
      <c r="O3" s="534"/>
      <c r="P3" s="534"/>
      <c r="Q3" s="534"/>
      <c r="R3" s="534"/>
      <c r="U3" s="534" t="s">
        <v>1</v>
      </c>
      <c r="V3" s="534"/>
      <c r="W3" s="534"/>
      <c r="X3" s="534"/>
      <c r="Y3" s="534"/>
      <c r="Z3" s="534"/>
      <c r="AA3" s="534"/>
      <c r="AB3" s="534"/>
      <c r="AD3" s="534" t="s">
        <v>1</v>
      </c>
      <c r="AE3" s="534"/>
      <c r="AF3" s="534"/>
      <c r="AG3" s="534"/>
      <c r="AH3" s="534"/>
      <c r="AI3" s="534"/>
      <c r="AJ3" s="534"/>
      <c r="AK3" s="534"/>
    </row>
    <row r="4" spans="1:37">
      <c r="A4" s="4"/>
      <c r="B4" s="5"/>
      <c r="C4" s="6" t="s">
        <v>2</v>
      </c>
      <c r="D4" s="77">
        <v>0</v>
      </c>
      <c r="E4" s="6"/>
      <c r="F4" s="6"/>
      <c r="G4" s="6"/>
      <c r="H4" s="6"/>
      <c r="K4" s="4"/>
      <c r="L4" s="5"/>
      <c r="M4" s="6" t="s">
        <v>2</v>
      </c>
      <c r="N4" s="77">
        <v>0</v>
      </c>
      <c r="O4" s="6"/>
      <c r="P4" s="6"/>
      <c r="Q4" s="6"/>
      <c r="R4" s="6"/>
      <c r="U4" s="4"/>
      <c r="V4" s="5"/>
      <c r="W4" s="6" t="s">
        <v>2</v>
      </c>
      <c r="X4" s="77">
        <v>0</v>
      </c>
      <c r="Y4" s="6"/>
      <c r="Z4" s="6"/>
      <c r="AA4" s="6"/>
      <c r="AB4" s="6"/>
      <c r="AD4" s="4"/>
      <c r="AE4" s="5"/>
      <c r="AF4" s="6" t="s">
        <v>2</v>
      </c>
      <c r="AG4" s="77">
        <v>0</v>
      </c>
      <c r="AH4" s="6"/>
      <c r="AI4" s="6"/>
      <c r="AJ4" s="6"/>
      <c r="AK4" s="6"/>
    </row>
    <row r="5" spans="1:37">
      <c r="A5" s="4"/>
      <c r="B5" s="5"/>
      <c r="C5" s="6" t="s">
        <v>590</v>
      </c>
      <c r="D5" s="7" t="s">
        <v>849</v>
      </c>
      <c r="E5" s="6"/>
      <c r="F5" s="6"/>
      <c r="G5" s="6"/>
      <c r="H5" s="6"/>
      <c r="K5" s="4"/>
      <c r="L5" s="5"/>
      <c r="M5" s="6" t="s">
        <v>590</v>
      </c>
      <c r="N5" s="7" t="s">
        <v>849</v>
      </c>
      <c r="O5" s="6"/>
      <c r="P5" s="6"/>
      <c r="Q5" s="6"/>
      <c r="R5" s="6"/>
      <c r="U5" s="4"/>
      <c r="V5" s="5"/>
      <c r="W5" s="6" t="s">
        <v>590</v>
      </c>
      <c r="X5" s="7" t="s">
        <v>849</v>
      </c>
      <c r="Y5" s="6"/>
      <c r="Z5" s="6"/>
      <c r="AA5" s="6"/>
      <c r="AB5" s="6"/>
      <c r="AD5" s="4"/>
      <c r="AE5" s="5"/>
      <c r="AF5" s="6" t="s">
        <v>590</v>
      </c>
      <c r="AG5" s="7" t="s">
        <v>849</v>
      </c>
      <c r="AH5" s="6"/>
      <c r="AI5" s="6"/>
      <c r="AJ5" s="6"/>
      <c r="AK5" s="6"/>
    </row>
    <row r="6" spans="1:37">
      <c r="A6" s="4"/>
      <c r="B6" s="5"/>
      <c r="C6" s="6" t="s">
        <v>3</v>
      </c>
      <c r="D6" s="8">
        <v>138815</v>
      </c>
      <c r="E6" s="6"/>
      <c r="F6" s="6"/>
      <c r="G6" s="6"/>
      <c r="H6" s="6"/>
      <c r="I6" s="8">
        <v>784815</v>
      </c>
      <c r="J6" s="72"/>
      <c r="K6" s="4"/>
      <c r="L6" s="5"/>
      <c r="M6" s="6" t="s">
        <v>3</v>
      </c>
      <c r="N6" s="8">
        <v>138815</v>
      </c>
      <c r="O6" s="6"/>
      <c r="P6" s="6"/>
      <c r="Q6" s="6"/>
      <c r="R6" s="6"/>
      <c r="U6" s="4"/>
      <c r="V6" s="5"/>
      <c r="W6" s="6" t="s">
        <v>3</v>
      </c>
      <c r="X6" s="8">
        <v>138815</v>
      </c>
      <c r="Y6" s="6"/>
      <c r="Z6" s="6"/>
      <c r="AA6" s="6"/>
      <c r="AB6" s="6"/>
      <c r="AD6" s="4"/>
      <c r="AE6" s="5"/>
      <c r="AF6" s="6" t="s">
        <v>3</v>
      </c>
      <c r="AG6" s="8">
        <v>138815</v>
      </c>
      <c r="AH6" s="6"/>
      <c r="AI6" s="6"/>
      <c r="AJ6" s="6"/>
      <c r="AK6" s="6"/>
    </row>
    <row r="7" spans="1:37">
      <c r="A7" s="4"/>
      <c r="B7" s="5"/>
      <c r="C7" s="6" t="s">
        <v>4</v>
      </c>
      <c r="D7" s="115">
        <v>1139810</v>
      </c>
      <c r="E7" s="6"/>
      <c r="F7" s="6"/>
      <c r="G7" s="6"/>
      <c r="H7" s="6"/>
      <c r="K7" s="4"/>
      <c r="L7" s="5"/>
      <c r="M7" s="6" t="s">
        <v>4</v>
      </c>
      <c r="N7" s="115">
        <v>1139810</v>
      </c>
      <c r="O7" s="6"/>
      <c r="P7" s="6"/>
      <c r="Q7" s="6"/>
      <c r="R7" s="6"/>
      <c r="U7" s="4"/>
      <c r="V7" s="5"/>
      <c r="W7" s="6" t="s">
        <v>4</v>
      </c>
      <c r="X7" s="115">
        <v>1139810</v>
      </c>
      <c r="Y7" s="6"/>
      <c r="Z7" s="6"/>
      <c r="AA7" s="6"/>
      <c r="AB7" s="6"/>
      <c r="AD7" s="4"/>
      <c r="AE7" s="5"/>
      <c r="AF7" s="6" t="s">
        <v>4</v>
      </c>
      <c r="AG7" s="115">
        <v>1139810</v>
      </c>
      <c r="AH7" s="6"/>
      <c r="AI7" s="6"/>
      <c r="AJ7" s="6"/>
      <c r="AK7" s="6"/>
    </row>
    <row r="8" spans="1:37">
      <c r="A8" s="4"/>
      <c r="B8" s="5"/>
      <c r="C8" s="6" t="s">
        <v>5</v>
      </c>
      <c r="D8" s="6">
        <v>1146153</v>
      </c>
      <c r="E8" s="6"/>
      <c r="F8" s="6"/>
      <c r="G8" s="6"/>
      <c r="H8" s="6"/>
      <c r="K8" s="4"/>
      <c r="L8" s="5"/>
      <c r="M8" s="6" t="s">
        <v>5</v>
      </c>
      <c r="N8" s="6">
        <v>1146153</v>
      </c>
      <c r="O8" s="6"/>
      <c r="P8" s="6"/>
      <c r="Q8" s="6"/>
      <c r="R8" s="6"/>
      <c r="U8" s="4"/>
      <c r="V8" s="5"/>
      <c r="W8" s="6" t="s">
        <v>5</v>
      </c>
      <c r="X8" s="6">
        <v>1146153</v>
      </c>
      <c r="Y8" s="6"/>
      <c r="Z8" s="6"/>
      <c r="AA8" s="6"/>
      <c r="AB8" s="6"/>
      <c r="AD8" s="4"/>
      <c r="AE8" s="5"/>
      <c r="AF8" s="6" t="s">
        <v>5</v>
      </c>
      <c r="AG8" s="6">
        <v>1146153</v>
      </c>
      <c r="AH8" s="6"/>
      <c r="AI8" s="6"/>
      <c r="AJ8" s="6"/>
      <c r="AK8" s="6"/>
    </row>
    <row r="9" spans="1:3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K9" s="4"/>
      <c r="L9" s="5"/>
      <c r="M9" s="6" t="s">
        <v>6</v>
      </c>
      <c r="N9" s="6">
        <v>3297735.5133333281</v>
      </c>
      <c r="O9" s="6"/>
      <c r="P9" s="6"/>
      <c r="Q9" s="6"/>
      <c r="R9" s="6"/>
      <c r="U9" s="4"/>
      <c r="V9" s="5"/>
      <c r="W9" s="6" t="s">
        <v>6</v>
      </c>
      <c r="X9" s="6">
        <v>3297735.5133333281</v>
      </c>
      <c r="Y9" s="6"/>
      <c r="Z9" s="6"/>
      <c r="AA9" s="6"/>
      <c r="AB9" s="6"/>
      <c r="AD9" s="4"/>
      <c r="AE9" s="5"/>
      <c r="AF9" s="6" t="s">
        <v>6</v>
      </c>
      <c r="AG9" s="6">
        <v>3297735.5133333281</v>
      </c>
      <c r="AH9" s="6"/>
      <c r="AI9" s="6"/>
      <c r="AJ9" s="6"/>
      <c r="AK9" s="6"/>
    </row>
    <row r="10" spans="1:37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K10" s="4"/>
      <c r="L10" s="5"/>
      <c r="M10" s="6" t="s">
        <v>7</v>
      </c>
      <c r="N10" s="6">
        <v>2363662</v>
      </c>
      <c r="O10" s="6"/>
      <c r="P10" s="6"/>
      <c r="Q10" s="6"/>
      <c r="R10" s="6"/>
      <c r="U10" s="4"/>
      <c r="V10" s="5"/>
      <c r="W10" s="6" t="s">
        <v>7</v>
      </c>
      <c r="X10" s="6">
        <v>2363662</v>
      </c>
      <c r="Y10" s="6"/>
      <c r="Z10" s="6"/>
      <c r="AA10" s="6"/>
      <c r="AB10" s="6"/>
      <c r="AD10" s="4"/>
      <c r="AE10" s="5"/>
      <c r="AF10" s="6" t="s">
        <v>7</v>
      </c>
      <c r="AG10" s="6">
        <v>2363662</v>
      </c>
      <c r="AH10" s="6"/>
      <c r="AI10" s="6"/>
      <c r="AJ10" s="6"/>
      <c r="AK10" s="6"/>
    </row>
    <row r="11" spans="1:37">
      <c r="A11" s="4"/>
      <c r="B11" s="5"/>
      <c r="C11" s="6"/>
      <c r="D11" s="6"/>
      <c r="E11" s="6"/>
      <c r="F11" s="6"/>
      <c r="G11" s="6"/>
      <c r="H11" s="6"/>
      <c r="K11" s="4"/>
      <c r="L11" s="5"/>
      <c r="M11" s="6"/>
      <c r="N11" s="6"/>
      <c r="O11" s="6"/>
      <c r="P11" s="6"/>
      <c r="Q11" s="6"/>
      <c r="R11" s="6"/>
      <c r="U11" s="4"/>
      <c r="V11" s="5"/>
      <c r="W11" s="6"/>
      <c r="X11" s="6"/>
      <c r="Y11" s="6"/>
      <c r="Z11" s="6"/>
      <c r="AA11" s="6"/>
      <c r="AB11" s="6"/>
      <c r="AD11" s="4"/>
      <c r="AE11" s="5"/>
      <c r="AF11" s="6"/>
      <c r="AG11" s="6"/>
      <c r="AH11" s="6"/>
      <c r="AI11" s="6"/>
      <c r="AJ11" s="6"/>
      <c r="AK11" s="6"/>
    </row>
    <row r="12" spans="1:37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8086175.5133333281</v>
      </c>
      <c r="K12" s="531" t="s">
        <v>1071</v>
      </c>
      <c r="L12" s="532"/>
      <c r="M12" s="532"/>
      <c r="N12" s="532"/>
      <c r="O12" s="532"/>
      <c r="P12" s="532"/>
      <c r="Q12" s="533"/>
      <c r="R12" s="10">
        <f>SUM(N4:N10)</f>
        <v>8086175.5133333281</v>
      </c>
      <c r="U12" s="531" t="s">
        <v>1071</v>
      </c>
      <c r="V12" s="532"/>
      <c r="W12" s="532"/>
      <c r="X12" s="532"/>
      <c r="Y12" s="532"/>
      <c r="Z12" s="532"/>
      <c r="AA12" s="533"/>
      <c r="AB12" s="10">
        <f>SUM(X4:X10)</f>
        <v>8086175.5133333281</v>
      </c>
      <c r="AD12" s="531" t="s">
        <v>1071</v>
      </c>
      <c r="AE12" s="532"/>
      <c r="AF12" s="532"/>
      <c r="AG12" s="532"/>
      <c r="AH12" s="532"/>
      <c r="AI12" s="532"/>
      <c r="AJ12" s="533"/>
      <c r="AK12" s="10">
        <f>SUM(AG4:AG10)</f>
        <v>8086175.5133333281</v>
      </c>
    </row>
    <row r="13" spans="1:37">
      <c r="A13" s="535" t="s">
        <v>8</v>
      </c>
      <c r="B13" s="535"/>
      <c r="C13" s="535"/>
      <c r="D13" s="535"/>
      <c r="E13" s="535"/>
      <c r="F13" s="535"/>
      <c r="G13" s="535"/>
      <c r="H13" s="535"/>
      <c r="K13" s="535" t="s">
        <v>8</v>
      </c>
      <c r="L13" s="535"/>
      <c r="M13" s="535"/>
      <c r="N13" s="535"/>
      <c r="O13" s="535"/>
      <c r="P13" s="535"/>
      <c r="Q13" s="535"/>
      <c r="R13" s="535"/>
      <c r="U13" s="535" t="s">
        <v>8</v>
      </c>
      <c r="V13" s="535"/>
      <c r="W13" s="535"/>
      <c r="X13" s="535"/>
      <c r="Y13" s="535"/>
      <c r="Z13" s="535"/>
      <c r="AA13" s="535"/>
      <c r="AB13" s="535"/>
      <c r="AD13" s="535" t="s">
        <v>8</v>
      </c>
      <c r="AE13" s="535"/>
      <c r="AF13" s="535"/>
      <c r="AG13" s="535"/>
      <c r="AH13" s="535"/>
      <c r="AI13" s="535"/>
      <c r="AJ13" s="535"/>
      <c r="AK13" s="535"/>
    </row>
    <row r="14" spans="1:3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K14" s="536" t="s">
        <v>9</v>
      </c>
      <c r="L14" s="537" t="s">
        <v>10</v>
      </c>
      <c r="M14" s="538" t="s">
        <v>11</v>
      </c>
      <c r="N14" s="538" t="s">
        <v>12</v>
      </c>
      <c r="O14" s="530" t="s">
        <v>13</v>
      </c>
      <c r="P14" s="530"/>
      <c r="Q14" s="530"/>
      <c r="R14" s="530"/>
      <c r="U14" s="536" t="s">
        <v>9</v>
      </c>
      <c r="V14" s="537" t="s">
        <v>10</v>
      </c>
      <c r="W14" s="538" t="s">
        <v>11</v>
      </c>
      <c r="X14" s="538" t="s">
        <v>12</v>
      </c>
      <c r="Y14" s="530" t="s">
        <v>13</v>
      </c>
      <c r="Z14" s="530"/>
      <c r="AA14" s="530"/>
      <c r="AB14" s="530"/>
      <c r="AD14" s="536" t="s">
        <v>9</v>
      </c>
      <c r="AE14" s="537" t="s">
        <v>10</v>
      </c>
      <c r="AF14" s="538" t="s">
        <v>11</v>
      </c>
      <c r="AG14" s="538" t="s">
        <v>12</v>
      </c>
      <c r="AH14" s="530" t="s">
        <v>13</v>
      </c>
      <c r="AI14" s="530"/>
      <c r="AJ14" s="530"/>
      <c r="AK14" s="530"/>
    </row>
    <row r="15" spans="1:37">
      <c r="A15" s="536"/>
      <c r="B15" s="537"/>
      <c r="C15" s="538"/>
      <c r="D15" s="538"/>
      <c r="E15" s="401" t="s">
        <v>14</v>
      </c>
      <c r="F15" s="401" t="s">
        <v>15</v>
      </c>
      <c r="G15" s="401" t="s">
        <v>16</v>
      </c>
      <c r="H15" s="401" t="s">
        <v>17</v>
      </c>
      <c r="K15" s="536"/>
      <c r="L15" s="537"/>
      <c r="M15" s="538"/>
      <c r="N15" s="538"/>
      <c r="O15" s="406" t="s">
        <v>14</v>
      </c>
      <c r="P15" s="406" t="s">
        <v>15</v>
      </c>
      <c r="Q15" s="406" t="s">
        <v>16</v>
      </c>
      <c r="R15" s="406" t="s">
        <v>17</v>
      </c>
      <c r="U15" s="536"/>
      <c r="V15" s="537"/>
      <c r="W15" s="538"/>
      <c r="X15" s="538"/>
      <c r="Y15" s="409" t="s">
        <v>14</v>
      </c>
      <c r="Z15" s="409" t="s">
        <v>15</v>
      </c>
      <c r="AA15" s="409" t="s">
        <v>16</v>
      </c>
      <c r="AB15" s="409" t="s">
        <v>17</v>
      </c>
      <c r="AD15" s="536"/>
      <c r="AE15" s="537"/>
      <c r="AF15" s="538"/>
      <c r="AG15" s="538"/>
      <c r="AH15" s="413" t="s">
        <v>14</v>
      </c>
      <c r="AI15" s="413" t="s">
        <v>15</v>
      </c>
      <c r="AJ15" s="413" t="s">
        <v>16</v>
      </c>
      <c r="AK15" s="413" t="s">
        <v>17</v>
      </c>
    </row>
    <row r="16" spans="1:37">
      <c r="A16" s="12"/>
      <c r="B16" s="19" t="s">
        <v>1214</v>
      </c>
      <c r="C16" s="14" t="s">
        <v>1215</v>
      </c>
      <c r="D16" s="15">
        <v>1600000</v>
      </c>
      <c r="E16" s="16"/>
      <c r="F16" s="16"/>
      <c r="G16" s="16"/>
      <c r="H16" s="16"/>
      <c r="K16" s="12"/>
      <c r="L16" s="19" t="s">
        <v>1214</v>
      </c>
      <c r="M16" s="14" t="s">
        <v>1215</v>
      </c>
      <c r="N16" s="15"/>
      <c r="O16" s="16"/>
      <c r="P16" s="16"/>
      <c r="Q16" s="16"/>
      <c r="R16" s="16"/>
      <c r="U16" s="12"/>
      <c r="V16" s="19" t="s">
        <v>1214</v>
      </c>
      <c r="W16" s="14" t="s">
        <v>1215</v>
      </c>
      <c r="X16" s="15"/>
      <c r="Y16" s="16"/>
      <c r="Z16" s="16"/>
      <c r="AA16" s="16"/>
      <c r="AB16" s="16"/>
      <c r="AD16" s="12"/>
      <c r="AE16" s="19"/>
      <c r="AF16" s="14"/>
      <c r="AG16" s="15"/>
      <c r="AH16" s="16"/>
      <c r="AI16" s="16"/>
      <c r="AJ16" s="16"/>
      <c r="AK16" s="16"/>
    </row>
    <row r="17" spans="1:37">
      <c r="A17" s="12"/>
      <c r="B17" s="19" t="s">
        <v>1214</v>
      </c>
      <c r="C17" s="14" t="s">
        <v>1242</v>
      </c>
      <c r="D17" s="15">
        <v>500000</v>
      </c>
      <c r="E17" s="16"/>
      <c r="F17" s="16"/>
      <c r="G17" s="16"/>
      <c r="H17" s="16"/>
      <c r="K17" s="12"/>
      <c r="L17" s="19" t="s">
        <v>1214</v>
      </c>
      <c r="M17" s="14" t="s">
        <v>1242</v>
      </c>
      <c r="N17" s="15"/>
      <c r="O17" s="16"/>
      <c r="P17" s="16"/>
      <c r="Q17" s="16"/>
      <c r="R17" s="16"/>
      <c r="U17" s="12"/>
      <c r="V17" s="19" t="s">
        <v>1214</v>
      </c>
      <c r="W17" s="14" t="s">
        <v>1242</v>
      </c>
      <c r="X17" s="15"/>
      <c r="Y17" s="16"/>
      <c r="Z17" s="16"/>
      <c r="AA17" s="16"/>
      <c r="AB17" s="16"/>
      <c r="AD17" s="12"/>
      <c r="AE17" s="19"/>
      <c r="AF17" s="14"/>
      <c r="AG17" s="15"/>
      <c r="AH17" s="16"/>
      <c r="AI17" s="16"/>
      <c r="AJ17" s="16"/>
      <c r="AK17" s="16"/>
    </row>
    <row r="18" spans="1:37">
      <c r="A18" s="12"/>
      <c r="B18" s="19" t="s">
        <v>1316</v>
      </c>
      <c r="C18" s="14" t="s">
        <v>1002</v>
      </c>
      <c r="D18" s="15">
        <v>503000</v>
      </c>
      <c r="E18" s="16"/>
      <c r="F18" s="16"/>
      <c r="G18" s="16"/>
      <c r="H18" s="16"/>
      <c r="K18" s="12"/>
      <c r="L18" s="19" t="s">
        <v>1316</v>
      </c>
      <c r="M18" s="14" t="s">
        <v>1002</v>
      </c>
      <c r="N18" s="15"/>
      <c r="O18" s="16"/>
      <c r="P18" s="16"/>
      <c r="Q18" s="16"/>
      <c r="R18" s="16"/>
      <c r="U18" s="12"/>
      <c r="V18" s="19" t="s">
        <v>1316</v>
      </c>
      <c r="W18" s="14" t="s">
        <v>1002</v>
      </c>
      <c r="X18" s="15">
        <v>503000</v>
      </c>
      <c r="Y18" s="16"/>
      <c r="Z18" s="16"/>
      <c r="AA18" s="16"/>
      <c r="AB18" s="16"/>
      <c r="AD18" s="12"/>
      <c r="AE18" s="19"/>
      <c r="AF18" s="14"/>
      <c r="AG18" s="15"/>
      <c r="AH18" s="16"/>
      <c r="AI18" s="16"/>
      <c r="AJ18" s="16"/>
      <c r="AK18" s="16"/>
    </row>
    <row r="19" spans="1:37">
      <c r="A19" s="12"/>
      <c r="B19" s="19" t="s">
        <v>1316</v>
      </c>
      <c r="C19" s="14" t="s">
        <v>1001</v>
      </c>
      <c r="D19" s="15">
        <v>503000</v>
      </c>
      <c r="E19" s="16"/>
      <c r="F19" s="16"/>
      <c r="G19" s="16"/>
      <c r="H19" s="16"/>
      <c r="K19" s="12"/>
      <c r="L19" s="19" t="s">
        <v>1316</v>
      </c>
      <c r="M19" s="14" t="s">
        <v>1001</v>
      </c>
      <c r="N19" s="15"/>
      <c r="O19" s="16"/>
      <c r="P19" s="16"/>
      <c r="Q19" s="16"/>
      <c r="R19" s="16"/>
      <c r="U19" s="12"/>
      <c r="V19" s="19" t="s">
        <v>1316</v>
      </c>
      <c r="W19" s="14" t="s">
        <v>1001</v>
      </c>
      <c r="X19" s="15">
        <v>503000</v>
      </c>
      <c r="Y19" s="16"/>
      <c r="Z19" s="16"/>
      <c r="AA19" s="16"/>
      <c r="AB19" s="16"/>
      <c r="AD19" s="12"/>
      <c r="AE19" s="19"/>
      <c r="AF19" s="14"/>
      <c r="AG19" s="15"/>
      <c r="AH19" s="16"/>
      <c r="AI19" s="16"/>
      <c r="AJ19" s="16"/>
      <c r="AK19" s="16"/>
    </row>
    <row r="20" spans="1:37">
      <c r="A20" s="12"/>
      <c r="B20" s="19" t="s">
        <v>1316</v>
      </c>
      <c r="C20" s="14" t="s">
        <v>1310</v>
      </c>
      <c r="D20" s="15">
        <v>185000</v>
      </c>
      <c r="E20" s="16"/>
      <c r="F20" s="16"/>
      <c r="G20" s="16"/>
      <c r="H20" s="16"/>
      <c r="K20" s="12"/>
      <c r="L20" s="19" t="s">
        <v>1316</v>
      </c>
      <c r="M20" s="14" t="s">
        <v>1310</v>
      </c>
      <c r="N20" s="15"/>
      <c r="O20" s="16"/>
      <c r="P20" s="16"/>
      <c r="Q20" s="16"/>
      <c r="R20" s="16"/>
      <c r="U20" s="12"/>
      <c r="V20" s="19" t="s">
        <v>1316</v>
      </c>
      <c r="W20" s="14" t="s">
        <v>1310</v>
      </c>
      <c r="X20" s="15">
        <v>185000</v>
      </c>
      <c r="Y20" s="16"/>
      <c r="Z20" s="16"/>
      <c r="AA20" s="16"/>
      <c r="AB20" s="16"/>
      <c r="AD20" s="12"/>
      <c r="AE20" s="19"/>
      <c r="AF20" s="14"/>
      <c r="AG20" s="15"/>
      <c r="AH20" s="16"/>
      <c r="AI20" s="16"/>
      <c r="AJ20" s="16"/>
      <c r="AK20" s="16"/>
    </row>
    <row r="21" spans="1:37">
      <c r="A21" s="12"/>
      <c r="B21" s="19" t="s">
        <v>1316</v>
      </c>
      <c r="C21" s="14" t="s">
        <v>184</v>
      </c>
      <c r="D21" s="15">
        <v>350000</v>
      </c>
      <c r="E21" s="16"/>
      <c r="F21" s="16"/>
      <c r="G21" s="16"/>
      <c r="H21" s="16"/>
      <c r="K21" s="12"/>
      <c r="L21" s="19" t="s">
        <v>1316</v>
      </c>
      <c r="M21" s="14" t="s">
        <v>184</v>
      </c>
      <c r="N21" s="15"/>
      <c r="O21" s="16"/>
      <c r="P21" s="16"/>
      <c r="Q21" s="16"/>
      <c r="R21" s="16"/>
      <c r="U21" s="12"/>
      <c r="V21" s="19" t="s">
        <v>1316</v>
      </c>
      <c r="W21" s="14" t="s">
        <v>184</v>
      </c>
      <c r="X21" s="15"/>
      <c r="Y21" s="16"/>
      <c r="Z21" s="16"/>
      <c r="AA21" s="16"/>
      <c r="AB21" s="16"/>
      <c r="AD21" s="12"/>
      <c r="AE21" s="19" t="s">
        <v>1316</v>
      </c>
      <c r="AF21" s="14" t="s">
        <v>184</v>
      </c>
      <c r="AG21" s="15">
        <v>350000</v>
      </c>
      <c r="AH21" s="16"/>
      <c r="AI21" s="16"/>
      <c r="AJ21" s="16"/>
      <c r="AK21" s="16"/>
    </row>
    <row r="22" spans="1:37">
      <c r="A22" s="12"/>
      <c r="B22" s="19" t="s">
        <v>1316</v>
      </c>
      <c r="C22" s="14" t="s">
        <v>1311</v>
      </c>
      <c r="D22" s="15">
        <v>250000</v>
      </c>
      <c r="E22" s="16"/>
      <c r="F22" s="16"/>
      <c r="G22" s="16"/>
      <c r="H22" s="16"/>
      <c r="K22" s="12"/>
      <c r="L22" s="19" t="s">
        <v>1316</v>
      </c>
      <c r="M22" s="14" t="s">
        <v>1311</v>
      </c>
      <c r="N22" s="15"/>
      <c r="O22" s="16"/>
      <c r="P22" s="16"/>
      <c r="Q22" s="16"/>
      <c r="R22" s="16"/>
      <c r="U22" s="12"/>
      <c r="V22" s="19" t="s">
        <v>1316</v>
      </c>
      <c r="W22" s="14" t="s">
        <v>1311</v>
      </c>
      <c r="X22" s="15"/>
      <c r="Y22" s="16"/>
      <c r="Z22" s="16"/>
      <c r="AA22" s="16"/>
      <c r="AB22" s="16"/>
      <c r="AD22" s="12"/>
      <c r="AE22" s="19" t="s">
        <v>1316</v>
      </c>
      <c r="AF22" s="14" t="s">
        <v>1311</v>
      </c>
      <c r="AG22" s="15">
        <v>250000</v>
      </c>
      <c r="AH22" s="16"/>
      <c r="AI22" s="16"/>
      <c r="AJ22" s="16"/>
      <c r="AK22" s="16"/>
    </row>
    <row r="23" spans="1:37">
      <c r="A23" s="12"/>
      <c r="B23" s="19" t="s">
        <v>1316</v>
      </c>
      <c r="C23" s="14" t="s">
        <v>1312</v>
      </c>
      <c r="D23" s="15">
        <v>1196312</v>
      </c>
      <c r="E23" s="16"/>
      <c r="F23" s="16"/>
      <c r="G23" s="16"/>
      <c r="H23" s="16"/>
      <c r="K23" s="12"/>
      <c r="L23" s="19" t="s">
        <v>1316</v>
      </c>
      <c r="M23" s="14" t="s">
        <v>1312</v>
      </c>
      <c r="N23" s="15"/>
      <c r="O23" s="16"/>
      <c r="P23" s="16"/>
      <c r="Q23" s="16"/>
      <c r="R23" s="16"/>
      <c r="U23" s="12"/>
      <c r="V23" s="19" t="s">
        <v>1316</v>
      </c>
      <c r="W23" s="14" t="s">
        <v>1312</v>
      </c>
      <c r="X23" s="15">
        <v>1196312</v>
      </c>
      <c r="Y23" s="16"/>
      <c r="Z23" s="16"/>
      <c r="AA23" s="16"/>
      <c r="AB23" s="16"/>
      <c r="AD23" s="12"/>
      <c r="AE23" s="19"/>
      <c r="AF23" s="14"/>
      <c r="AG23" s="15"/>
      <c r="AH23" s="16"/>
      <c r="AI23" s="16"/>
      <c r="AJ23" s="16"/>
      <c r="AK23" s="16"/>
    </row>
    <row r="24" spans="1:37">
      <c r="A24" s="12"/>
      <c r="B24" s="19" t="s">
        <v>1316</v>
      </c>
      <c r="C24" s="14" t="s">
        <v>1313</v>
      </c>
      <c r="D24" s="15">
        <v>450000</v>
      </c>
      <c r="E24" s="16"/>
      <c r="F24" s="16"/>
      <c r="G24" s="16"/>
      <c r="H24" s="16"/>
      <c r="K24" s="12"/>
      <c r="L24" s="19" t="s">
        <v>1316</v>
      </c>
      <c r="M24" s="14" t="s">
        <v>1313</v>
      </c>
      <c r="N24" s="15"/>
      <c r="O24" s="16"/>
      <c r="P24" s="16"/>
      <c r="Q24" s="16"/>
      <c r="R24" s="16"/>
      <c r="U24" s="12"/>
      <c r="V24" s="19" t="s">
        <v>1316</v>
      </c>
      <c r="W24" s="14" t="s">
        <v>1313</v>
      </c>
      <c r="X24" s="15">
        <v>450000</v>
      </c>
      <c r="Y24" s="16"/>
      <c r="Z24" s="16"/>
      <c r="AA24" s="16"/>
      <c r="AB24" s="16"/>
      <c r="AD24" s="12"/>
      <c r="AE24" s="19"/>
      <c r="AF24" s="14"/>
      <c r="AG24" s="15"/>
      <c r="AH24" s="16"/>
      <c r="AI24" s="16"/>
      <c r="AJ24" s="16"/>
      <c r="AK24" s="16"/>
    </row>
    <row r="25" spans="1:37">
      <c r="A25" s="12"/>
      <c r="B25" s="19" t="s">
        <v>1316</v>
      </c>
      <c r="C25" s="14" t="s">
        <v>1314</v>
      </c>
      <c r="D25" s="15">
        <v>202500</v>
      </c>
      <c r="E25" s="16"/>
      <c r="F25" s="16"/>
      <c r="G25" s="16"/>
      <c r="H25" s="16"/>
      <c r="K25" s="12"/>
      <c r="L25" s="19" t="s">
        <v>1316</v>
      </c>
      <c r="M25" s="14" t="s">
        <v>1314</v>
      </c>
      <c r="N25" s="15"/>
      <c r="O25" s="16"/>
      <c r="P25" s="16"/>
      <c r="Q25" s="16"/>
      <c r="R25" s="16"/>
      <c r="U25" s="12"/>
      <c r="V25" s="19" t="s">
        <v>1316</v>
      </c>
      <c r="W25" s="14" t="s">
        <v>1314</v>
      </c>
      <c r="X25" s="15">
        <v>202500</v>
      </c>
      <c r="Y25" s="16"/>
      <c r="Z25" s="16"/>
      <c r="AA25" s="16"/>
      <c r="AB25" s="16"/>
      <c r="AD25" s="12"/>
      <c r="AE25" s="19"/>
      <c r="AF25" s="14"/>
      <c r="AG25" s="15"/>
      <c r="AH25" s="16"/>
      <c r="AI25" s="16"/>
      <c r="AJ25" s="16"/>
      <c r="AK25" s="16"/>
    </row>
    <row r="26" spans="1:37">
      <c r="A26" s="12"/>
      <c r="B26" s="19" t="s">
        <v>1316</v>
      </c>
      <c r="C26" s="14" t="s">
        <v>1315</v>
      </c>
      <c r="D26" s="15">
        <v>52500</v>
      </c>
      <c r="E26" s="16"/>
      <c r="F26" s="16"/>
      <c r="G26" s="16"/>
      <c r="H26" s="16"/>
      <c r="K26" s="12"/>
      <c r="L26" s="19" t="s">
        <v>1316</v>
      </c>
      <c r="M26" s="14" t="s">
        <v>1315</v>
      </c>
      <c r="N26" s="15"/>
      <c r="O26" s="16"/>
      <c r="P26" s="16"/>
      <c r="Q26" s="16"/>
      <c r="R26" s="16"/>
      <c r="U26" s="12"/>
      <c r="V26" s="19" t="s">
        <v>1316</v>
      </c>
      <c r="W26" s="14" t="s">
        <v>1315</v>
      </c>
      <c r="X26" s="15"/>
      <c r="Y26" s="16"/>
      <c r="Z26" s="16"/>
      <c r="AA26" s="16"/>
      <c r="AB26" s="16"/>
      <c r="AD26" s="12"/>
      <c r="AE26" s="19" t="s">
        <v>1316</v>
      </c>
      <c r="AF26" s="14" t="s">
        <v>1315</v>
      </c>
      <c r="AG26" s="15">
        <v>52500</v>
      </c>
      <c r="AH26" s="16"/>
      <c r="AI26" s="16"/>
      <c r="AJ26" s="16"/>
      <c r="AK26" s="16"/>
    </row>
    <row r="27" spans="1:37">
      <c r="A27" s="12"/>
      <c r="B27" s="19"/>
      <c r="C27" s="14"/>
      <c r="D27" s="15"/>
      <c r="E27" s="16"/>
      <c r="F27" s="16"/>
      <c r="G27" s="16"/>
      <c r="H27" s="16"/>
      <c r="K27" s="12"/>
      <c r="L27" s="19"/>
      <c r="M27" s="14"/>
      <c r="N27" s="15"/>
      <c r="O27" s="16"/>
      <c r="P27" s="16"/>
      <c r="Q27" s="16"/>
      <c r="R27" s="16"/>
      <c r="U27" s="12"/>
      <c r="V27" s="19" t="s">
        <v>1347</v>
      </c>
      <c r="W27" s="14" t="s">
        <v>1349</v>
      </c>
      <c r="X27" s="15"/>
      <c r="Y27" s="16"/>
      <c r="Z27" s="16"/>
      <c r="AA27" s="16"/>
      <c r="AB27" s="16"/>
      <c r="AD27" s="12"/>
      <c r="AE27" s="19"/>
      <c r="AF27" s="14"/>
      <c r="AG27" s="15"/>
      <c r="AH27" s="16"/>
      <c r="AI27" s="16"/>
      <c r="AJ27" s="16"/>
      <c r="AK27" s="16"/>
    </row>
    <row r="28" spans="1:37">
      <c r="A28" s="12"/>
      <c r="B28" s="19"/>
      <c r="C28" s="14"/>
      <c r="D28" s="15"/>
      <c r="E28" s="16"/>
      <c r="F28" s="16"/>
      <c r="G28" s="16"/>
      <c r="H28" s="16"/>
      <c r="K28" s="12"/>
      <c r="L28" s="19"/>
      <c r="M28" s="14"/>
      <c r="N28" s="15"/>
      <c r="O28" s="16"/>
      <c r="P28" s="16"/>
      <c r="Q28" s="16"/>
      <c r="R28" s="16"/>
      <c r="U28" s="12"/>
      <c r="V28" s="19" t="s">
        <v>1347</v>
      </c>
      <c r="W28" s="14" t="s">
        <v>1348</v>
      </c>
      <c r="X28" s="15"/>
      <c r="Y28" s="16"/>
      <c r="Z28" s="16"/>
      <c r="AA28" s="16"/>
      <c r="AB28" s="16"/>
      <c r="AD28" s="12"/>
      <c r="AE28" s="19"/>
      <c r="AF28" s="14"/>
      <c r="AG28" s="15"/>
      <c r="AH28" s="16"/>
      <c r="AI28" s="16"/>
      <c r="AJ28" s="16"/>
      <c r="AK28" s="16"/>
    </row>
    <row r="29" spans="1:37">
      <c r="A29" s="18"/>
      <c r="B29" s="19"/>
      <c r="C29" s="401" t="s">
        <v>20</v>
      </c>
      <c r="D29" s="10">
        <f>SUM(D16:D28)</f>
        <v>5792312</v>
      </c>
      <c r="E29" s="10"/>
      <c r="F29" s="10"/>
      <c r="G29" s="10"/>
      <c r="H29" s="10"/>
      <c r="K29" s="18"/>
      <c r="L29" s="19"/>
      <c r="M29" s="406" t="s">
        <v>20</v>
      </c>
      <c r="N29" s="10">
        <f>SUM(N16:N28)</f>
        <v>0</v>
      </c>
      <c r="O29" s="10"/>
      <c r="P29" s="10"/>
      <c r="Q29" s="10"/>
      <c r="R29" s="10"/>
      <c r="U29" s="18"/>
      <c r="V29" s="19"/>
      <c r="W29" s="409" t="s">
        <v>20</v>
      </c>
      <c r="X29" s="10">
        <f>SUM(X16:X28)</f>
        <v>3039812</v>
      </c>
      <c r="Y29" s="10"/>
      <c r="Z29" s="10"/>
      <c r="AA29" s="10"/>
      <c r="AB29" s="10"/>
      <c r="AD29" s="18"/>
      <c r="AE29" s="19"/>
      <c r="AF29" s="413" t="s">
        <v>20</v>
      </c>
      <c r="AG29" s="10">
        <f>SUM(AG16:AG28)</f>
        <v>652500</v>
      </c>
      <c r="AH29" s="10"/>
      <c r="AI29" s="10"/>
      <c r="AJ29" s="10"/>
      <c r="AK29" s="10"/>
    </row>
    <row r="30" spans="1:37">
      <c r="A30" s="20"/>
      <c r="B30" s="402"/>
      <c r="C30" s="152" t="s">
        <v>21</v>
      </c>
      <c r="D30" s="150"/>
      <c r="E30" s="150"/>
      <c r="F30" s="150"/>
      <c r="G30" s="151"/>
      <c r="H30" s="21">
        <f>+D29</f>
        <v>5792312</v>
      </c>
      <c r="K30" s="20"/>
      <c r="L30" s="404"/>
      <c r="M30" s="152" t="s">
        <v>21</v>
      </c>
      <c r="N30" s="150"/>
      <c r="O30" s="150"/>
      <c r="P30" s="150"/>
      <c r="Q30" s="151"/>
      <c r="R30" s="21">
        <f>+N29</f>
        <v>0</v>
      </c>
      <c r="U30" s="20"/>
      <c r="V30" s="410"/>
      <c r="W30" s="152" t="s">
        <v>21</v>
      </c>
      <c r="X30" s="150"/>
      <c r="Y30" s="150"/>
      <c r="Z30" s="150"/>
      <c r="AA30" s="151"/>
      <c r="AB30" s="21">
        <f>+X29</f>
        <v>3039812</v>
      </c>
      <c r="AD30" s="20"/>
      <c r="AE30" s="414"/>
      <c r="AF30" s="152" t="s">
        <v>21</v>
      </c>
      <c r="AG30" s="150"/>
      <c r="AH30" s="150"/>
      <c r="AI30" s="150"/>
      <c r="AJ30" s="151"/>
      <c r="AK30" s="21">
        <f>+AG29</f>
        <v>652500</v>
      </c>
    </row>
    <row r="31" spans="1:37">
      <c r="A31" s="526" t="s">
        <v>22</v>
      </c>
      <c r="B31" s="526"/>
      <c r="C31" s="526"/>
      <c r="D31" s="526"/>
      <c r="E31" s="526">
        <f>+H30</f>
        <v>5792312</v>
      </c>
      <c r="F31" s="526"/>
      <c r="G31" s="526"/>
      <c r="H31" s="526"/>
      <c r="K31" s="526" t="s">
        <v>22</v>
      </c>
      <c r="L31" s="526"/>
      <c r="M31" s="526"/>
      <c r="N31" s="526"/>
      <c r="O31" s="526">
        <f>+R30</f>
        <v>0</v>
      </c>
      <c r="P31" s="526"/>
      <c r="Q31" s="526"/>
      <c r="R31" s="526"/>
      <c r="U31" s="526" t="s">
        <v>22</v>
      </c>
      <c r="V31" s="526"/>
      <c r="W31" s="526"/>
      <c r="X31" s="526"/>
      <c r="Y31" s="526">
        <f>+AB30</f>
        <v>3039812</v>
      </c>
      <c r="Z31" s="526"/>
      <c r="AA31" s="526"/>
      <c r="AB31" s="526"/>
      <c r="AD31" s="526" t="s">
        <v>22</v>
      </c>
      <c r="AE31" s="526"/>
      <c r="AF31" s="526"/>
      <c r="AG31" s="526"/>
      <c r="AH31" s="526">
        <f>+AK30</f>
        <v>652500</v>
      </c>
      <c r="AI31" s="526"/>
      <c r="AJ31" s="526"/>
      <c r="AK31" s="526"/>
    </row>
    <row r="32" spans="1:37">
      <c r="A32" s="524" t="s">
        <v>23</v>
      </c>
      <c r="B32" s="524"/>
      <c r="C32" s="524"/>
      <c r="D32" s="524"/>
      <c r="E32" s="524"/>
      <c r="F32" s="524"/>
      <c r="G32" s="524"/>
      <c r="H32" s="524"/>
      <c r="K32" s="524" t="s">
        <v>23</v>
      </c>
      <c r="L32" s="524"/>
      <c r="M32" s="524"/>
      <c r="N32" s="524"/>
      <c r="O32" s="524"/>
      <c r="P32" s="524"/>
      <c r="Q32" s="524"/>
      <c r="R32" s="524"/>
      <c r="U32" s="524" t="s">
        <v>23</v>
      </c>
      <c r="V32" s="524"/>
      <c r="W32" s="524"/>
      <c r="X32" s="524"/>
      <c r="Y32" s="524"/>
      <c r="Z32" s="524"/>
      <c r="AA32" s="524"/>
      <c r="AB32" s="524"/>
      <c r="AD32" s="524" t="s">
        <v>23</v>
      </c>
      <c r="AE32" s="524"/>
      <c r="AF32" s="524"/>
      <c r="AG32" s="524"/>
      <c r="AH32" s="524"/>
      <c r="AI32" s="524"/>
      <c r="AJ32" s="524"/>
      <c r="AK32" s="524"/>
    </row>
    <row r="33" spans="1:37">
      <c r="A33" s="12"/>
      <c r="B33" s="13" t="s">
        <v>1333</v>
      </c>
      <c r="C33" s="15" t="s">
        <v>1317</v>
      </c>
      <c r="D33" s="23">
        <v>125000</v>
      </c>
      <c r="E33" s="22"/>
      <c r="F33" s="22"/>
      <c r="G33" s="16"/>
      <c r="H33" s="16"/>
      <c r="K33" s="12"/>
      <c r="L33" s="13" t="s">
        <v>1333</v>
      </c>
      <c r="M33" s="15" t="s">
        <v>1317</v>
      </c>
      <c r="N33" s="23">
        <v>125000</v>
      </c>
      <c r="O33" s="22"/>
      <c r="P33" s="22"/>
      <c r="Q33" s="16"/>
      <c r="R33" s="16"/>
      <c r="U33" s="12"/>
      <c r="V33" s="13"/>
      <c r="W33" s="15"/>
      <c r="X33" s="23"/>
      <c r="Y33" s="22"/>
      <c r="Z33" s="22"/>
      <c r="AA33" s="16"/>
      <c r="AB33" s="16"/>
      <c r="AD33" s="12"/>
      <c r="AE33" s="13" t="s">
        <v>1333</v>
      </c>
      <c r="AF33" s="15" t="s">
        <v>1344</v>
      </c>
      <c r="AG33" s="23">
        <v>125000</v>
      </c>
      <c r="AH33" s="22"/>
      <c r="AI33" s="22"/>
      <c r="AJ33" s="16"/>
      <c r="AK33" s="16"/>
    </row>
    <row r="34" spans="1:37">
      <c r="A34" s="12"/>
      <c r="B34" s="13" t="s">
        <v>1333</v>
      </c>
      <c r="C34" s="15" t="s">
        <v>1318</v>
      </c>
      <c r="D34" s="23">
        <v>535000</v>
      </c>
      <c r="E34" s="22"/>
      <c r="F34" s="22"/>
      <c r="G34" s="16"/>
      <c r="H34" s="16"/>
      <c r="K34" s="12"/>
      <c r="L34" s="13" t="s">
        <v>1333</v>
      </c>
      <c r="M34" s="15" t="s">
        <v>1318</v>
      </c>
      <c r="N34" s="23">
        <v>535000</v>
      </c>
      <c r="O34" s="22"/>
      <c r="P34" s="22"/>
      <c r="Q34" s="16"/>
      <c r="R34" s="16"/>
      <c r="U34" s="12"/>
      <c r="V34" s="13"/>
      <c r="W34" s="15"/>
      <c r="X34" s="23"/>
      <c r="Y34" s="22"/>
      <c r="Z34" s="22"/>
      <c r="AA34" s="16"/>
      <c r="AB34" s="16"/>
      <c r="AD34" s="12"/>
      <c r="AE34" s="13"/>
      <c r="AF34" s="15"/>
      <c r="AG34" s="23"/>
      <c r="AH34" s="22"/>
      <c r="AI34" s="22"/>
      <c r="AJ34" s="16"/>
      <c r="AK34" s="16"/>
    </row>
    <row r="35" spans="1:37">
      <c r="A35" s="12"/>
      <c r="B35" s="13" t="s">
        <v>1333</v>
      </c>
      <c r="C35" s="15" t="s">
        <v>961</v>
      </c>
      <c r="D35" s="23">
        <v>150000</v>
      </c>
      <c r="E35" s="22"/>
      <c r="F35" s="22"/>
      <c r="G35" s="16"/>
      <c r="H35" s="16"/>
      <c r="K35" s="12"/>
      <c r="L35" s="13" t="s">
        <v>1333</v>
      </c>
      <c r="M35" s="15" t="s">
        <v>961</v>
      </c>
      <c r="N35" s="23">
        <v>150000</v>
      </c>
      <c r="O35" s="22"/>
      <c r="P35" s="22"/>
      <c r="Q35" s="16"/>
      <c r="R35" s="16"/>
      <c r="U35" s="12"/>
      <c r="V35" s="13"/>
      <c r="W35" s="15"/>
      <c r="X35" s="23"/>
      <c r="Y35" s="22"/>
      <c r="Z35" s="22"/>
      <c r="AA35" s="16"/>
      <c r="AB35" s="16"/>
      <c r="AD35" s="12"/>
      <c r="AE35" s="13"/>
      <c r="AF35" s="15"/>
      <c r="AG35" s="23"/>
      <c r="AH35" s="22"/>
      <c r="AI35" s="22"/>
      <c r="AJ35" s="16"/>
      <c r="AK35" s="16"/>
    </row>
    <row r="36" spans="1:37">
      <c r="A36" s="12"/>
      <c r="B36" s="13" t="s">
        <v>1333</v>
      </c>
      <c r="C36" s="15" t="s">
        <v>1324</v>
      </c>
      <c r="D36" s="23">
        <f>69000+58000</f>
        <v>127000</v>
      </c>
      <c r="E36" s="22"/>
      <c r="F36" s="22"/>
      <c r="G36" s="16"/>
      <c r="H36" s="16"/>
      <c r="K36" s="12"/>
      <c r="L36" s="13" t="s">
        <v>1333</v>
      </c>
      <c r="M36" s="15" t="s">
        <v>1344</v>
      </c>
      <c r="N36" s="23"/>
      <c r="O36" s="22"/>
      <c r="P36" s="22"/>
      <c r="Q36" s="16"/>
      <c r="R36" s="16"/>
      <c r="U36" s="12"/>
      <c r="V36" s="13"/>
      <c r="W36" s="15"/>
      <c r="X36" s="23"/>
      <c r="Y36" s="22"/>
      <c r="Z36" s="22"/>
      <c r="AA36" s="16"/>
      <c r="AB36" s="16"/>
      <c r="AD36" s="12"/>
      <c r="AE36" s="13"/>
      <c r="AF36" s="15"/>
      <c r="AG36" s="23"/>
      <c r="AH36" s="22"/>
      <c r="AI36" s="22"/>
      <c r="AJ36" s="16"/>
      <c r="AK36" s="16"/>
    </row>
    <row r="37" spans="1:37">
      <c r="A37" s="12"/>
      <c r="B37" s="13"/>
      <c r="C37" s="15" t="s">
        <v>1339</v>
      </c>
      <c r="D37" s="23">
        <v>50000</v>
      </c>
      <c r="E37" s="22"/>
      <c r="F37" s="22"/>
      <c r="G37" s="16"/>
      <c r="H37" s="16"/>
      <c r="K37" s="12"/>
      <c r="L37" s="13" t="s">
        <v>1333</v>
      </c>
      <c r="M37" s="15" t="s">
        <v>1339</v>
      </c>
      <c r="N37" s="23">
        <v>50000</v>
      </c>
      <c r="O37" s="22"/>
      <c r="P37" s="22"/>
      <c r="Q37" s="16"/>
      <c r="R37" s="16"/>
      <c r="U37" s="12"/>
      <c r="V37" s="13"/>
      <c r="W37" s="15"/>
      <c r="X37" s="23"/>
      <c r="Y37" s="22"/>
      <c r="Z37" s="22"/>
      <c r="AA37" s="16"/>
      <c r="AB37" s="16"/>
      <c r="AD37" s="12"/>
      <c r="AE37" s="13"/>
      <c r="AF37" s="15"/>
      <c r="AG37" s="23"/>
      <c r="AH37" s="22"/>
      <c r="AI37" s="22"/>
      <c r="AJ37" s="16"/>
      <c r="AK37" s="16"/>
    </row>
    <row r="38" spans="1:37">
      <c r="A38" s="25"/>
      <c r="B38" s="19"/>
      <c r="C38" s="26" t="s">
        <v>24</v>
      </c>
      <c r="D38" s="27">
        <f>SUM(D33:D37)</f>
        <v>987000</v>
      </c>
      <c r="E38" s="27"/>
      <c r="F38" s="27"/>
      <c r="G38" s="27"/>
      <c r="H38" s="27"/>
      <c r="K38" s="25"/>
      <c r="L38" s="19"/>
      <c r="M38" s="26" t="s">
        <v>24</v>
      </c>
      <c r="N38" s="27">
        <f>SUM(N33:N37)</f>
        <v>860000</v>
      </c>
      <c r="O38" s="27"/>
      <c r="P38" s="27"/>
      <c r="Q38" s="27"/>
      <c r="R38" s="27"/>
      <c r="U38" s="25"/>
      <c r="V38" s="19"/>
      <c r="W38" s="26" t="s">
        <v>24</v>
      </c>
      <c r="X38" s="27">
        <f>SUM(X33:X37)</f>
        <v>0</v>
      </c>
      <c r="Y38" s="27"/>
      <c r="Z38" s="27"/>
      <c r="AA38" s="27"/>
      <c r="AB38" s="27"/>
      <c r="AD38" s="25"/>
      <c r="AE38" s="19"/>
      <c r="AF38" s="26" t="s">
        <v>24</v>
      </c>
      <c r="AG38" s="27">
        <f>SUM(AG33:AG37)</f>
        <v>125000</v>
      </c>
      <c r="AH38" s="27"/>
      <c r="AI38" s="27"/>
      <c r="AJ38" s="27"/>
      <c r="AK38" s="27"/>
    </row>
    <row r="39" spans="1:37">
      <c r="A39" s="20"/>
      <c r="B39" s="19"/>
      <c r="C39" s="401" t="s">
        <v>21</v>
      </c>
      <c r="D39" s="10"/>
      <c r="E39" s="530">
        <f>D38</f>
        <v>987000</v>
      </c>
      <c r="F39" s="530"/>
      <c r="G39" s="530"/>
      <c r="H39" s="530"/>
      <c r="K39" s="20"/>
      <c r="L39" s="19"/>
      <c r="M39" s="406" t="s">
        <v>21</v>
      </c>
      <c r="N39" s="10"/>
      <c r="O39" s="530">
        <f>N38</f>
        <v>860000</v>
      </c>
      <c r="P39" s="530"/>
      <c r="Q39" s="530"/>
      <c r="R39" s="530"/>
      <c r="U39" s="20"/>
      <c r="V39" s="19"/>
      <c r="W39" s="409" t="s">
        <v>21</v>
      </c>
      <c r="X39" s="10"/>
      <c r="Y39" s="530">
        <f>X38</f>
        <v>0</v>
      </c>
      <c r="Z39" s="530"/>
      <c r="AA39" s="530"/>
      <c r="AB39" s="530"/>
      <c r="AD39" s="20"/>
      <c r="AE39" s="19"/>
      <c r="AF39" s="413" t="s">
        <v>21</v>
      </c>
      <c r="AG39" s="10"/>
      <c r="AH39" s="530">
        <f>AG38</f>
        <v>125000</v>
      </c>
      <c r="AI39" s="530"/>
      <c r="AJ39" s="530"/>
      <c r="AK39" s="530"/>
    </row>
    <row r="40" spans="1:37" ht="15" hidden="1" customHeight="1">
      <c r="A40" s="524" t="s">
        <v>1292</v>
      </c>
      <c r="B40" s="524"/>
      <c r="C40" s="524"/>
      <c r="D40" s="524"/>
      <c r="E40" s="524"/>
      <c r="F40" s="524"/>
      <c r="G40" s="524"/>
      <c r="H40" s="524"/>
      <c r="K40" s="524" t="s">
        <v>1292</v>
      </c>
      <c r="L40" s="524"/>
      <c r="M40" s="524"/>
      <c r="N40" s="524"/>
      <c r="O40" s="524"/>
      <c r="P40" s="524"/>
      <c r="Q40" s="524"/>
      <c r="R40" s="524"/>
      <c r="U40" s="524" t="s">
        <v>1292</v>
      </c>
      <c r="V40" s="524"/>
      <c r="W40" s="524"/>
      <c r="X40" s="524"/>
      <c r="Y40" s="524"/>
      <c r="Z40" s="524"/>
      <c r="AA40" s="524"/>
      <c r="AB40" s="524"/>
      <c r="AD40" s="524" t="s">
        <v>1292</v>
      </c>
      <c r="AE40" s="524"/>
      <c r="AF40" s="524"/>
      <c r="AG40" s="524"/>
      <c r="AH40" s="524"/>
      <c r="AI40" s="524"/>
      <c r="AJ40" s="524"/>
      <c r="AK40" s="524"/>
    </row>
    <row r="41" spans="1:37" ht="15" hidden="1" customHeight="1">
      <c r="A41" s="28"/>
      <c r="B41" s="188"/>
      <c r="C41" s="23"/>
      <c r="D41" s="23"/>
      <c r="E41" s="28"/>
      <c r="F41" s="28"/>
      <c r="G41" s="28"/>
      <c r="H41" s="28"/>
      <c r="K41" s="28"/>
      <c r="L41" s="188"/>
      <c r="M41" s="23"/>
      <c r="N41" s="23"/>
      <c r="O41" s="28"/>
      <c r="P41" s="28"/>
      <c r="Q41" s="28"/>
      <c r="R41" s="28"/>
      <c r="U41" s="28"/>
      <c r="V41" s="188"/>
      <c r="W41" s="23"/>
      <c r="X41" s="23"/>
      <c r="Y41" s="28"/>
      <c r="Z41" s="28"/>
      <c r="AA41" s="28"/>
      <c r="AB41" s="28"/>
      <c r="AD41" s="28"/>
      <c r="AE41" s="188"/>
      <c r="AF41" s="23"/>
      <c r="AG41" s="23"/>
      <c r="AH41" s="28"/>
      <c r="AI41" s="28"/>
      <c r="AJ41" s="28"/>
      <c r="AK41" s="28"/>
    </row>
    <row r="42" spans="1:37" ht="15" hidden="1" customHeight="1">
      <c r="A42" s="28"/>
      <c r="B42" s="23"/>
      <c r="C42" s="23"/>
      <c r="D42" s="23"/>
      <c r="E42" s="28"/>
      <c r="F42" s="28"/>
      <c r="G42" s="28"/>
      <c r="H42" s="28"/>
      <c r="K42" s="28"/>
      <c r="L42" s="23"/>
      <c r="M42" s="23"/>
      <c r="N42" s="23"/>
      <c r="O42" s="28"/>
      <c r="P42" s="28"/>
      <c r="Q42" s="28"/>
      <c r="R42" s="28"/>
      <c r="U42" s="28"/>
      <c r="V42" s="23"/>
      <c r="W42" s="23"/>
      <c r="X42" s="23"/>
      <c r="Y42" s="28"/>
      <c r="Z42" s="28"/>
      <c r="AA42" s="28"/>
      <c r="AB42" s="28"/>
      <c r="AD42" s="28"/>
      <c r="AE42" s="23"/>
      <c r="AF42" s="23"/>
      <c r="AG42" s="23"/>
      <c r="AH42" s="28"/>
      <c r="AI42" s="28"/>
      <c r="AJ42" s="28"/>
      <c r="AK42" s="28"/>
    </row>
    <row r="43" spans="1:37" ht="15" hidden="1" customHeight="1">
      <c r="A43" s="28"/>
      <c r="B43" s="188"/>
      <c r="C43" s="23"/>
      <c r="D43" s="23"/>
      <c r="E43" s="28"/>
      <c r="F43" s="28"/>
      <c r="G43" s="28"/>
      <c r="H43" s="28"/>
      <c r="K43" s="28"/>
      <c r="L43" s="188"/>
      <c r="M43" s="23"/>
      <c r="N43" s="23"/>
      <c r="O43" s="28"/>
      <c r="P43" s="28"/>
      <c r="Q43" s="28"/>
      <c r="R43" s="28"/>
      <c r="U43" s="28"/>
      <c r="V43" s="188"/>
      <c r="W43" s="23"/>
      <c r="X43" s="23"/>
      <c r="Y43" s="28"/>
      <c r="Z43" s="28"/>
      <c r="AA43" s="28"/>
      <c r="AB43" s="28"/>
      <c r="AD43" s="28"/>
      <c r="AE43" s="188"/>
      <c r="AF43" s="23"/>
      <c r="AG43" s="23"/>
      <c r="AH43" s="28"/>
      <c r="AI43" s="28"/>
      <c r="AJ43" s="28"/>
      <c r="AK43" s="28"/>
    </row>
    <row r="44" spans="1:37" ht="15" hidden="1" customHeight="1">
      <c r="A44" s="12"/>
      <c r="B44" s="13"/>
      <c r="C44" s="26" t="s">
        <v>448</v>
      </c>
      <c r="D44" s="27">
        <f>SUM(D41:D43)</f>
        <v>0</v>
      </c>
      <c r="E44" s="27">
        <v>0</v>
      </c>
      <c r="F44" s="27">
        <v>0</v>
      </c>
      <c r="G44" s="27"/>
      <c r="H44" s="27"/>
      <c r="K44" s="12"/>
      <c r="L44" s="13"/>
      <c r="M44" s="26" t="s">
        <v>448</v>
      </c>
      <c r="N44" s="27">
        <f>SUM(N41:N43)</f>
        <v>0</v>
      </c>
      <c r="O44" s="27">
        <v>0</v>
      </c>
      <c r="P44" s="27">
        <v>0</v>
      </c>
      <c r="Q44" s="27"/>
      <c r="R44" s="27"/>
      <c r="U44" s="12"/>
      <c r="V44" s="13"/>
      <c r="W44" s="26" t="s">
        <v>448</v>
      </c>
      <c r="X44" s="27">
        <f>SUM(X41:X43)</f>
        <v>0</v>
      </c>
      <c r="Y44" s="27">
        <v>0</v>
      </c>
      <c r="Z44" s="27">
        <v>0</v>
      </c>
      <c r="AA44" s="27"/>
      <c r="AB44" s="27"/>
      <c r="AD44" s="12"/>
      <c r="AE44" s="13"/>
      <c r="AF44" s="26" t="s">
        <v>448</v>
      </c>
      <c r="AG44" s="27">
        <f>SUM(AG41:AG43)</f>
        <v>0</v>
      </c>
      <c r="AH44" s="27">
        <v>0</v>
      </c>
      <c r="AI44" s="27">
        <v>0</v>
      </c>
      <c r="AJ44" s="27"/>
      <c r="AK44" s="27"/>
    </row>
    <row r="45" spans="1:37" ht="15" hidden="1" customHeight="1">
      <c r="A45" s="20"/>
      <c r="B45" s="19"/>
      <c r="C45" s="401" t="s">
        <v>21</v>
      </c>
      <c r="D45" s="10"/>
      <c r="E45" s="530">
        <f>D44</f>
        <v>0</v>
      </c>
      <c r="F45" s="530"/>
      <c r="G45" s="530"/>
      <c r="H45" s="530"/>
      <c r="K45" s="20"/>
      <c r="L45" s="19"/>
      <c r="M45" s="406" t="s">
        <v>21</v>
      </c>
      <c r="N45" s="10"/>
      <c r="O45" s="530">
        <f>N44</f>
        <v>0</v>
      </c>
      <c r="P45" s="530"/>
      <c r="Q45" s="530"/>
      <c r="R45" s="530"/>
      <c r="U45" s="20"/>
      <c r="V45" s="19"/>
      <c r="W45" s="409" t="s">
        <v>21</v>
      </c>
      <c r="X45" s="10"/>
      <c r="Y45" s="530">
        <f>X44</f>
        <v>0</v>
      </c>
      <c r="Z45" s="530"/>
      <c r="AA45" s="530"/>
      <c r="AB45" s="530"/>
      <c r="AD45" s="20"/>
      <c r="AE45" s="19"/>
      <c r="AF45" s="413" t="s">
        <v>21</v>
      </c>
      <c r="AG45" s="10"/>
      <c r="AH45" s="530">
        <f>AG44</f>
        <v>0</v>
      </c>
      <c r="AI45" s="530"/>
      <c r="AJ45" s="530"/>
      <c r="AK45" s="530"/>
    </row>
    <row r="46" spans="1:37" ht="15" hidden="1" customHeight="1">
      <c r="A46" s="524" t="s">
        <v>1133</v>
      </c>
      <c r="B46" s="524"/>
      <c r="C46" s="524"/>
      <c r="D46" s="524"/>
      <c r="E46" s="524"/>
      <c r="F46" s="524"/>
      <c r="G46" s="524"/>
      <c r="H46" s="524"/>
      <c r="K46" s="524" t="s">
        <v>1133</v>
      </c>
      <c r="L46" s="524"/>
      <c r="M46" s="524"/>
      <c r="N46" s="524"/>
      <c r="O46" s="524"/>
      <c r="P46" s="524"/>
      <c r="Q46" s="524"/>
      <c r="R46" s="524"/>
      <c r="U46" s="524" t="s">
        <v>1133</v>
      </c>
      <c r="V46" s="524"/>
      <c r="W46" s="524"/>
      <c r="X46" s="524"/>
      <c r="Y46" s="524"/>
      <c r="Z46" s="524"/>
      <c r="AA46" s="524"/>
      <c r="AB46" s="524"/>
      <c r="AD46" s="524" t="s">
        <v>1133</v>
      </c>
      <c r="AE46" s="524"/>
      <c r="AF46" s="524"/>
      <c r="AG46" s="524"/>
      <c r="AH46" s="524"/>
      <c r="AI46" s="524"/>
      <c r="AJ46" s="524"/>
      <c r="AK46" s="524"/>
    </row>
    <row r="47" spans="1:37" ht="15" hidden="1" customHeight="1">
      <c r="A47" s="28"/>
      <c r="B47" s="19"/>
      <c r="C47" s="23"/>
      <c r="D47" s="23"/>
      <c r="E47" s="28"/>
      <c r="F47" s="28"/>
      <c r="G47" s="28"/>
      <c r="H47" s="28"/>
      <c r="K47" s="28"/>
      <c r="L47" s="19"/>
      <c r="M47" s="23"/>
      <c r="N47" s="23"/>
      <c r="O47" s="28"/>
      <c r="P47" s="28"/>
      <c r="Q47" s="28"/>
      <c r="R47" s="28"/>
      <c r="U47" s="28"/>
      <c r="V47" s="19"/>
      <c r="W47" s="23"/>
      <c r="X47" s="23"/>
      <c r="Y47" s="28"/>
      <c r="Z47" s="28"/>
      <c r="AA47" s="28"/>
      <c r="AB47" s="28"/>
      <c r="AD47" s="28"/>
      <c r="AE47" s="19"/>
      <c r="AF47" s="23"/>
      <c r="AG47" s="23"/>
      <c r="AH47" s="28"/>
      <c r="AI47" s="28"/>
      <c r="AJ47" s="28"/>
      <c r="AK47" s="28"/>
    </row>
    <row r="48" spans="1:37" ht="15" hidden="1" customHeight="1">
      <c r="A48" s="28"/>
      <c r="B48" s="19"/>
      <c r="C48" s="23"/>
      <c r="D48" s="23"/>
      <c r="E48" s="28"/>
      <c r="F48" s="28"/>
      <c r="G48" s="28"/>
      <c r="H48" s="28"/>
      <c r="K48" s="28"/>
      <c r="L48" s="19"/>
      <c r="M48" s="23"/>
      <c r="N48" s="23"/>
      <c r="O48" s="28"/>
      <c r="P48" s="28"/>
      <c r="Q48" s="28"/>
      <c r="R48" s="28"/>
      <c r="U48" s="28"/>
      <c r="V48" s="19"/>
      <c r="W48" s="23"/>
      <c r="X48" s="23"/>
      <c r="Y48" s="28"/>
      <c r="Z48" s="28"/>
      <c r="AA48" s="28"/>
      <c r="AB48" s="28"/>
      <c r="AD48" s="28"/>
      <c r="AE48" s="19"/>
      <c r="AF48" s="23"/>
      <c r="AG48" s="23"/>
      <c r="AH48" s="28"/>
      <c r="AI48" s="28"/>
      <c r="AJ48" s="28"/>
      <c r="AK48" s="28"/>
    </row>
    <row r="49" spans="1:37" ht="15" hidden="1" customHeight="1">
      <c r="A49" s="28"/>
      <c r="B49" s="19"/>
      <c r="C49" s="23"/>
      <c r="D49" s="23"/>
      <c r="E49" s="28"/>
      <c r="F49" s="28"/>
      <c r="G49" s="28"/>
      <c r="H49" s="28"/>
      <c r="K49" s="28"/>
      <c r="L49" s="19"/>
      <c r="M49" s="23"/>
      <c r="N49" s="23"/>
      <c r="O49" s="28"/>
      <c r="P49" s="28"/>
      <c r="Q49" s="28"/>
      <c r="R49" s="28"/>
      <c r="U49" s="28"/>
      <c r="V49" s="19"/>
      <c r="W49" s="23"/>
      <c r="X49" s="23"/>
      <c r="Y49" s="28"/>
      <c r="Z49" s="28"/>
      <c r="AA49" s="28"/>
      <c r="AB49" s="28"/>
      <c r="AD49" s="28"/>
      <c r="AE49" s="19"/>
      <c r="AF49" s="23"/>
      <c r="AG49" s="23"/>
      <c r="AH49" s="28"/>
      <c r="AI49" s="28"/>
      <c r="AJ49" s="28"/>
      <c r="AK49" s="28"/>
    </row>
    <row r="50" spans="1:37" ht="15" hidden="1" customHeight="1">
      <c r="A50" s="28"/>
      <c r="B50" s="23"/>
      <c r="C50" s="23"/>
      <c r="D50" s="23"/>
      <c r="E50" s="28"/>
      <c r="F50" s="28"/>
      <c r="G50" s="28"/>
      <c r="H50" s="28"/>
      <c r="K50" s="28"/>
      <c r="L50" s="23"/>
      <c r="M50" s="23"/>
      <c r="N50" s="23"/>
      <c r="O50" s="28"/>
      <c r="P50" s="28"/>
      <c r="Q50" s="28"/>
      <c r="R50" s="28"/>
      <c r="U50" s="28"/>
      <c r="V50" s="23"/>
      <c r="W50" s="23"/>
      <c r="X50" s="23"/>
      <c r="Y50" s="28"/>
      <c r="Z50" s="28"/>
      <c r="AA50" s="28"/>
      <c r="AB50" s="28"/>
      <c r="AD50" s="28"/>
      <c r="AE50" s="23"/>
      <c r="AF50" s="23"/>
      <c r="AG50" s="23"/>
      <c r="AH50" s="28"/>
      <c r="AI50" s="28"/>
      <c r="AJ50" s="28"/>
      <c r="AK50" s="28"/>
    </row>
    <row r="51" spans="1:37" ht="15" hidden="1" customHeight="1">
      <c r="A51" s="28"/>
      <c r="B51" s="23"/>
      <c r="C51" s="23"/>
      <c r="D51" s="23"/>
      <c r="E51" s="28"/>
      <c r="F51" s="28"/>
      <c r="G51" s="28"/>
      <c r="H51" s="28"/>
      <c r="K51" s="28"/>
      <c r="L51" s="23"/>
      <c r="M51" s="23"/>
      <c r="N51" s="23"/>
      <c r="O51" s="28"/>
      <c r="P51" s="28"/>
      <c r="Q51" s="28"/>
      <c r="R51" s="28"/>
      <c r="U51" s="28"/>
      <c r="V51" s="23"/>
      <c r="W51" s="23"/>
      <c r="X51" s="23"/>
      <c r="Y51" s="28"/>
      <c r="Z51" s="28"/>
      <c r="AA51" s="28"/>
      <c r="AB51" s="28"/>
      <c r="AD51" s="28"/>
      <c r="AE51" s="23"/>
      <c r="AF51" s="23"/>
      <c r="AG51" s="23"/>
      <c r="AH51" s="28"/>
      <c r="AI51" s="28"/>
      <c r="AJ51" s="28"/>
      <c r="AK51" s="28"/>
    </row>
    <row r="52" spans="1:37" ht="15" hidden="1" customHeight="1">
      <c r="A52" s="12"/>
      <c r="B52" s="13"/>
      <c r="C52" s="26" t="s">
        <v>896</v>
      </c>
      <c r="D52" s="27">
        <f>SUM(D47:D50)</f>
        <v>0</v>
      </c>
      <c r="E52" s="27">
        <v>0</v>
      </c>
      <c r="F52" s="27">
        <v>0</v>
      </c>
      <c r="G52" s="27"/>
      <c r="H52" s="27"/>
      <c r="K52" s="12"/>
      <c r="L52" s="13"/>
      <c r="M52" s="26" t="s">
        <v>896</v>
      </c>
      <c r="N52" s="27">
        <f>SUM(N47:N50)</f>
        <v>0</v>
      </c>
      <c r="O52" s="27">
        <v>0</v>
      </c>
      <c r="P52" s="27">
        <v>0</v>
      </c>
      <c r="Q52" s="27"/>
      <c r="R52" s="27"/>
      <c r="U52" s="12"/>
      <c r="V52" s="13"/>
      <c r="W52" s="26" t="s">
        <v>896</v>
      </c>
      <c r="X52" s="27">
        <f>SUM(X47:X50)</f>
        <v>0</v>
      </c>
      <c r="Y52" s="27">
        <v>0</v>
      </c>
      <c r="Z52" s="27">
        <v>0</v>
      </c>
      <c r="AA52" s="27"/>
      <c r="AB52" s="27"/>
      <c r="AD52" s="12"/>
      <c r="AE52" s="13"/>
      <c r="AF52" s="26" t="s">
        <v>896</v>
      </c>
      <c r="AG52" s="27">
        <f>SUM(AG47:AG50)</f>
        <v>0</v>
      </c>
      <c r="AH52" s="27">
        <v>0</v>
      </c>
      <c r="AI52" s="27">
        <v>0</v>
      </c>
      <c r="AJ52" s="27"/>
      <c r="AK52" s="27"/>
    </row>
    <row r="53" spans="1:37" ht="15" hidden="1" customHeight="1">
      <c r="A53" s="20"/>
      <c r="B53" s="19"/>
      <c r="C53" s="401" t="s">
        <v>21</v>
      </c>
      <c r="D53" s="10"/>
      <c r="E53" s="530">
        <f>D52</f>
        <v>0</v>
      </c>
      <c r="F53" s="530"/>
      <c r="G53" s="530"/>
      <c r="H53" s="530"/>
      <c r="K53" s="20"/>
      <c r="L53" s="19"/>
      <c r="M53" s="406" t="s">
        <v>21</v>
      </c>
      <c r="N53" s="10"/>
      <c r="O53" s="530">
        <f>N52</f>
        <v>0</v>
      </c>
      <c r="P53" s="530"/>
      <c r="Q53" s="530"/>
      <c r="R53" s="530"/>
      <c r="U53" s="20"/>
      <c r="V53" s="19"/>
      <c r="W53" s="409" t="s">
        <v>21</v>
      </c>
      <c r="X53" s="10"/>
      <c r="Y53" s="530">
        <f>X52</f>
        <v>0</v>
      </c>
      <c r="Z53" s="530"/>
      <c r="AA53" s="530"/>
      <c r="AB53" s="530"/>
      <c r="AD53" s="20"/>
      <c r="AE53" s="19"/>
      <c r="AF53" s="413" t="s">
        <v>21</v>
      </c>
      <c r="AG53" s="10"/>
      <c r="AH53" s="530">
        <f>AG52</f>
        <v>0</v>
      </c>
      <c r="AI53" s="530"/>
      <c r="AJ53" s="530"/>
      <c r="AK53" s="530"/>
    </row>
    <row r="54" spans="1:37">
      <c r="A54" s="524" t="s">
        <v>1280</v>
      </c>
      <c r="B54" s="524"/>
      <c r="C54" s="524"/>
      <c r="D54" s="524"/>
      <c r="E54" s="524"/>
      <c r="F54" s="524"/>
      <c r="G54" s="524"/>
      <c r="H54" s="524"/>
      <c r="K54" s="524" t="s">
        <v>1280</v>
      </c>
      <c r="L54" s="524"/>
      <c r="M54" s="524"/>
      <c r="N54" s="524"/>
      <c r="O54" s="524"/>
      <c r="P54" s="524"/>
      <c r="Q54" s="524"/>
      <c r="R54" s="524"/>
      <c r="U54" s="524" t="s">
        <v>1280</v>
      </c>
      <c r="V54" s="524"/>
      <c r="W54" s="524"/>
      <c r="X54" s="524"/>
      <c r="Y54" s="524"/>
      <c r="Z54" s="524"/>
      <c r="AA54" s="524"/>
      <c r="AB54" s="524"/>
      <c r="AD54" s="524" t="s">
        <v>1280</v>
      </c>
      <c r="AE54" s="524"/>
      <c r="AF54" s="524"/>
      <c r="AG54" s="524"/>
      <c r="AH54" s="524"/>
      <c r="AI54" s="524"/>
      <c r="AJ54" s="524"/>
      <c r="AK54" s="524"/>
    </row>
    <row r="55" spans="1:37">
      <c r="A55" s="12"/>
      <c r="B55" s="23"/>
      <c r="C55" s="22" t="s">
        <v>1272</v>
      </c>
      <c r="D55" s="22">
        <v>1000000</v>
      </c>
      <c r="E55" s="401"/>
      <c r="F55" s="401"/>
      <c r="G55" s="401"/>
      <c r="H55" s="401"/>
      <c r="K55" s="12"/>
      <c r="L55" s="23"/>
      <c r="M55" s="22" t="s">
        <v>1272</v>
      </c>
      <c r="N55" s="22">
        <v>5000000</v>
      </c>
      <c r="O55" s="406"/>
      <c r="P55" s="406"/>
      <c r="Q55" s="406"/>
      <c r="R55" s="406"/>
      <c r="U55" s="12"/>
      <c r="V55" s="23"/>
      <c r="W55" s="22"/>
      <c r="X55" s="22"/>
      <c r="Y55" s="409"/>
      <c r="Z55" s="409"/>
      <c r="AA55" s="409"/>
      <c r="AB55" s="409"/>
      <c r="AC55" s="72"/>
      <c r="AD55" s="12"/>
      <c r="AE55" s="23"/>
      <c r="AF55" s="22"/>
      <c r="AG55" s="22"/>
      <c r="AH55" s="413"/>
      <c r="AI55" s="413"/>
      <c r="AJ55" s="413"/>
      <c r="AK55" s="413"/>
    </row>
    <row r="56" spans="1:37">
      <c r="A56" s="12"/>
      <c r="B56" s="23"/>
      <c r="C56" s="22" t="s">
        <v>1274</v>
      </c>
      <c r="D56" s="22">
        <v>5615000</v>
      </c>
      <c r="E56" s="401"/>
      <c r="F56" s="401"/>
      <c r="G56" s="401"/>
      <c r="H56" s="401"/>
      <c r="K56" s="12"/>
      <c r="L56" s="23" t="s">
        <v>1322</v>
      </c>
      <c r="M56" s="22" t="s">
        <v>1274</v>
      </c>
      <c r="N56" s="22">
        <v>5615000</v>
      </c>
      <c r="O56" s="406"/>
      <c r="P56" s="406"/>
      <c r="Q56" s="406"/>
      <c r="R56" s="406"/>
      <c r="U56" s="12"/>
      <c r="V56" s="23"/>
      <c r="W56" s="22"/>
      <c r="X56" s="22"/>
      <c r="Y56" s="409"/>
      <c r="Z56" s="409"/>
      <c r="AA56" s="409"/>
      <c r="AB56" s="409"/>
      <c r="AD56" s="12"/>
      <c r="AE56" s="23"/>
      <c r="AF56" s="22"/>
      <c r="AG56" s="22"/>
      <c r="AH56" s="413"/>
      <c r="AI56" s="413"/>
      <c r="AJ56" s="413"/>
      <c r="AK56" s="413"/>
    </row>
    <row r="57" spans="1:37">
      <c r="A57" s="12"/>
      <c r="B57" s="23" t="s">
        <v>1322</v>
      </c>
      <c r="C57" s="22" t="s">
        <v>1275</v>
      </c>
      <c r="D57" s="22">
        <v>80000000</v>
      </c>
      <c r="E57" s="401"/>
      <c r="F57" s="401"/>
      <c r="G57" s="401"/>
      <c r="H57" s="401"/>
      <c r="K57" s="12"/>
      <c r="L57" s="23" t="s">
        <v>1322</v>
      </c>
      <c r="M57" s="22" t="s">
        <v>1275</v>
      </c>
      <c r="N57" s="22">
        <v>70000000</v>
      </c>
      <c r="O57" s="406"/>
      <c r="P57" s="406"/>
      <c r="Q57" s="406"/>
      <c r="R57" s="406"/>
      <c r="U57" s="12"/>
      <c r="V57" s="23"/>
      <c r="W57" s="22"/>
      <c r="X57" s="22"/>
      <c r="Y57" s="409"/>
      <c r="Z57" s="409"/>
      <c r="AA57" s="409"/>
      <c r="AB57" s="409"/>
      <c r="AD57" s="12"/>
      <c r="AE57" s="23"/>
      <c r="AF57" s="22"/>
      <c r="AG57" s="22"/>
      <c r="AH57" s="413"/>
      <c r="AI57" s="413"/>
      <c r="AJ57" s="413"/>
      <c r="AK57" s="413"/>
    </row>
    <row r="58" spans="1:37">
      <c r="A58" s="12"/>
      <c r="B58" s="23" t="s">
        <v>1322</v>
      </c>
      <c r="C58" s="22" t="s">
        <v>1276</v>
      </c>
      <c r="D58" s="22">
        <v>20000000</v>
      </c>
      <c r="E58" s="401"/>
      <c r="F58" s="401"/>
      <c r="G58" s="401"/>
      <c r="H58" s="401"/>
      <c r="K58" s="12"/>
      <c r="L58" s="23" t="s">
        <v>1322</v>
      </c>
      <c r="M58" s="22" t="s">
        <v>1276</v>
      </c>
      <c r="N58" s="22"/>
      <c r="O58" s="406"/>
      <c r="P58" s="406"/>
      <c r="Q58" s="406"/>
      <c r="R58" s="406"/>
      <c r="U58" s="12"/>
      <c r="V58" s="23"/>
      <c r="W58" s="23"/>
      <c r="X58" s="23"/>
      <c r="Y58" s="409"/>
      <c r="Z58" s="409"/>
      <c r="AA58" s="409"/>
      <c r="AB58" s="409"/>
      <c r="AD58" s="12"/>
      <c r="AE58" s="23"/>
      <c r="AF58" s="23"/>
      <c r="AG58" s="23"/>
      <c r="AH58" s="413"/>
      <c r="AI58" s="413"/>
      <c r="AJ58" s="413"/>
      <c r="AK58" s="413"/>
    </row>
    <row r="59" spans="1:37">
      <c r="A59" s="12"/>
      <c r="B59" s="23" t="s">
        <v>1322</v>
      </c>
      <c r="C59" s="22" t="s">
        <v>1120</v>
      </c>
      <c r="D59" s="22">
        <v>1540000</v>
      </c>
      <c r="E59" s="401"/>
      <c r="F59" s="401"/>
      <c r="G59" s="401"/>
      <c r="H59" s="401"/>
      <c r="K59" s="12"/>
      <c r="L59" s="23" t="s">
        <v>1322</v>
      </c>
      <c r="M59" s="22" t="s">
        <v>1120</v>
      </c>
      <c r="N59" s="22">
        <v>1540000</v>
      </c>
      <c r="O59" s="406"/>
      <c r="P59" s="406"/>
      <c r="Q59" s="406"/>
      <c r="R59" s="406"/>
      <c r="U59" s="12"/>
      <c r="V59" s="23"/>
      <c r="W59" s="22"/>
      <c r="X59" s="22"/>
      <c r="Y59" s="409"/>
      <c r="Z59" s="409"/>
      <c r="AA59" s="409"/>
      <c r="AB59" s="409"/>
      <c r="AD59" s="12"/>
      <c r="AE59" s="23"/>
      <c r="AF59" s="23"/>
      <c r="AG59" s="22"/>
      <c r="AH59" s="413"/>
      <c r="AI59" s="413"/>
      <c r="AJ59" s="413"/>
      <c r="AK59" s="413"/>
    </row>
    <row r="60" spans="1:37">
      <c r="A60" s="12"/>
      <c r="B60" s="23" t="s">
        <v>1322</v>
      </c>
      <c r="C60" s="23" t="s">
        <v>1282</v>
      </c>
      <c r="D60" s="23">
        <v>50000000</v>
      </c>
      <c r="E60" s="401"/>
      <c r="F60" s="401"/>
      <c r="G60" s="401"/>
      <c r="H60" s="401"/>
      <c r="K60" s="12"/>
      <c r="L60" s="23" t="s">
        <v>1322</v>
      </c>
      <c r="M60" s="23" t="s">
        <v>1282</v>
      </c>
      <c r="N60" s="23">
        <v>30000000</v>
      </c>
      <c r="O60" s="406"/>
      <c r="P60" s="406"/>
      <c r="Q60" s="406"/>
      <c r="R60" s="406"/>
      <c r="U60" s="12"/>
      <c r="V60" s="23"/>
      <c r="W60" s="22"/>
      <c r="X60" s="22"/>
      <c r="Y60" s="409"/>
      <c r="Z60" s="409"/>
      <c r="AA60" s="409"/>
      <c r="AB60" s="409"/>
      <c r="AD60" s="12"/>
      <c r="AE60" s="23"/>
      <c r="AF60" s="22"/>
      <c r="AG60" s="22"/>
      <c r="AH60" s="413"/>
      <c r="AI60" s="413"/>
      <c r="AJ60" s="413"/>
      <c r="AK60" s="413"/>
    </row>
    <row r="61" spans="1:37">
      <c r="A61" s="12"/>
      <c r="B61" s="23" t="s">
        <v>1322</v>
      </c>
      <c r="C61" s="23" t="s">
        <v>1283</v>
      </c>
      <c r="D61" s="23">
        <v>10000000</v>
      </c>
      <c r="E61" s="401"/>
      <c r="F61" s="401"/>
      <c r="G61" s="401"/>
      <c r="H61" s="401"/>
      <c r="K61" s="12"/>
      <c r="L61" s="23" t="s">
        <v>1322</v>
      </c>
      <c r="M61" s="23" t="s">
        <v>1283</v>
      </c>
      <c r="N61" s="23">
        <v>10000000</v>
      </c>
      <c r="O61" s="406"/>
      <c r="P61" s="406"/>
      <c r="Q61" s="406"/>
      <c r="R61" s="406"/>
      <c r="U61" s="12"/>
      <c r="V61" s="23"/>
      <c r="W61" s="23"/>
      <c r="X61" s="23"/>
      <c r="Y61" s="409"/>
      <c r="Z61" s="409"/>
      <c r="AA61" s="409"/>
      <c r="AB61" s="409"/>
      <c r="AD61" s="12"/>
      <c r="AE61" s="23"/>
      <c r="AF61" s="23"/>
      <c r="AG61" s="23"/>
      <c r="AH61" s="413"/>
      <c r="AI61" s="413"/>
      <c r="AJ61" s="413"/>
      <c r="AK61" s="413"/>
    </row>
    <row r="62" spans="1:37">
      <c r="A62" s="12"/>
      <c r="B62" s="23" t="s">
        <v>1322</v>
      </c>
      <c r="C62" s="23" t="s">
        <v>1284</v>
      </c>
      <c r="D62" s="23">
        <v>25000000</v>
      </c>
      <c r="E62" s="401"/>
      <c r="F62" s="401"/>
      <c r="G62" s="401"/>
      <c r="H62" s="401"/>
      <c r="K62" s="12"/>
      <c r="L62" s="23" t="s">
        <v>1322</v>
      </c>
      <c r="M62" s="23" t="s">
        <v>1284</v>
      </c>
      <c r="N62" s="23">
        <v>10000000</v>
      </c>
      <c r="O62" s="406"/>
      <c r="P62" s="406"/>
      <c r="Q62" s="406"/>
      <c r="R62" s="406"/>
      <c r="U62" s="12"/>
      <c r="V62" s="23"/>
      <c r="W62" s="23"/>
      <c r="X62" s="23"/>
      <c r="Y62" s="409"/>
      <c r="Z62" s="409"/>
      <c r="AA62" s="409"/>
      <c r="AB62" s="409"/>
      <c r="AD62" s="12"/>
      <c r="AE62" s="23"/>
      <c r="AF62" s="23"/>
      <c r="AG62" s="23"/>
      <c r="AH62" s="413"/>
      <c r="AI62" s="413"/>
      <c r="AJ62" s="413"/>
      <c r="AK62" s="413"/>
    </row>
    <row r="63" spans="1:37">
      <c r="A63" s="12"/>
      <c r="B63" s="23" t="s">
        <v>1322</v>
      </c>
      <c r="C63" s="22" t="s">
        <v>1121</v>
      </c>
      <c r="D63" s="22">
        <v>150000</v>
      </c>
      <c r="E63" s="401"/>
      <c r="F63" s="401"/>
      <c r="G63" s="401"/>
      <c r="H63" s="401"/>
      <c r="K63" s="12"/>
      <c r="L63" s="23" t="s">
        <v>1322</v>
      </c>
      <c r="M63" s="22" t="s">
        <v>1121</v>
      </c>
      <c r="N63" s="22">
        <v>150000</v>
      </c>
      <c r="O63" s="406"/>
      <c r="P63" s="406"/>
      <c r="Q63" s="406"/>
      <c r="R63" s="406"/>
      <c r="U63" s="12"/>
      <c r="V63" s="23"/>
      <c r="W63" s="22"/>
      <c r="X63" s="22"/>
      <c r="Y63" s="409"/>
      <c r="Z63" s="409"/>
      <c r="AA63" s="409"/>
      <c r="AB63" s="409"/>
      <c r="AD63" s="12"/>
      <c r="AE63" s="23"/>
      <c r="AF63" s="22"/>
      <c r="AG63" s="22"/>
      <c r="AH63" s="413"/>
      <c r="AI63" s="413"/>
      <c r="AJ63" s="413"/>
      <c r="AK63" s="413"/>
    </row>
    <row r="64" spans="1:37">
      <c r="A64" s="12"/>
      <c r="B64" s="23" t="s">
        <v>1322</v>
      </c>
      <c r="C64" s="22" t="s">
        <v>1319</v>
      </c>
      <c r="D64" s="22">
        <v>1050000</v>
      </c>
      <c r="E64" s="401"/>
      <c r="F64" s="401"/>
      <c r="G64" s="401"/>
      <c r="H64" s="401"/>
      <c r="K64" s="12"/>
      <c r="L64" s="23" t="s">
        <v>1322</v>
      </c>
      <c r="M64" s="22" t="s">
        <v>1345</v>
      </c>
      <c r="N64" s="22"/>
      <c r="O64" s="406"/>
      <c r="P64" s="406"/>
      <c r="Q64" s="406"/>
      <c r="R64" s="406"/>
      <c r="U64" s="12"/>
      <c r="V64" s="23"/>
      <c r="W64" s="22"/>
      <c r="X64" s="22"/>
      <c r="Y64" s="409"/>
      <c r="Z64" s="409"/>
      <c r="AA64" s="409"/>
      <c r="AB64" s="409"/>
      <c r="AD64" s="12"/>
      <c r="AE64" s="23"/>
      <c r="AF64" s="22"/>
      <c r="AG64" s="22"/>
      <c r="AH64" s="413"/>
      <c r="AI64" s="413"/>
      <c r="AJ64" s="413"/>
      <c r="AK64" s="413"/>
    </row>
    <row r="65" spans="1:37">
      <c r="A65" s="12"/>
      <c r="B65" s="23" t="s">
        <v>1322</v>
      </c>
      <c r="C65" s="23" t="s">
        <v>1279</v>
      </c>
      <c r="D65" s="23">
        <v>300000</v>
      </c>
      <c r="E65" s="401"/>
      <c r="F65" s="401"/>
      <c r="G65" s="401"/>
      <c r="H65" s="401"/>
      <c r="K65" s="12"/>
      <c r="L65" s="23" t="s">
        <v>1322</v>
      </c>
      <c r="M65" s="23" t="s">
        <v>1279</v>
      </c>
      <c r="N65" s="23">
        <v>300000</v>
      </c>
      <c r="O65" s="406"/>
      <c r="P65" s="406"/>
      <c r="Q65" s="406"/>
      <c r="R65" s="406"/>
      <c r="U65" s="12"/>
      <c r="V65" s="23"/>
      <c r="W65" s="23"/>
      <c r="X65" s="23"/>
      <c r="Y65" s="409"/>
      <c r="Z65" s="409"/>
      <c r="AA65" s="409"/>
      <c r="AB65" s="409"/>
      <c r="AD65" s="12"/>
      <c r="AE65" s="23"/>
      <c r="AF65" s="23"/>
      <c r="AG65" s="23"/>
      <c r="AH65" s="413"/>
      <c r="AI65" s="413"/>
      <c r="AJ65" s="413"/>
      <c r="AK65" s="413"/>
    </row>
    <row r="66" spans="1:37">
      <c r="A66" s="12"/>
      <c r="B66" s="23" t="s">
        <v>1322</v>
      </c>
      <c r="C66" s="23" t="s">
        <v>1278</v>
      </c>
      <c r="D66" s="23">
        <v>3610000</v>
      </c>
      <c r="E66" s="401"/>
      <c r="F66" s="401"/>
      <c r="G66" s="401"/>
      <c r="H66" s="401"/>
      <c r="K66" s="12"/>
      <c r="L66" s="23" t="s">
        <v>1322</v>
      </c>
      <c r="M66" s="23" t="s">
        <v>1278</v>
      </c>
      <c r="N66" s="23">
        <v>3610000</v>
      </c>
      <c r="O66" s="406"/>
      <c r="P66" s="406"/>
      <c r="Q66" s="406"/>
      <c r="R66" s="406"/>
      <c r="U66" s="12"/>
      <c r="V66" s="23"/>
      <c r="W66" s="23"/>
      <c r="X66" s="23"/>
      <c r="Y66" s="409"/>
      <c r="Z66" s="409"/>
      <c r="AA66" s="409"/>
      <c r="AB66" s="409"/>
      <c r="AD66" s="12"/>
      <c r="AE66" s="23"/>
      <c r="AF66" s="23"/>
      <c r="AG66" s="23"/>
      <c r="AH66" s="413"/>
      <c r="AI66" s="413"/>
      <c r="AJ66" s="413"/>
      <c r="AK66" s="413"/>
    </row>
    <row r="67" spans="1:37">
      <c r="A67" s="12"/>
      <c r="B67" s="23" t="s">
        <v>1321</v>
      </c>
      <c r="C67" s="23" t="s">
        <v>1320</v>
      </c>
      <c r="D67" s="23">
        <f>4620000+1335000+1610000+20000000+30000000</f>
        <v>57565000</v>
      </c>
      <c r="E67" s="401"/>
      <c r="F67" s="401"/>
      <c r="G67" s="401"/>
      <c r="H67" s="401"/>
      <c r="K67" s="12"/>
      <c r="L67" s="23" t="s">
        <v>1321</v>
      </c>
      <c r="M67" s="23" t="s">
        <v>1320</v>
      </c>
      <c r="N67" s="23">
        <v>40000000</v>
      </c>
      <c r="O67" s="406"/>
      <c r="P67" s="406"/>
      <c r="Q67" s="406"/>
      <c r="R67" s="406"/>
      <c r="U67" s="12"/>
      <c r="V67" s="23"/>
      <c r="W67" s="23"/>
      <c r="X67" s="23"/>
      <c r="Y67" s="409"/>
      <c r="Z67" s="409"/>
      <c r="AA67" s="409"/>
      <c r="AB67" s="409"/>
      <c r="AD67" s="23"/>
      <c r="AE67" s="23" t="s">
        <v>1321</v>
      </c>
      <c r="AF67" s="23" t="s">
        <v>1320</v>
      </c>
      <c r="AG67" s="23">
        <v>15000000</v>
      </c>
      <c r="AH67" s="413"/>
      <c r="AI67" s="413"/>
      <c r="AJ67" s="413"/>
      <c r="AK67" s="413"/>
    </row>
    <row r="68" spans="1:37">
      <c r="A68" s="12"/>
      <c r="B68" s="23"/>
      <c r="C68" s="22" t="s">
        <v>1323</v>
      </c>
      <c r="D68" s="22">
        <v>39733000</v>
      </c>
      <c r="E68" s="401"/>
      <c r="F68" s="401"/>
      <c r="G68" s="401"/>
      <c r="H68" s="401"/>
      <c r="K68" s="12"/>
      <c r="L68" s="23"/>
      <c r="M68" s="22" t="s">
        <v>1323</v>
      </c>
      <c r="N68" s="22"/>
      <c r="O68" s="406"/>
      <c r="P68" s="406"/>
      <c r="Q68" s="406"/>
      <c r="R68" s="406"/>
      <c r="U68" s="12"/>
      <c r="V68" s="23"/>
      <c r="W68" s="22"/>
      <c r="X68" s="22"/>
      <c r="Y68" s="409"/>
      <c r="Z68" s="409"/>
      <c r="AA68" s="409"/>
      <c r="AB68" s="409"/>
      <c r="AD68" s="12"/>
      <c r="AE68" s="23"/>
      <c r="AF68" s="22"/>
      <c r="AG68" s="22"/>
      <c r="AH68" s="413"/>
      <c r="AI68" s="413"/>
      <c r="AJ68" s="413"/>
      <c r="AK68" s="413"/>
    </row>
    <row r="69" spans="1:37">
      <c r="A69" s="12"/>
      <c r="B69" s="23"/>
      <c r="C69" s="22"/>
      <c r="D69" s="22"/>
      <c r="E69" s="401"/>
      <c r="F69" s="401"/>
      <c r="G69" s="401"/>
      <c r="H69" s="401"/>
      <c r="K69" s="12"/>
      <c r="L69" s="23"/>
      <c r="M69" s="22"/>
      <c r="N69" s="22"/>
      <c r="O69" s="406"/>
      <c r="P69" s="406"/>
      <c r="Q69" s="406"/>
      <c r="R69" s="406"/>
      <c r="U69" s="12"/>
      <c r="V69" s="23"/>
      <c r="W69" s="22"/>
      <c r="X69" s="22"/>
      <c r="Y69" s="409"/>
      <c r="Z69" s="409"/>
      <c r="AA69" s="409"/>
      <c r="AB69" s="409"/>
      <c r="AD69" s="12"/>
      <c r="AE69" s="23"/>
      <c r="AF69" s="22"/>
      <c r="AG69" s="22"/>
      <c r="AH69" s="413"/>
      <c r="AI69" s="413"/>
      <c r="AJ69" s="413"/>
      <c r="AK69" s="413"/>
    </row>
    <row r="70" spans="1:37">
      <c r="A70" s="12"/>
      <c r="B70" s="23"/>
      <c r="C70" s="22"/>
      <c r="D70" s="22"/>
      <c r="E70" s="401"/>
      <c r="F70" s="401"/>
      <c r="G70" s="401"/>
      <c r="H70" s="401"/>
      <c r="K70" s="12"/>
      <c r="L70" s="23"/>
      <c r="M70" s="22"/>
      <c r="N70" s="22"/>
      <c r="O70" s="406"/>
      <c r="P70" s="406"/>
      <c r="Q70" s="406"/>
      <c r="R70" s="406"/>
      <c r="U70" s="12"/>
      <c r="V70" s="23"/>
      <c r="W70" s="22"/>
      <c r="X70" s="22"/>
      <c r="Y70" s="409"/>
      <c r="Z70" s="409"/>
      <c r="AA70" s="409"/>
      <c r="AB70" s="409"/>
      <c r="AD70" s="12"/>
      <c r="AE70" s="23"/>
      <c r="AF70" s="22"/>
      <c r="AG70" s="22"/>
      <c r="AH70" s="413"/>
      <c r="AI70" s="413"/>
      <c r="AJ70" s="413"/>
      <c r="AK70" s="413"/>
    </row>
    <row r="71" spans="1:37">
      <c r="A71" s="12"/>
      <c r="B71" s="13"/>
      <c r="C71" s="26" t="s">
        <v>55</v>
      </c>
      <c r="D71" s="27">
        <f>SUM(D55:D70)</f>
        <v>295563000</v>
      </c>
      <c r="E71" s="27">
        <v>0</v>
      </c>
      <c r="F71" s="27">
        <v>0</v>
      </c>
      <c r="G71" s="27"/>
      <c r="H71" s="27"/>
      <c r="K71" s="12"/>
      <c r="L71" s="13"/>
      <c r="M71" s="26" t="s">
        <v>55</v>
      </c>
      <c r="N71" s="27">
        <f>SUM(N55:N70)</f>
        <v>176215000</v>
      </c>
      <c r="O71" s="27">
        <v>0</v>
      </c>
      <c r="P71" s="27">
        <v>0</v>
      </c>
      <c r="Q71" s="27"/>
      <c r="R71" s="27"/>
      <c r="U71" s="12"/>
      <c r="V71" s="13"/>
      <c r="W71" s="26" t="s">
        <v>55</v>
      </c>
      <c r="X71" s="27">
        <f>SUM(X55:X70)</f>
        <v>0</v>
      </c>
      <c r="Y71" s="27">
        <v>0</v>
      </c>
      <c r="Z71" s="27">
        <v>0</v>
      </c>
      <c r="AA71" s="27"/>
      <c r="AB71" s="27"/>
      <c r="AD71" s="12"/>
      <c r="AE71" s="13"/>
      <c r="AF71" s="26" t="s">
        <v>55</v>
      </c>
      <c r="AG71" s="27">
        <f>SUM(AG55:AG70)</f>
        <v>15000000</v>
      </c>
      <c r="AH71" s="27">
        <v>0</v>
      </c>
      <c r="AI71" s="27">
        <v>0</v>
      </c>
      <c r="AJ71" s="27"/>
      <c r="AK71" s="27"/>
    </row>
    <row r="72" spans="1:37">
      <c r="A72" s="20"/>
      <c r="B72" s="19"/>
      <c r="C72" s="401" t="s">
        <v>21</v>
      </c>
      <c r="D72" s="10"/>
      <c r="E72" s="530">
        <f>D71</f>
        <v>295563000</v>
      </c>
      <c r="F72" s="530"/>
      <c r="G72" s="530"/>
      <c r="H72" s="530"/>
      <c r="K72" s="20"/>
      <c r="L72" s="19"/>
      <c r="M72" s="406" t="s">
        <v>21</v>
      </c>
      <c r="N72" s="10"/>
      <c r="O72" s="530">
        <f>N71</f>
        <v>176215000</v>
      </c>
      <c r="P72" s="530"/>
      <c r="Q72" s="530"/>
      <c r="R72" s="530"/>
      <c r="U72" s="20"/>
      <c r="V72" s="19"/>
      <c r="W72" s="409" t="s">
        <v>21</v>
      </c>
      <c r="X72" s="10"/>
      <c r="Y72" s="530">
        <f>X71</f>
        <v>0</v>
      </c>
      <c r="Z72" s="530"/>
      <c r="AA72" s="530"/>
      <c r="AB72" s="530"/>
      <c r="AD72" s="20"/>
      <c r="AE72" s="19"/>
      <c r="AF72" s="413" t="s">
        <v>21</v>
      </c>
      <c r="AG72" s="10"/>
      <c r="AH72" s="530">
        <f>AG71</f>
        <v>15000000</v>
      </c>
      <c r="AI72" s="530"/>
      <c r="AJ72" s="530"/>
      <c r="AK72" s="530"/>
    </row>
    <row r="73" spans="1:37">
      <c r="A73" s="524" t="s">
        <v>1047</v>
      </c>
      <c r="B73" s="524"/>
      <c r="C73" s="524"/>
      <c r="D73" s="524"/>
      <c r="E73" s="524"/>
      <c r="F73" s="524"/>
      <c r="G73" s="524"/>
      <c r="H73" s="524"/>
      <c r="K73" s="524" t="s">
        <v>1047</v>
      </c>
      <c r="L73" s="524"/>
      <c r="M73" s="524"/>
      <c r="N73" s="524"/>
      <c r="O73" s="524"/>
      <c r="P73" s="524"/>
      <c r="Q73" s="524"/>
      <c r="R73" s="524"/>
      <c r="U73" s="524" t="s">
        <v>1047</v>
      </c>
      <c r="V73" s="524"/>
      <c r="W73" s="524"/>
      <c r="X73" s="524"/>
      <c r="Y73" s="524"/>
      <c r="Z73" s="524"/>
      <c r="AA73" s="524"/>
      <c r="AB73" s="524"/>
      <c r="AD73" s="524" t="s">
        <v>1047</v>
      </c>
      <c r="AE73" s="524"/>
      <c r="AF73" s="524"/>
      <c r="AG73" s="524"/>
      <c r="AH73" s="524"/>
      <c r="AI73" s="524"/>
      <c r="AJ73" s="524"/>
      <c r="AK73" s="524"/>
    </row>
    <row r="74" spans="1:37">
      <c r="A74" s="28"/>
      <c r="B74" s="19"/>
      <c r="C74" s="23" t="s">
        <v>1288</v>
      </c>
      <c r="D74" s="23">
        <v>500000</v>
      </c>
      <c r="E74" s="28"/>
      <c r="F74" s="28"/>
      <c r="G74" s="28"/>
      <c r="H74" s="28"/>
      <c r="K74" s="28"/>
      <c r="L74" s="19"/>
      <c r="M74" s="23" t="s">
        <v>1288</v>
      </c>
      <c r="N74" s="23">
        <v>500000</v>
      </c>
      <c r="O74" s="28"/>
      <c r="P74" s="28"/>
      <c r="Q74" s="28"/>
      <c r="R74" s="28"/>
      <c r="U74" s="28"/>
      <c r="V74" s="19"/>
      <c r="W74" s="24"/>
      <c r="X74" s="23"/>
      <c r="Y74" s="28"/>
      <c r="Z74" s="28"/>
      <c r="AA74" s="28"/>
      <c r="AB74" s="28"/>
      <c r="AD74" s="28"/>
      <c r="AE74" s="19" t="s">
        <v>1327</v>
      </c>
      <c r="AF74" s="24" t="s">
        <v>1328</v>
      </c>
      <c r="AG74" s="23">
        <v>3000000</v>
      </c>
      <c r="AH74" s="28"/>
      <c r="AI74" s="28"/>
      <c r="AJ74" s="28"/>
      <c r="AK74" s="28"/>
    </row>
    <row r="75" spans="1:37">
      <c r="A75" s="28"/>
      <c r="B75" s="19" t="s">
        <v>1325</v>
      </c>
      <c r="C75" s="23" t="s">
        <v>1291</v>
      </c>
      <c r="D75" s="23">
        <v>9465000</v>
      </c>
      <c r="E75" s="28"/>
      <c r="F75" s="28"/>
      <c r="G75" s="28"/>
      <c r="H75" s="28"/>
      <c r="K75" s="28"/>
      <c r="L75" s="19" t="s">
        <v>1325</v>
      </c>
      <c r="M75" s="23" t="s">
        <v>1291</v>
      </c>
      <c r="N75" s="23">
        <v>9465000</v>
      </c>
      <c r="O75" s="28"/>
      <c r="P75" s="28"/>
      <c r="Q75" s="28"/>
      <c r="R75" s="28"/>
      <c r="U75" s="28"/>
      <c r="V75" s="19"/>
      <c r="W75" s="23"/>
      <c r="X75" s="23"/>
      <c r="Y75" s="28"/>
      <c r="Z75" s="28"/>
      <c r="AA75" s="28"/>
      <c r="AB75" s="28"/>
      <c r="AD75" s="28"/>
      <c r="AE75" s="19"/>
      <c r="AF75" s="23"/>
      <c r="AG75" s="23"/>
      <c r="AH75" s="28"/>
      <c r="AI75" s="28"/>
      <c r="AJ75" s="28"/>
      <c r="AK75" s="28"/>
    </row>
    <row r="76" spans="1:37">
      <c r="A76" s="28"/>
      <c r="B76" s="19" t="s">
        <v>1325</v>
      </c>
      <c r="C76" s="23" t="s">
        <v>1175</v>
      </c>
      <c r="D76" s="23">
        <v>30000</v>
      </c>
      <c r="E76" s="28"/>
      <c r="F76" s="28"/>
      <c r="G76" s="28"/>
      <c r="H76" s="28"/>
      <c r="K76" s="28"/>
      <c r="L76" s="19" t="s">
        <v>1325</v>
      </c>
      <c r="M76" s="23" t="s">
        <v>1175</v>
      </c>
      <c r="N76" s="23">
        <v>30000</v>
      </c>
      <c r="O76" s="28"/>
      <c r="P76" s="28"/>
      <c r="Q76" s="28"/>
      <c r="R76" s="28"/>
      <c r="U76" s="28"/>
      <c r="V76" s="19"/>
      <c r="W76" s="23"/>
      <c r="X76" s="23"/>
      <c r="Y76" s="28"/>
      <c r="Z76" s="28"/>
      <c r="AA76" s="28"/>
      <c r="AB76" s="28"/>
      <c r="AD76" s="28"/>
      <c r="AE76" s="19"/>
      <c r="AF76" s="23"/>
      <c r="AG76" s="23"/>
      <c r="AH76" s="28"/>
      <c r="AI76" s="28"/>
      <c r="AJ76" s="28"/>
      <c r="AK76" s="28"/>
    </row>
    <row r="77" spans="1:37">
      <c r="A77" s="28"/>
      <c r="B77" s="19" t="s">
        <v>1325</v>
      </c>
      <c r="C77" s="23" t="s">
        <v>1127</v>
      </c>
      <c r="D77" s="23">
        <v>750000</v>
      </c>
      <c r="E77" s="28"/>
      <c r="F77" s="28"/>
      <c r="G77" s="28"/>
      <c r="H77" s="28"/>
      <c r="K77" s="28"/>
      <c r="L77" s="19" t="s">
        <v>1325</v>
      </c>
      <c r="M77" s="23" t="s">
        <v>1127</v>
      </c>
      <c r="N77" s="23">
        <v>750000</v>
      </c>
      <c r="O77" s="28"/>
      <c r="P77" s="28"/>
      <c r="Q77" s="28"/>
      <c r="R77" s="28"/>
      <c r="U77" s="28"/>
      <c r="V77" s="19"/>
      <c r="W77" s="23"/>
      <c r="X77" s="23"/>
      <c r="Y77" s="28"/>
      <c r="Z77" s="28"/>
      <c r="AA77" s="28"/>
      <c r="AB77" s="28"/>
      <c r="AD77" s="28"/>
      <c r="AE77" s="19"/>
      <c r="AF77" s="23"/>
      <c r="AG77" s="23"/>
      <c r="AH77" s="28"/>
      <c r="AI77" s="28"/>
      <c r="AJ77" s="28"/>
      <c r="AK77" s="28"/>
    </row>
    <row r="78" spans="1:37">
      <c r="A78" s="28"/>
      <c r="B78" s="19" t="s">
        <v>1325</v>
      </c>
      <c r="C78" s="23" t="s">
        <v>1326</v>
      </c>
      <c r="D78" s="23">
        <v>50000</v>
      </c>
      <c r="E78" s="28"/>
      <c r="F78" s="28"/>
      <c r="G78" s="28"/>
      <c r="H78" s="28"/>
      <c r="K78" s="28"/>
      <c r="L78" s="19" t="s">
        <v>1325</v>
      </c>
      <c r="M78" s="23" t="s">
        <v>1326</v>
      </c>
      <c r="N78" s="23">
        <v>50000</v>
      </c>
      <c r="O78" s="28"/>
      <c r="P78" s="28"/>
      <c r="Q78" s="28"/>
      <c r="R78" s="28"/>
      <c r="U78" s="28"/>
      <c r="V78" s="19"/>
      <c r="W78" s="23"/>
      <c r="X78" s="23"/>
      <c r="Y78" s="28"/>
      <c r="Z78" s="28"/>
      <c r="AA78" s="28"/>
      <c r="AB78" s="28"/>
      <c r="AD78" s="28"/>
      <c r="AE78" s="19"/>
      <c r="AF78" s="23"/>
      <c r="AG78" s="23"/>
      <c r="AH78" s="28"/>
      <c r="AI78" s="28"/>
      <c r="AJ78" s="28"/>
      <c r="AK78" s="28"/>
    </row>
    <row r="79" spans="1:37">
      <c r="A79" s="12"/>
      <c r="B79" s="19" t="s">
        <v>1327</v>
      </c>
      <c r="C79" s="24" t="s">
        <v>1328</v>
      </c>
      <c r="D79" s="23">
        <v>3000000</v>
      </c>
      <c r="E79" s="401"/>
      <c r="F79" s="401"/>
      <c r="G79" s="401"/>
      <c r="H79" s="401"/>
      <c r="K79" s="12"/>
      <c r="L79" s="19" t="s">
        <v>1327</v>
      </c>
      <c r="M79" s="24" t="s">
        <v>1328</v>
      </c>
      <c r="N79" s="23"/>
      <c r="O79" s="406"/>
      <c r="P79" s="406"/>
      <c r="Q79" s="406"/>
      <c r="R79" s="406"/>
      <c r="U79" s="12"/>
      <c r="V79" s="19"/>
      <c r="W79" s="24"/>
      <c r="X79" s="23"/>
      <c r="Y79" s="409"/>
      <c r="Z79" s="409"/>
      <c r="AA79" s="409"/>
      <c r="AB79" s="409"/>
      <c r="AD79" s="12"/>
      <c r="AE79" s="19"/>
      <c r="AF79" s="24"/>
      <c r="AG79" s="23"/>
      <c r="AH79" s="413"/>
      <c r="AI79" s="413"/>
      <c r="AJ79" s="413"/>
      <c r="AK79" s="413"/>
    </row>
    <row r="80" spans="1:37">
      <c r="A80" s="12"/>
      <c r="B80" s="19" t="s">
        <v>1327</v>
      </c>
      <c r="C80" s="24" t="s">
        <v>1329</v>
      </c>
      <c r="D80" s="23">
        <v>250000</v>
      </c>
      <c r="E80" s="401"/>
      <c r="F80" s="401"/>
      <c r="G80" s="401"/>
      <c r="H80" s="401"/>
      <c r="K80" s="12"/>
      <c r="L80" s="19" t="s">
        <v>1327</v>
      </c>
      <c r="M80" s="24" t="s">
        <v>1329</v>
      </c>
      <c r="N80" s="23">
        <v>250000</v>
      </c>
      <c r="O80" s="406"/>
      <c r="P80" s="406"/>
      <c r="Q80" s="406"/>
      <c r="R80" s="406"/>
      <c r="U80" s="12"/>
      <c r="V80" s="19"/>
      <c r="W80" s="24"/>
      <c r="X80" s="23"/>
      <c r="Y80" s="409"/>
      <c r="Z80" s="409"/>
      <c r="AA80" s="409"/>
      <c r="AB80" s="409"/>
      <c r="AD80" s="12"/>
      <c r="AE80" s="19"/>
      <c r="AF80" s="24"/>
      <c r="AG80" s="23"/>
      <c r="AH80" s="413"/>
      <c r="AI80" s="413"/>
      <c r="AJ80" s="413"/>
      <c r="AK80" s="413"/>
    </row>
    <row r="81" spans="1:37">
      <c r="A81" s="12"/>
      <c r="B81" s="19" t="s">
        <v>1327</v>
      </c>
      <c r="C81" s="24" t="s">
        <v>1330</v>
      </c>
      <c r="D81" s="23">
        <v>1179000</v>
      </c>
      <c r="E81" s="401"/>
      <c r="F81" s="401"/>
      <c r="G81" s="401"/>
      <c r="H81" s="401"/>
      <c r="K81" s="12"/>
      <c r="L81" s="19" t="s">
        <v>1327</v>
      </c>
      <c r="M81" s="24" t="s">
        <v>1330</v>
      </c>
      <c r="N81" s="23">
        <v>1179000</v>
      </c>
      <c r="O81" s="406"/>
      <c r="P81" s="406"/>
      <c r="Q81" s="406"/>
      <c r="R81" s="406"/>
      <c r="U81" s="12"/>
      <c r="V81" s="19"/>
      <c r="W81" s="24"/>
      <c r="X81" s="23"/>
      <c r="Y81" s="409"/>
      <c r="Z81" s="409"/>
      <c r="AA81" s="409"/>
      <c r="AB81" s="409"/>
      <c r="AD81" s="12"/>
      <c r="AE81" s="19"/>
      <c r="AF81" s="24"/>
      <c r="AG81" s="23"/>
      <c r="AH81" s="413"/>
      <c r="AI81" s="413"/>
      <c r="AJ81" s="413"/>
      <c r="AK81" s="413"/>
    </row>
    <row r="82" spans="1:37">
      <c r="A82" s="12"/>
      <c r="B82" s="13"/>
      <c r="C82" s="26" t="s">
        <v>848</v>
      </c>
      <c r="D82" s="27">
        <f>SUM(D74:D81)</f>
        <v>15224000</v>
      </c>
      <c r="E82" s="27">
        <v>0</v>
      </c>
      <c r="F82" s="27">
        <v>0</v>
      </c>
      <c r="G82" s="27"/>
      <c r="H82" s="27"/>
      <c r="K82" s="12"/>
      <c r="L82" s="13"/>
      <c r="M82" s="26" t="s">
        <v>848</v>
      </c>
      <c r="N82" s="27">
        <f>SUM(N74:N81)</f>
        <v>12224000</v>
      </c>
      <c r="O82" s="27">
        <v>0</v>
      </c>
      <c r="P82" s="27">
        <v>0</v>
      </c>
      <c r="Q82" s="27"/>
      <c r="R82" s="27"/>
      <c r="U82" s="12"/>
      <c r="V82" s="13"/>
      <c r="W82" s="26" t="s">
        <v>848</v>
      </c>
      <c r="X82" s="27">
        <f>SUM(X74:X81)</f>
        <v>0</v>
      </c>
      <c r="Y82" s="27">
        <v>0</v>
      </c>
      <c r="Z82" s="27">
        <v>0</v>
      </c>
      <c r="AA82" s="27"/>
      <c r="AB82" s="27"/>
      <c r="AD82" s="12"/>
      <c r="AE82" s="13"/>
      <c r="AF82" s="26" t="s">
        <v>848</v>
      </c>
      <c r="AG82" s="27">
        <f>SUM(AG74:AG81)</f>
        <v>3000000</v>
      </c>
      <c r="AH82" s="27">
        <v>0</v>
      </c>
      <c r="AI82" s="27">
        <v>0</v>
      </c>
      <c r="AJ82" s="27"/>
      <c r="AK82" s="27"/>
    </row>
    <row r="83" spans="1:37">
      <c r="A83" s="20"/>
      <c r="B83" s="19"/>
      <c r="C83" s="401" t="s">
        <v>21</v>
      </c>
      <c r="D83" s="10"/>
      <c r="E83" s="530">
        <f>D82</f>
        <v>15224000</v>
      </c>
      <c r="F83" s="530"/>
      <c r="G83" s="530"/>
      <c r="H83" s="530"/>
      <c r="K83" s="20"/>
      <c r="L83" s="19"/>
      <c r="M83" s="406" t="s">
        <v>21</v>
      </c>
      <c r="N83" s="10"/>
      <c r="O83" s="530">
        <f>N82</f>
        <v>12224000</v>
      </c>
      <c r="P83" s="530"/>
      <c r="Q83" s="530"/>
      <c r="R83" s="530"/>
      <c r="U83" s="20"/>
      <c r="V83" s="19"/>
      <c r="W83" s="409" t="s">
        <v>21</v>
      </c>
      <c r="X83" s="10"/>
      <c r="Y83" s="530">
        <f>X82</f>
        <v>0</v>
      </c>
      <c r="Z83" s="530"/>
      <c r="AA83" s="530"/>
      <c r="AB83" s="530"/>
      <c r="AD83" s="20"/>
      <c r="AE83" s="19"/>
      <c r="AF83" s="413" t="s">
        <v>21</v>
      </c>
      <c r="AG83" s="10"/>
      <c r="AH83" s="530">
        <f>AG82</f>
        <v>3000000</v>
      </c>
      <c r="AI83" s="530"/>
      <c r="AJ83" s="530"/>
      <c r="AK83" s="530"/>
    </row>
    <row r="84" spans="1:37">
      <c r="A84" s="527" t="s">
        <v>26</v>
      </c>
      <c r="B84" s="528"/>
      <c r="C84" s="528"/>
      <c r="D84" s="528"/>
      <c r="E84" s="528"/>
      <c r="F84" s="528"/>
      <c r="G84" s="528"/>
      <c r="H84" s="529"/>
      <c r="K84" s="527" t="s">
        <v>26</v>
      </c>
      <c r="L84" s="528"/>
      <c r="M84" s="528"/>
      <c r="N84" s="528"/>
      <c r="O84" s="528"/>
      <c r="P84" s="528"/>
      <c r="Q84" s="528"/>
      <c r="R84" s="529"/>
      <c r="U84" s="527" t="s">
        <v>26</v>
      </c>
      <c r="V84" s="528"/>
      <c r="W84" s="528"/>
      <c r="X84" s="528"/>
      <c r="Y84" s="528"/>
      <c r="Z84" s="528"/>
      <c r="AA84" s="528"/>
      <c r="AB84" s="529"/>
      <c r="AD84" s="527" t="s">
        <v>26</v>
      </c>
      <c r="AE84" s="528"/>
      <c r="AF84" s="528"/>
      <c r="AG84" s="528"/>
      <c r="AH84" s="528"/>
      <c r="AI84" s="528"/>
      <c r="AJ84" s="528"/>
      <c r="AK84" s="529"/>
    </row>
    <row r="85" spans="1:37">
      <c r="A85" s="12"/>
      <c r="B85" s="23" t="s">
        <v>1297</v>
      </c>
      <c r="C85" s="24" t="s">
        <v>1298</v>
      </c>
      <c r="D85" s="23">
        <v>4934000</v>
      </c>
      <c r="E85" s="22"/>
      <c r="F85" s="22"/>
      <c r="G85" s="16"/>
      <c r="H85" s="16"/>
      <c r="K85" s="12"/>
      <c r="L85" s="23" t="s">
        <v>1297</v>
      </c>
      <c r="M85" s="24" t="s">
        <v>1341</v>
      </c>
      <c r="N85" s="23"/>
      <c r="O85" s="22"/>
      <c r="P85" s="22"/>
      <c r="Q85" s="16"/>
      <c r="R85" s="16"/>
      <c r="U85" s="12"/>
      <c r="V85" s="23" t="s">
        <v>1297</v>
      </c>
      <c r="W85" s="24" t="s">
        <v>1298</v>
      </c>
      <c r="X85" s="23">
        <v>4934000</v>
      </c>
      <c r="Y85" s="22"/>
      <c r="Z85" s="22"/>
      <c r="AA85" s="16"/>
      <c r="AB85" s="16"/>
      <c r="AD85" s="12"/>
      <c r="AE85" s="23" t="s">
        <v>1297</v>
      </c>
      <c r="AF85" s="24" t="s">
        <v>1298</v>
      </c>
      <c r="AG85" s="23"/>
      <c r="AH85" s="22"/>
      <c r="AI85" s="22"/>
      <c r="AJ85" s="16"/>
      <c r="AK85" s="16"/>
    </row>
    <row r="86" spans="1:37">
      <c r="A86" s="12"/>
      <c r="B86" s="23" t="s">
        <v>1297</v>
      </c>
      <c r="C86" s="24" t="s">
        <v>1299</v>
      </c>
      <c r="D86" s="23">
        <v>4958000</v>
      </c>
      <c r="E86" s="22"/>
      <c r="F86" s="22"/>
      <c r="G86" s="16"/>
      <c r="H86" s="16"/>
      <c r="K86" s="12"/>
      <c r="L86" s="23" t="s">
        <v>1297</v>
      </c>
      <c r="M86" s="24" t="s">
        <v>1342</v>
      </c>
      <c r="N86" s="23"/>
      <c r="O86" s="22"/>
      <c r="P86" s="22"/>
      <c r="Q86" s="16"/>
      <c r="R86" s="16"/>
      <c r="U86" s="12"/>
      <c r="V86" s="23" t="s">
        <v>1297</v>
      </c>
      <c r="W86" s="24" t="s">
        <v>1299</v>
      </c>
      <c r="X86" s="23">
        <v>4958000</v>
      </c>
      <c r="Y86" s="22"/>
      <c r="Z86" s="22"/>
      <c r="AA86" s="16"/>
      <c r="AB86" s="16"/>
      <c r="AD86" s="12"/>
      <c r="AE86" s="23" t="s">
        <v>1297</v>
      </c>
      <c r="AF86" s="24" t="s">
        <v>1299</v>
      </c>
      <c r="AG86" s="23"/>
      <c r="AH86" s="22"/>
      <c r="AI86" s="22"/>
      <c r="AJ86" s="16"/>
      <c r="AK86" s="16"/>
    </row>
    <row r="87" spans="1:37">
      <c r="A87" s="12"/>
      <c r="B87" s="23" t="s">
        <v>1335</v>
      </c>
      <c r="C87" s="24" t="s">
        <v>1334</v>
      </c>
      <c r="D87" s="23">
        <v>2131500</v>
      </c>
      <c r="E87" s="22"/>
      <c r="F87" s="22"/>
      <c r="G87" s="16"/>
      <c r="H87" s="16"/>
      <c r="K87" s="12"/>
      <c r="L87" s="23" t="s">
        <v>1335</v>
      </c>
      <c r="M87" s="24" t="s">
        <v>1334</v>
      </c>
      <c r="N87" s="23"/>
      <c r="O87" s="22"/>
      <c r="P87" s="22"/>
      <c r="Q87" s="16"/>
      <c r="R87" s="16"/>
      <c r="U87" s="12"/>
      <c r="V87" s="23" t="s">
        <v>1335</v>
      </c>
      <c r="W87" s="24" t="s">
        <v>1334</v>
      </c>
      <c r="X87" s="23">
        <v>2131500</v>
      </c>
      <c r="Y87" s="22"/>
      <c r="Z87" s="22"/>
      <c r="AA87" s="16"/>
      <c r="AB87" s="16"/>
      <c r="AD87" s="12"/>
      <c r="AE87" s="23" t="s">
        <v>1335</v>
      </c>
      <c r="AF87" s="24" t="s">
        <v>1334</v>
      </c>
      <c r="AG87" s="23"/>
      <c r="AH87" s="22"/>
      <c r="AI87" s="22"/>
      <c r="AJ87" s="16"/>
      <c r="AK87" s="16"/>
    </row>
    <row r="88" spans="1:37">
      <c r="A88" s="12"/>
      <c r="B88" s="23" t="s">
        <v>1297</v>
      </c>
      <c r="C88" s="24" t="s">
        <v>1337</v>
      </c>
      <c r="D88" s="23">
        <v>3910000</v>
      </c>
      <c r="E88" s="22"/>
      <c r="F88" s="22"/>
      <c r="G88" s="16"/>
      <c r="H88" s="16"/>
      <c r="K88" s="12"/>
      <c r="L88" s="23" t="s">
        <v>1297</v>
      </c>
      <c r="M88" s="24" t="s">
        <v>1337</v>
      </c>
      <c r="N88" s="23"/>
      <c r="O88" s="22"/>
      <c r="P88" s="22"/>
      <c r="Q88" s="16"/>
      <c r="R88" s="16"/>
      <c r="U88" s="12"/>
      <c r="V88" s="23"/>
      <c r="W88" s="24"/>
      <c r="X88" s="23"/>
      <c r="Y88" s="22"/>
      <c r="Z88" s="22"/>
      <c r="AA88" s="16"/>
      <c r="AB88" s="16"/>
      <c r="AD88" s="12"/>
      <c r="AE88" s="23" t="s">
        <v>1297</v>
      </c>
      <c r="AF88" s="24" t="s">
        <v>1337</v>
      </c>
      <c r="AG88" s="23"/>
      <c r="AH88" s="22"/>
      <c r="AI88" s="22"/>
      <c r="AJ88" s="16"/>
      <c r="AK88" s="16"/>
    </row>
    <row r="89" spans="1:37">
      <c r="A89" s="12"/>
      <c r="B89" s="23" t="s">
        <v>1331</v>
      </c>
      <c r="C89" s="24" t="s">
        <v>1338</v>
      </c>
      <c r="D89" s="23">
        <v>167800</v>
      </c>
      <c r="E89" s="22"/>
      <c r="F89" s="22"/>
      <c r="G89" s="16"/>
      <c r="H89" s="16"/>
      <c r="K89" s="12"/>
      <c r="L89" s="23" t="s">
        <v>1331</v>
      </c>
      <c r="M89" s="24" t="s">
        <v>1338</v>
      </c>
      <c r="N89" s="23"/>
      <c r="O89" s="22"/>
      <c r="P89" s="22"/>
      <c r="Q89" s="16"/>
      <c r="R89" s="16"/>
      <c r="U89" s="12"/>
      <c r="V89" s="23"/>
      <c r="W89" s="24"/>
      <c r="X89" s="23"/>
      <c r="Y89" s="22"/>
      <c r="Z89" s="22"/>
      <c r="AA89" s="16"/>
      <c r="AB89" s="16"/>
      <c r="AD89" s="12"/>
      <c r="AE89" s="23" t="s">
        <v>1331</v>
      </c>
      <c r="AF89" s="24" t="s">
        <v>1338</v>
      </c>
      <c r="AG89" s="23"/>
      <c r="AH89" s="22"/>
      <c r="AI89" s="22"/>
      <c r="AJ89" s="16"/>
      <c r="AK89" s="16"/>
    </row>
    <row r="90" spans="1:37">
      <c r="A90" s="12"/>
      <c r="B90" s="23"/>
      <c r="C90" s="24" t="s">
        <v>1336</v>
      </c>
      <c r="D90" s="23">
        <v>3720500</v>
      </c>
      <c r="E90" s="22"/>
      <c r="F90" s="22"/>
      <c r="G90" s="16"/>
      <c r="H90" s="16"/>
      <c r="K90" s="12"/>
      <c r="L90" s="23"/>
      <c r="M90" s="24" t="s">
        <v>1336</v>
      </c>
      <c r="N90" s="23" t="s">
        <v>849</v>
      </c>
      <c r="O90" s="22"/>
      <c r="P90" s="22"/>
      <c r="Q90" s="16"/>
      <c r="R90" s="16"/>
      <c r="U90" s="12"/>
      <c r="V90" s="23"/>
      <c r="W90" s="24"/>
      <c r="X90" s="23"/>
      <c r="Y90" s="22"/>
      <c r="Z90" s="22"/>
      <c r="AA90" s="16"/>
      <c r="AB90" s="16"/>
      <c r="AD90" s="12"/>
      <c r="AE90" s="23"/>
      <c r="AF90" s="24" t="s">
        <v>1336</v>
      </c>
      <c r="AG90" s="23"/>
      <c r="AH90" s="22"/>
      <c r="AI90" s="22"/>
      <c r="AJ90" s="16"/>
      <c r="AK90" s="16"/>
    </row>
    <row r="91" spans="1:37">
      <c r="A91" s="12"/>
      <c r="B91" s="23"/>
      <c r="C91" s="24"/>
      <c r="D91" s="23"/>
      <c r="E91" s="22"/>
      <c r="F91" s="22"/>
      <c r="G91" s="16"/>
      <c r="H91" s="16"/>
      <c r="K91" s="12"/>
      <c r="L91" s="23"/>
      <c r="M91" s="24"/>
      <c r="N91" s="23"/>
      <c r="O91" s="22"/>
      <c r="P91" s="22"/>
      <c r="Q91" s="16"/>
      <c r="R91" s="16"/>
      <c r="U91" s="12"/>
      <c r="V91" s="23"/>
      <c r="W91" s="24"/>
      <c r="X91" s="23"/>
      <c r="Y91" s="22"/>
      <c r="Z91" s="22"/>
      <c r="AA91" s="16"/>
      <c r="AB91" s="16"/>
      <c r="AD91" s="12"/>
      <c r="AE91" s="23"/>
      <c r="AF91" s="24" t="s">
        <v>1351</v>
      </c>
      <c r="AG91" s="23">
        <v>1173000</v>
      </c>
      <c r="AH91" s="22"/>
      <c r="AI91" s="22"/>
      <c r="AJ91" s="16"/>
      <c r="AK91" s="16"/>
    </row>
    <row r="92" spans="1:37">
      <c r="A92" s="12"/>
      <c r="B92" s="23"/>
      <c r="C92" s="24"/>
      <c r="D92" s="23"/>
      <c r="E92" s="22"/>
      <c r="F92" s="22"/>
      <c r="G92" s="16"/>
      <c r="H92" s="16"/>
      <c r="K92" s="12"/>
      <c r="L92" s="23"/>
      <c r="M92" s="24"/>
      <c r="N92" s="23"/>
      <c r="O92" s="22"/>
      <c r="P92" s="22"/>
      <c r="Q92" s="16"/>
      <c r="R92" s="16"/>
      <c r="U92" s="12"/>
      <c r="V92" s="23"/>
      <c r="W92" s="24"/>
      <c r="X92" s="23"/>
      <c r="Y92" s="22"/>
      <c r="Z92" s="22"/>
      <c r="AA92" s="16"/>
      <c r="AB92" s="16"/>
      <c r="AD92" s="12"/>
      <c r="AE92" s="23"/>
      <c r="AF92" s="24"/>
      <c r="AG92" s="23"/>
      <c r="AH92" s="22"/>
      <c r="AI92" s="22"/>
      <c r="AJ92" s="16"/>
      <c r="AK92" s="16"/>
    </row>
    <row r="93" spans="1:37">
      <c r="A93" s="12"/>
      <c r="B93" s="19"/>
      <c r="C93" s="23"/>
      <c r="D93" s="23"/>
      <c r="E93" s="22"/>
      <c r="F93" s="22"/>
      <c r="G93" s="16"/>
      <c r="H93" s="16"/>
      <c r="K93" s="12"/>
      <c r="L93" s="19"/>
      <c r="M93" s="23"/>
      <c r="N93" s="23"/>
      <c r="O93" s="22"/>
      <c r="P93" s="22"/>
      <c r="Q93" s="16"/>
      <c r="R93" s="16"/>
      <c r="U93" s="12"/>
      <c r="V93" s="19"/>
      <c r="W93" s="23"/>
      <c r="X93" s="23"/>
      <c r="Y93" s="22"/>
      <c r="Z93" s="22"/>
      <c r="AA93" s="16"/>
      <c r="AB93" s="16"/>
      <c r="AD93" s="12"/>
      <c r="AE93" s="19"/>
      <c r="AF93" s="23"/>
      <c r="AG93" s="23"/>
      <c r="AH93" s="22"/>
      <c r="AI93" s="22"/>
      <c r="AJ93" s="16"/>
      <c r="AK93" s="16"/>
    </row>
    <row r="94" spans="1:37">
      <c r="A94" s="25"/>
      <c r="B94" s="19"/>
      <c r="C94" s="26" t="s">
        <v>31</v>
      </c>
      <c r="D94" s="27">
        <f>SUM(D85:D93)</f>
        <v>19821800</v>
      </c>
      <c r="E94" s="27"/>
      <c r="F94" s="27"/>
      <c r="G94" s="27"/>
      <c r="H94" s="27"/>
      <c r="K94" s="25"/>
      <c r="L94" s="19"/>
      <c r="M94" s="26" t="s">
        <v>31</v>
      </c>
      <c r="N94" s="27">
        <f>SUM(N85:N93)</f>
        <v>0</v>
      </c>
      <c r="O94" s="27"/>
      <c r="P94" s="27"/>
      <c r="Q94" s="27"/>
      <c r="R94" s="27"/>
      <c r="U94" s="25"/>
      <c r="V94" s="19"/>
      <c r="W94" s="26" t="s">
        <v>31</v>
      </c>
      <c r="X94" s="27">
        <f>SUM(X85:X93)</f>
        <v>12023500</v>
      </c>
      <c r="Y94" s="27"/>
      <c r="Z94" s="27"/>
      <c r="AA94" s="27"/>
      <c r="AB94" s="27"/>
      <c r="AD94" s="25"/>
      <c r="AE94" s="19"/>
      <c r="AF94" s="26" t="s">
        <v>31</v>
      </c>
      <c r="AG94" s="27">
        <f>SUM(AG85:AG93)</f>
        <v>1173000</v>
      </c>
      <c r="AH94" s="27"/>
      <c r="AI94" s="27"/>
      <c r="AJ94" s="27"/>
      <c r="AK94" s="27"/>
    </row>
    <row r="95" spans="1:37">
      <c r="A95" s="20"/>
      <c r="B95" s="19"/>
      <c r="C95" s="401" t="s">
        <v>21</v>
      </c>
      <c r="D95" s="10"/>
      <c r="E95" s="530">
        <f>+D94</f>
        <v>19821800</v>
      </c>
      <c r="F95" s="530"/>
      <c r="G95" s="530"/>
      <c r="H95" s="530"/>
      <c r="K95" s="20"/>
      <c r="L95" s="19"/>
      <c r="M95" s="406" t="s">
        <v>21</v>
      </c>
      <c r="N95" s="10"/>
      <c r="O95" s="530">
        <f>+N94</f>
        <v>0</v>
      </c>
      <c r="P95" s="530"/>
      <c r="Q95" s="530"/>
      <c r="R95" s="530"/>
      <c r="U95" s="20"/>
      <c r="V95" s="19"/>
      <c r="W95" s="409" t="s">
        <v>21</v>
      </c>
      <c r="X95" s="10"/>
      <c r="Y95" s="530">
        <f>+X94</f>
        <v>12023500</v>
      </c>
      <c r="Z95" s="530"/>
      <c r="AA95" s="530"/>
      <c r="AB95" s="530"/>
      <c r="AD95" s="20"/>
      <c r="AE95" s="19"/>
      <c r="AF95" s="413" t="s">
        <v>21</v>
      </c>
      <c r="AG95" s="10"/>
      <c r="AH95" s="530">
        <f>+AG94</f>
        <v>1173000</v>
      </c>
      <c r="AI95" s="530"/>
      <c r="AJ95" s="530"/>
      <c r="AK95" s="530"/>
    </row>
    <row r="96" spans="1:37">
      <c r="A96" s="527" t="s">
        <v>32</v>
      </c>
      <c r="B96" s="528"/>
      <c r="C96" s="528"/>
      <c r="D96" s="528"/>
      <c r="E96" s="528"/>
      <c r="F96" s="528"/>
      <c r="G96" s="528"/>
      <c r="H96" s="529"/>
      <c r="K96" s="527" t="s">
        <v>32</v>
      </c>
      <c r="L96" s="528"/>
      <c r="M96" s="528"/>
      <c r="N96" s="528"/>
      <c r="O96" s="528"/>
      <c r="P96" s="528"/>
      <c r="Q96" s="528"/>
      <c r="R96" s="529"/>
      <c r="U96" s="527" t="s">
        <v>32</v>
      </c>
      <c r="V96" s="528"/>
      <c r="W96" s="528"/>
      <c r="X96" s="528"/>
      <c r="Y96" s="528"/>
      <c r="Z96" s="528"/>
      <c r="AA96" s="528"/>
      <c r="AB96" s="529"/>
      <c r="AD96" s="527" t="s">
        <v>32</v>
      </c>
      <c r="AE96" s="528"/>
      <c r="AF96" s="528"/>
      <c r="AG96" s="528"/>
      <c r="AH96" s="528"/>
      <c r="AI96" s="528"/>
      <c r="AJ96" s="528"/>
      <c r="AK96" s="529"/>
    </row>
    <row r="97" spans="1:37">
      <c r="A97" s="12"/>
      <c r="B97" s="13"/>
      <c r="C97" s="22"/>
      <c r="D97" s="22"/>
      <c r="E97" s="401"/>
      <c r="F97" s="401"/>
      <c r="G97" s="401"/>
      <c r="H97" s="401"/>
      <c r="K97" s="12"/>
      <c r="L97" s="13"/>
      <c r="M97" s="22" t="s">
        <v>1340</v>
      </c>
      <c r="N97" s="22">
        <v>9050000</v>
      </c>
      <c r="O97" s="406"/>
      <c r="P97" s="406"/>
      <c r="Q97" s="406"/>
      <c r="R97" s="406"/>
      <c r="U97" s="12"/>
      <c r="V97" s="13"/>
      <c r="W97" s="22"/>
      <c r="X97" s="22"/>
      <c r="Y97" s="409"/>
      <c r="Z97" s="409"/>
      <c r="AA97" s="409"/>
      <c r="AB97" s="409"/>
      <c r="AD97" s="12"/>
      <c r="AE97" s="13"/>
      <c r="AF97" s="22" t="s">
        <v>1354</v>
      </c>
      <c r="AG97" s="423">
        <v>685170</v>
      </c>
      <c r="AH97" s="413"/>
      <c r="AI97" s="413"/>
      <c r="AJ97" s="413"/>
      <c r="AK97" s="413"/>
    </row>
    <row r="98" spans="1:37">
      <c r="A98" s="12"/>
      <c r="B98" s="22"/>
      <c r="C98" s="22"/>
      <c r="D98" s="22"/>
      <c r="E98" s="401"/>
      <c r="F98" s="401"/>
      <c r="G98" s="401"/>
      <c r="H98" s="401"/>
      <c r="K98" s="12"/>
      <c r="L98" s="22"/>
      <c r="M98" s="22"/>
      <c r="N98" s="22"/>
      <c r="O98" s="406"/>
      <c r="P98" s="406"/>
      <c r="Q98" s="406"/>
      <c r="R98" s="406"/>
      <c r="U98" s="12"/>
      <c r="V98" s="22"/>
      <c r="W98" s="22"/>
      <c r="X98" s="22"/>
      <c r="Y98" s="409"/>
      <c r="Z98" s="409"/>
      <c r="AA98" s="409"/>
      <c r="AB98" s="409"/>
      <c r="AD98" s="12"/>
      <c r="AE98" s="22"/>
      <c r="AF98" s="22"/>
      <c r="AG98" s="22"/>
      <c r="AH98" s="413"/>
      <c r="AI98" s="413"/>
      <c r="AJ98" s="413"/>
      <c r="AK98" s="413"/>
    </row>
    <row r="99" spans="1:37">
      <c r="A99" s="12"/>
      <c r="B99" s="13"/>
      <c r="C99" s="22"/>
      <c r="D99" s="29"/>
      <c r="E99" s="401"/>
      <c r="F99" s="401"/>
      <c r="G99" s="401"/>
      <c r="H99" s="401"/>
      <c r="K99" s="12"/>
      <c r="L99" s="13"/>
      <c r="M99" s="22"/>
      <c r="N99" s="29"/>
      <c r="O99" s="406"/>
      <c r="P99" s="406"/>
      <c r="Q99" s="406"/>
      <c r="R99" s="406"/>
      <c r="U99" s="12"/>
      <c r="V99" s="13"/>
      <c r="W99" s="22"/>
      <c r="X99" s="29"/>
      <c r="Y99" s="409"/>
      <c r="Z99" s="409"/>
      <c r="AA99" s="409"/>
      <c r="AB99" s="409"/>
      <c r="AD99" s="12"/>
      <c r="AE99" s="13"/>
      <c r="AF99" s="22"/>
      <c r="AG99" s="29"/>
      <c r="AH99" s="413"/>
      <c r="AI99" s="413"/>
      <c r="AJ99" s="413"/>
      <c r="AK99" s="413"/>
    </row>
    <row r="100" spans="1:37">
      <c r="A100" s="12"/>
      <c r="B100" s="13"/>
      <c r="C100" s="26" t="s">
        <v>34</v>
      </c>
      <c r="D100" s="27">
        <f>SUM(D97:D98)</f>
        <v>0</v>
      </c>
      <c r="E100" s="27">
        <v>0</v>
      </c>
      <c r="F100" s="27">
        <v>0</v>
      </c>
      <c r="G100" s="27"/>
      <c r="H100" s="27"/>
      <c r="K100" s="12"/>
      <c r="L100" s="13"/>
      <c r="M100" s="26" t="s">
        <v>34</v>
      </c>
      <c r="N100" s="27">
        <f>SUM(N97:N98)</f>
        <v>9050000</v>
      </c>
      <c r="O100" s="27">
        <v>0</v>
      </c>
      <c r="P100" s="27">
        <v>0</v>
      </c>
      <c r="Q100" s="27"/>
      <c r="R100" s="27"/>
      <c r="U100" s="12"/>
      <c r="V100" s="13"/>
      <c r="W100" s="26" t="s">
        <v>34</v>
      </c>
      <c r="X100" s="27">
        <f>SUM(X97:X98)</f>
        <v>0</v>
      </c>
      <c r="Y100" s="27">
        <v>0</v>
      </c>
      <c r="Z100" s="27">
        <v>0</v>
      </c>
      <c r="AA100" s="27"/>
      <c r="AB100" s="27"/>
      <c r="AD100" s="12"/>
      <c r="AE100" s="13"/>
      <c r="AF100" s="26" t="s">
        <v>34</v>
      </c>
      <c r="AG100" s="27">
        <f>SUM(AG97:AG98)</f>
        <v>685170</v>
      </c>
      <c r="AH100" s="27">
        <v>0</v>
      </c>
      <c r="AI100" s="27">
        <v>0</v>
      </c>
      <c r="AJ100" s="27"/>
      <c r="AK100" s="27"/>
    </row>
    <row r="101" spans="1:37">
      <c r="A101" s="20"/>
      <c r="B101" s="19"/>
      <c r="C101" s="401" t="s">
        <v>21</v>
      </c>
      <c r="D101" s="10"/>
      <c r="E101" s="531">
        <f>D100</f>
        <v>0</v>
      </c>
      <c r="F101" s="532"/>
      <c r="G101" s="532"/>
      <c r="H101" s="533"/>
      <c r="K101" s="20"/>
      <c r="L101" s="19"/>
      <c r="M101" s="406" t="s">
        <v>21</v>
      </c>
      <c r="N101" s="10"/>
      <c r="O101" s="531">
        <f>N100</f>
        <v>9050000</v>
      </c>
      <c r="P101" s="532"/>
      <c r="Q101" s="532"/>
      <c r="R101" s="533"/>
      <c r="U101" s="20"/>
      <c r="V101" s="19"/>
      <c r="W101" s="409" t="s">
        <v>21</v>
      </c>
      <c r="X101" s="10"/>
      <c r="Y101" s="531">
        <f>X100</f>
        <v>0</v>
      </c>
      <c r="Z101" s="532"/>
      <c r="AA101" s="532"/>
      <c r="AB101" s="533"/>
      <c r="AD101" s="20"/>
      <c r="AE101" s="19"/>
      <c r="AF101" s="413" t="s">
        <v>21</v>
      </c>
      <c r="AG101" s="10"/>
      <c r="AH101" s="531">
        <f>AG100</f>
        <v>685170</v>
      </c>
      <c r="AI101" s="532"/>
      <c r="AJ101" s="532"/>
      <c r="AK101" s="533"/>
    </row>
    <row r="102" spans="1:37">
      <c r="A102" s="525" t="s">
        <v>35</v>
      </c>
      <c r="B102" s="525"/>
      <c r="C102" s="525"/>
      <c r="D102" s="400"/>
      <c r="E102" s="526">
        <f>E39+E45+E95+E101+E72+E83+E53</f>
        <v>331595800</v>
      </c>
      <c r="F102" s="526"/>
      <c r="G102" s="526"/>
      <c r="H102" s="526"/>
      <c r="K102" s="525" t="s">
        <v>35</v>
      </c>
      <c r="L102" s="525"/>
      <c r="M102" s="525"/>
      <c r="N102" s="403"/>
      <c r="O102" s="526">
        <f>O39+O45+O95+O101+O72+O83+O53</f>
        <v>198349000</v>
      </c>
      <c r="P102" s="526"/>
      <c r="Q102" s="526"/>
      <c r="R102" s="526"/>
      <c r="U102" s="525" t="s">
        <v>35</v>
      </c>
      <c r="V102" s="525"/>
      <c r="W102" s="525"/>
      <c r="X102" s="408"/>
      <c r="Y102" s="526">
        <f>Y39+Y45+Y95+Y101+Y72+Y83+Y53</f>
        <v>12023500</v>
      </c>
      <c r="Z102" s="526"/>
      <c r="AA102" s="526"/>
      <c r="AB102" s="526"/>
      <c r="AD102" s="525" t="s">
        <v>35</v>
      </c>
      <c r="AE102" s="525"/>
      <c r="AF102" s="525"/>
      <c r="AG102" s="412"/>
      <c r="AH102" s="526">
        <f>AH39+AH45+AH95+AH101+AH72+AH83+AH53</f>
        <v>19983170</v>
      </c>
      <c r="AI102" s="526"/>
      <c r="AJ102" s="526"/>
      <c r="AK102" s="526"/>
    </row>
    <row r="103" spans="1:37">
      <c r="A103" s="522" t="s">
        <v>36</v>
      </c>
      <c r="B103" s="522"/>
      <c r="C103" s="522"/>
      <c r="D103" s="399"/>
      <c r="E103" s="523">
        <f>+E31+E102</f>
        <v>337388112</v>
      </c>
      <c r="F103" s="523"/>
      <c r="G103" s="523"/>
      <c r="H103" s="523"/>
      <c r="K103" s="522" t="s">
        <v>36</v>
      </c>
      <c r="L103" s="522"/>
      <c r="M103" s="522"/>
      <c r="N103" s="405"/>
      <c r="O103" s="523">
        <f>+O31+O102</f>
        <v>198349000</v>
      </c>
      <c r="P103" s="523"/>
      <c r="Q103" s="523"/>
      <c r="R103" s="523"/>
      <c r="U103" s="522" t="s">
        <v>36</v>
      </c>
      <c r="V103" s="522"/>
      <c r="W103" s="522"/>
      <c r="X103" s="407"/>
      <c r="Y103" s="523">
        <f>+Y31+Y102</f>
        <v>15063312</v>
      </c>
      <c r="Z103" s="523"/>
      <c r="AA103" s="523"/>
      <c r="AB103" s="523"/>
      <c r="AD103" s="522" t="s">
        <v>36</v>
      </c>
      <c r="AE103" s="522"/>
      <c r="AF103" s="522"/>
      <c r="AG103" s="411"/>
      <c r="AH103" s="523">
        <f>+AH31+AH102</f>
        <v>20635670</v>
      </c>
      <c r="AI103" s="523"/>
      <c r="AJ103" s="523"/>
      <c r="AK103" s="523"/>
    </row>
    <row r="104" spans="1:37">
      <c r="A104" s="37"/>
      <c r="B104" s="38"/>
      <c r="C104" s="39"/>
      <c r="D104" s="47"/>
      <c r="E104" s="39"/>
      <c r="F104" s="39"/>
      <c r="G104" s="39"/>
      <c r="H104" s="39"/>
      <c r="K104" s="37"/>
      <c r="L104" s="38"/>
      <c r="M104" s="39"/>
      <c r="N104" s="47"/>
      <c r="O104" s="39"/>
      <c r="P104" s="39"/>
      <c r="Q104" s="39"/>
      <c r="R104" s="39"/>
      <c r="U104" s="37"/>
      <c r="V104" s="38"/>
      <c r="W104" s="39"/>
      <c r="X104" s="47"/>
      <c r="Y104" s="39"/>
      <c r="Z104" s="39"/>
      <c r="AA104" s="39"/>
      <c r="AB104" s="39"/>
      <c r="AD104" s="37"/>
      <c r="AE104" s="38"/>
      <c r="AF104" s="39"/>
      <c r="AG104" s="47"/>
      <c r="AH104" s="39"/>
      <c r="AI104" s="39"/>
      <c r="AJ104" s="39"/>
      <c r="AK104" s="39"/>
    </row>
    <row r="105" spans="1:37">
      <c r="A105" s="519" t="s">
        <v>13</v>
      </c>
      <c r="B105" s="520"/>
      <c r="C105" s="520"/>
      <c r="D105" s="520"/>
      <c r="E105" s="521"/>
      <c r="F105" s="39"/>
      <c r="G105" s="39"/>
      <c r="H105" s="40"/>
      <c r="K105" s="519" t="s">
        <v>13</v>
      </c>
      <c r="L105" s="520"/>
      <c r="M105" s="520"/>
      <c r="N105" s="520"/>
      <c r="O105" s="521"/>
      <c r="P105" s="39"/>
      <c r="Q105" s="39"/>
      <c r="R105" s="40"/>
      <c r="U105" s="519" t="s">
        <v>13</v>
      </c>
      <c r="V105" s="520"/>
      <c r="W105" s="520"/>
      <c r="X105" s="520"/>
      <c r="Y105" s="521"/>
      <c r="Z105" s="39"/>
      <c r="AA105" s="39"/>
      <c r="AB105" s="40"/>
      <c r="AD105" s="519" t="s">
        <v>13</v>
      </c>
      <c r="AE105" s="520"/>
      <c r="AF105" s="520"/>
      <c r="AG105" s="520"/>
      <c r="AH105" s="521"/>
      <c r="AI105" s="39"/>
      <c r="AJ105" s="39"/>
      <c r="AK105" s="40"/>
    </row>
    <row r="106" spans="1:37">
      <c r="A106" s="41" t="s">
        <v>39</v>
      </c>
      <c r="B106" s="42" t="s">
        <v>40</v>
      </c>
      <c r="C106" s="43" t="s">
        <v>980</v>
      </c>
      <c r="D106" s="43" t="s">
        <v>42</v>
      </c>
      <c r="E106" s="43" t="s">
        <v>43</v>
      </c>
      <c r="F106" s="39"/>
      <c r="G106" s="39"/>
      <c r="H106" s="39"/>
      <c r="K106" s="41" t="s">
        <v>39</v>
      </c>
      <c r="L106" s="42" t="s">
        <v>40</v>
      </c>
      <c r="M106" s="43" t="s">
        <v>980</v>
      </c>
      <c r="N106" s="43" t="s">
        <v>42</v>
      </c>
      <c r="O106" s="43" t="s">
        <v>43</v>
      </c>
      <c r="P106" s="39"/>
      <c r="Q106" s="39"/>
      <c r="R106" s="39"/>
      <c r="U106" s="41" t="s">
        <v>39</v>
      </c>
      <c r="V106" s="42" t="s">
        <v>40</v>
      </c>
      <c r="W106" s="43" t="s">
        <v>980</v>
      </c>
      <c r="X106" s="43" t="s">
        <v>42</v>
      </c>
      <c r="Y106" s="43" t="s">
        <v>43</v>
      </c>
      <c r="Z106" s="39"/>
      <c r="AA106" s="39"/>
      <c r="AB106" s="39"/>
      <c r="AD106" s="41" t="s">
        <v>39</v>
      </c>
      <c r="AE106" s="42" t="s">
        <v>40</v>
      </c>
      <c r="AF106" s="43" t="s">
        <v>980</v>
      </c>
      <c r="AG106" s="43" t="s">
        <v>42</v>
      </c>
      <c r="AH106" s="43" t="s">
        <v>43</v>
      </c>
      <c r="AI106" s="39"/>
      <c r="AJ106" s="39"/>
      <c r="AK106" s="39"/>
    </row>
    <row r="107" spans="1:37">
      <c r="A107" s="41"/>
      <c r="B107" s="110"/>
      <c r="C107" s="45"/>
      <c r="D107" s="46"/>
      <c r="E107" s="46"/>
      <c r="F107" s="39"/>
      <c r="G107" s="39"/>
      <c r="H107" s="39"/>
      <c r="K107" s="41"/>
      <c r="L107" s="110"/>
      <c r="M107" s="45" t="s">
        <v>1343</v>
      </c>
      <c r="N107" s="46">
        <v>200000000</v>
      </c>
      <c r="O107" s="46"/>
      <c r="P107" s="39"/>
      <c r="Q107" s="39"/>
      <c r="R107" s="39"/>
      <c r="U107" s="41"/>
      <c r="V107" s="110">
        <v>46245</v>
      </c>
      <c r="W107" s="45" t="s">
        <v>1350</v>
      </c>
      <c r="X107" s="46">
        <v>15000000</v>
      </c>
      <c r="Y107" s="46"/>
      <c r="Z107" s="39"/>
      <c r="AA107" s="39"/>
      <c r="AB107" s="39"/>
      <c r="AD107" s="41"/>
      <c r="AE107" s="110">
        <v>46246</v>
      </c>
      <c r="AF107" s="45" t="s">
        <v>1350</v>
      </c>
      <c r="AG107" s="46">
        <v>20000000</v>
      </c>
      <c r="AH107" s="46"/>
      <c r="AI107" s="39"/>
      <c r="AJ107" s="39"/>
      <c r="AK107" s="39"/>
    </row>
    <row r="108" spans="1:37">
      <c r="A108" s="41"/>
      <c r="B108" s="44"/>
      <c r="C108" s="45"/>
      <c r="D108" s="46"/>
      <c r="E108" s="46"/>
      <c r="F108" s="39"/>
      <c r="G108" s="39"/>
      <c r="H108" s="40"/>
      <c r="K108" s="41"/>
      <c r="L108" s="44"/>
      <c r="M108" s="45"/>
      <c r="N108" s="46"/>
      <c r="O108" s="46"/>
      <c r="P108" s="39"/>
      <c r="Q108" s="39"/>
      <c r="R108" s="40"/>
      <c r="U108" s="41"/>
      <c r="V108" s="110">
        <v>46246</v>
      </c>
      <c r="W108" s="45"/>
      <c r="X108" s="46"/>
      <c r="Y108" s="46"/>
      <c r="Z108" s="39"/>
      <c r="AA108" s="39"/>
      <c r="AB108" s="40"/>
      <c r="AD108" s="41"/>
      <c r="AE108" s="110">
        <v>46246</v>
      </c>
      <c r="AF108" s="45" t="s">
        <v>1350</v>
      </c>
      <c r="AG108" s="46">
        <v>10000000</v>
      </c>
      <c r="AH108" s="46"/>
      <c r="AI108" s="39"/>
      <c r="AJ108" s="39"/>
      <c r="AK108" s="40"/>
    </row>
    <row r="109" spans="1:37">
      <c r="A109" s="41"/>
      <c r="B109" s="44"/>
      <c r="C109" s="46"/>
      <c r="D109" s="46"/>
      <c r="E109" s="46"/>
      <c r="F109" s="39"/>
      <c r="G109" s="39"/>
      <c r="H109" s="39"/>
      <c r="K109" s="41"/>
      <c r="L109" s="44"/>
      <c r="M109" s="46"/>
      <c r="N109" s="46"/>
      <c r="O109" s="46"/>
      <c r="P109" s="39"/>
      <c r="Q109" s="39"/>
      <c r="R109" s="39"/>
      <c r="U109" s="41"/>
      <c r="V109" s="44"/>
      <c r="W109" s="46"/>
      <c r="X109" s="46"/>
      <c r="Y109" s="46"/>
      <c r="Z109" s="39"/>
      <c r="AA109" s="39"/>
      <c r="AB109" s="39"/>
      <c r="AD109" s="41"/>
      <c r="AE109" s="44"/>
      <c r="AF109" s="46"/>
      <c r="AG109" s="46"/>
      <c r="AH109" s="46"/>
      <c r="AI109" s="39"/>
      <c r="AJ109" s="39"/>
      <c r="AK109" s="39"/>
    </row>
    <row r="110" spans="1:37">
      <c r="A110" s="41"/>
      <c r="B110" s="44"/>
      <c r="C110" s="327"/>
      <c r="D110" s="46"/>
      <c r="E110" s="46"/>
      <c r="F110" s="39"/>
      <c r="G110" s="39"/>
      <c r="H110" s="39"/>
      <c r="K110" s="41"/>
      <c r="L110" s="44"/>
      <c r="M110" s="327"/>
      <c r="N110" s="46"/>
      <c r="O110" s="46"/>
      <c r="P110" s="39"/>
      <c r="Q110" s="39"/>
      <c r="R110" s="39"/>
      <c r="U110" s="41"/>
      <c r="V110" s="44"/>
      <c r="W110" s="327"/>
      <c r="X110" s="46"/>
      <c r="Y110" s="46"/>
      <c r="Z110" s="39"/>
      <c r="AA110" s="39"/>
      <c r="AB110" s="39"/>
      <c r="AD110" s="41"/>
      <c r="AE110" s="44"/>
      <c r="AF110" s="327"/>
      <c r="AG110" s="46"/>
      <c r="AH110" s="46"/>
      <c r="AI110" s="39"/>
      <c r="AJ110" s="39"/>
      <c r="AK110" s="39"/>
    </row>
    <row r="111" spans="1:37">
      <c r="A111" s="41"/>
      <c r="B111" s="44"/>
      <c r="C111" s="46"/>
      <c r="D111" s="48"/>
      <c r="E111" s="46"/>
      <c r="F111" s="39"/>
      <c r="G111" s="39"/>
      <c r="H111" s="39"/>
      <c r="K111" s="41"/>
      <c r="L111" s="44"/>
      <c r="M111" s="46"/>
      <c r="N111" s="48"/>
      <c r="O111" s="46"/>
      <c r="P111" s="39"/>
      <c r="Q111" s="39"/>
      <c r="R111" s="39"/>
      <c r="U111" s="41"/>
      <c r="V111" s="44"/>
      <c r="W111" s="46"/>
      <c r="X111" s="48"/>
      <c r="Y111" s="46"/>
      <c r="Z111" s="39"/>
      <c r="AA111" s="39"/>
      <c r="AB111" s="39"/>
      <c r="AD111" s="41"/>
      <c r="AE111" s="44"/>
      <c r="AF111" s="46"/>
      <c r="AG111" s="48"/>
      <c r="AH111" s="46"/>
      <c r="AI111" s="39"/>
      <c r="AJ111" s="39"/>
      <c r="AK111" s="39"/>
    </row>
    <row r="112" spans="1:37">
      <c r="A112" s="49"/>
      <c r="B112" s="50"/>
      <c r="C112" s="51" t="s">
        <v>44</v>
      </c>
      <c r="D112" s="51">
        <f>SUM(D107:D111)</f>
        <v>0</v>
      </c>
      <c r="E112" s="52"/>
      <c r="F112" s="39"/>
      <c r="G112" s="39"/>
      <c r="H112" s="39"/>
      <c r="K112" s="49"/>
      <c r="L112" s="50"/>
      <c r="M112" s="51" t="s">
        <v>44</v>
      </c>
      <c r="N112" s="51">
        <f>SUM(N107:N111)</f>
        <v>200000000</v>
      </c>
      <c r="O112" s="52"/>
      <c r="P112" s="39"/>
      <c r="Q112" s="39"/>
      <c r="R112" s="39"/>
      <c r="U112" s="49"/>
      <c r="V112" s="50"/>
      <c r="W112" s="51" t="s">
        <v>44</v>
      </c>
      <c r="X112" s="51">
        <f>SUM(X107:X111)</f>
        <v>15000000</v>
      </c>
      <c r="Y112" s="52"/>
      <c r="Z112" s="39"/>
      <c r="AA112" s="39"/>
      <c r="AB112" s="39"/>
      <c r="AD112" s="49"/>
      <c r="AE112" s="50"/>
      <c r="AF112" s="51" t="s">
        <v>44</v>
      </c>
      <c r="AG112" s="51">
        <f>SUM(AG107:AG111)</f>
        <v>30000000</v>
      </c>
      <c r="AH112" s="52"/>
      <c r="AI112" s="39"/>
      <c r="AJ112" s="39"/>
      <c r="AK112" s="39"/>
    </row>
    <row r="113" spans="1:37">
      <c r="A113" s="53"/>
      <c r="B113" s="54"/>
      <c r="C113" s="55" t="s">
        <v>779</v>
      </c>
      <c r="D113" s="116"/>
      <c r="E113" s="3"/>
      <c r="F113" s="39"/>
      <c r="G113" s="39"/>
      <c r="H113" s="39"/>
      <c r="K113" s="53"/>
      <c r="L113" s="54"/>
      <c r="M113" s="55" t="s">
        <v>779</v>
      </c>
      <c r="N113" s="116">
        <f>+N112-O103</f>
        <v>1651000</v>
      </c>
      <c r="O113" s="3"/>
      <c r="P113" s="39"/>
      <c r="Q113" s="39"/>
      <c r="R113" s="39"/>
      <c r="U113" s="53"/>
      <c r="V113" s="54"/>
      <c r="W113" s="55" t="s">
        <v>779</v>
      </c>
      <c r="X113" s="116">
        <f>+X112-Y103</f>
        <v>-63312</v>
      </c>
      <c r="Y113" s="3"/>
      <c r="Z113" s="39"/>
      <c r="AA113" s="39"/>
      <c r="AB113" s="39"/>
      <c r="AD113" s="53"/>
      <c r="AE113" s="54"/>
      <c r="AF113" s="55" t="s">
        <v>779</v>
      </c>
      <c r="AG113" s="116">
        <f>+AG112-AH103</f>
        <v>9364330</v>
      </c>
      <c r="AH113" s="3"/>
      <c r="AI113" s="39"/>
      <c r="AJ113" s="39"/>
      <c r="AK113" s="39"/>
    </row>
  </sheetData>
  <mergeCells count="116">
    <mergeCell ref="O72:R72"/>
    <mergeCell ref="K73:R73"/>
    <mergeCell ref="O83:R83"/>
    <mergeCell ref="K84:R84"/>
    <mergeCell ref="O95:R95"/>
    <mergeCell ref="K96:R96"/>
    <mergeCell ref="K105:O105"/>
    <mergeCell ref="O101:R101"/>
    <mergeCell ref="K102:M102"/>
    <mergeCell ref="O102:R102"/>
    <mergeCell ref="K103:M103"/>
    <mergeCell ref="O103:R103"/>
    <mergeCell ref="K31:N31"/>
    <mergeCell ref="O31:R31"/>
    <mergeCell ref="K32:R32"/>
    <mergeCell ref="O39:R39"/>
    <mergeCell ref="K40:R40"/>
    <mergeCell ref="O45:R45"/>
    <mergeCell ref="K46:R46"/>
    <mergeCell ref="O53:R53"/>
    <mergeCell ref="K54:R54"/>
    <mergeCell ref="A3:H3"/>
    <mergeCell ref="A12:G12"/>
    <mergeCell ref="A13:H13"/>
    <mergeCell ref="A14:A15"/>
    <mergeCell ref="B14:B15"/>
    <mergeCell ref="C14:C15"/>
    <mergeCell ref="D14:D15"/>
    <mergeCell ref="E14:H14"/>
    <mergeCell ref="K3:R3"/>
    <mergeCell ref="K12:Q12"/>
    <mergeCell ref="K13:R13"/>
    <mergeCell ref="K14:K15"/>
    <mergeCell ref="L14:L15"/>
    <mergeCell ref="M14:M15"/>
    <mergeCell ref="N14:N15"/>
    <mergeCell ref="O14:R14"/>
    <mergeCell ref="E83:H83"/>
    <mergeCell ref="A31:D31"/>
    <mergeCell ref="E31:H31"/>
    <mergeCell ref="A32:H32"/>
    <mergeCell ref="E39:H39"/>
    <mergeCell ref="A40:H40"/>
    <mergeCell ref="E45:H45"/>
    <mergeCell ref="A46:H46"/>
    <mergeCell ref="E53:H53"/>
    <mergeCell ref="A54:H54"/>
    <mergeCell ref="E72:H72"/>
    <mergeCell ref="A73:H73"/>
    <mergeCell ref="A103:C103"/>
    <mergeCell ref="E103:H103"/>
    <mergeCell ref="A105:E105"/>
    <mergeCell ref="A84:H84"/>
    <mergeCell ref="E95:H95"/>
    <mergeCell ref="A96:H96"/>
    <mergeCell ref="E101:H101"/>
    <mergeCell ref="A102:C102"/>
    <mergeCell ref="E102:H102"/>
    <mergeCell ref="U31:X31"/>
    <mergeCell ref="Y31:AB31"/>
    <mergeCell ref="U32:AB32"/>
    <mergeCell ref="Y39:AB39"/>
    <mergeCell ref="U40:AB40"/>
    <mergeCell ref="U3:AB3"/>
    <mergeCell ref="U12:AA12"/>
    <mergeCell ref="U13:AB13"/>
    <mergeCell ref="U14:U15"/>
    <mergeCell ref="V14:V15"/>
    <mergeCell ref="W14:W15"/>
    <mergeCell ref="X14:X15"/>
    <mergeCell ref="Y14:AB14"/>
    <mergeCell ref="AD3:AK3"/>
    <mergeCell ref="AD12:AJ12"/>
    <mergeCell ref="AD13:AK13"/>
    <mergeCell ref="AD14:AD15"/>
    <mergeCell ref="AE14:AE15"/>
    <mergeCell ref="AF14:AF15"/>
    <mergeCell ref="AG14:AG15"/>
    <mergeCell ref="AH14:AK14"/>
    <mergeCell ref="U105:Y105"/>
    <mergeCell ref="Y101:AB101"/>
    <mergeCell ref="U102:W102"/>
    <mergeCell ref="Y102:AB102"/>
    <mergeCell ref="U103:W103"/>
    <mergeCell ref="Y103:AB103"/>
    <mergeCell ref="U73:AB73"/>
    <mergeCell ref="Y83:AB83"/>
    <mergeCell ref="U84:AB84"/>
    <mergeCell ref="Y95:AB95"/>
    <mergeCell ref="U96:AB96"/>
    <mergeCell ref="Y45:AB45"/>
    <mergeCell ref="U46:AB46"/>
    <mergeCell ref="Y53:AB53"/>
    <mergeCell ref="U54:AB54"/>
    <mergeCell ref="Y72:AB72"/>
    <mergeCell ref="AH45:AK45"/>
    <mergeCell ref="AD46:AK46"/>
    <mergeCell ref="AH53:AK53"/>
    <mergeCell ref="AD54:AK54"/>
    <mergeCell ref="AH72:AK72"/>
    <mergeCell ref="AD31:AG31"/>
    <mergeCell ref="AH31:AK31"/>
    <mergeCell ref="AD32:AK32"/>
    <mergeCell ref="AH39:AK39"/>
    <mergeCell ref="AD40:AK40"/>
    <mergeCell ref="AD105:AH105"/>
    <mergeCell ref="AH101:AK101"/>
    <mergeCell ref="AD102:AF102"/>
    <mergeCell ref="AH102:AK102"/>
    <mergeCell ref="AD103:AF103"/>
    <mergeCell ref="AH103:AK103"/>
    <mergeCell ref="AD73:AK73"/>
    <mergeCell ref="AH83:AK83"/>
    <mergeCell ref="AD84:AK84"/>
    <mergeCell ref="AH95:AK95"/>
    <mergeCell ref="AD96:AK96"/>
  </mergeCells>
  <phoneticPr fontId="16" type="noConversion"/>
  <pageMargins left="0.28000000000000003" right="0.22" top="0.27559055118110237" bottom="0.31496062992125984" header="0.15748031496062992" footer="0.15748031496062992"/>
  <pageSetup paperSize="9" scale="85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24"/>
  <sheetViews>
    <sheetView workbookViewId="0"/>
  </sheetViews>
  <sheetFormatPr defaultRowHeight="15"/>
  <cols>
    <col min="1" max="1" width="50.5703125" bestFit="1" customWidth="1"/>
    <col min="2" max="2" width="12.5703125" style="77" bestFit="1" customWidth="1"/>
    <col min="3" max="3" width="23.28515625" bestFit="1" customWidth="1"/>
    <col min="4" max="4" width="10.5703125" bestFit="1" customWidth="1"/>
    <col min="5" max="5" width="46.7109375" bestFit="1" customWidth="1"/>
    <col min="6" max="6" width="11.5703125" bestFit="1" customWidth="1"/>
    <col min="7" max="7" width="35.42578125" bestFit="1" customWidth="1"/>
    <col min="8" max="8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8" t="s">
        <v>50</v>
      </c>
      <c r="H1" s="59"/>
      <c r="I1" s="58" t="s">
        <v>51</v>
      </c>
      <c r="J1" s="59"/>
    </row>
    <row r="2" spans="1:10">
      <c r="A2" s="22" t="s">
        <v>1274</v>
      </c>
      <c r="B2" s="22">
        <v>5615000</v>
      </c>
      <c r="C2" s="15" t="s">
        <v>961</v>
      </c>
      <c r="D2" s="23">
        <v>150000</v>
      </c>
      <c r="E2" s="15" t="s">
        <v>1317</v>
      </c>
      <c r="F2" s="23">
        <v>125000</v>
      </c>
      <c r="G2" s="15" t="s">
        <v>1339</v>
      </c>
      <c r="H2" s="23">
        <v>50000</v>
      </c>
      <c r="I2" s="14"/>
      <c r="J2" s="15"/>
    </row>
    <row r="3" spans="1:10">
      <c r="A3" s="22" t="s">
        <v>1120</v>
      </c>
      <c r="B3" s="22">
        <v>1540000</v>
      </c>
      <c r="C3" s="22" t="s">
        <v>1121</v>
      </c>
      <c r="D3" s="22">
        <v>150000</v>
      </c>
      <c r="E3" s="15" t="s">
        <v>1318</v>
      </c>
      <c r="F3" s="23">
        <v>535000</v>
      </c>
      <c r="G3" s="22" t="s">
        <v>1272</v>
      </c>
      <c r="H3" s="22">
        <v>5000000</v>
      </c>
      <c r="I3" s="14"/>
      <c r="J3" s="15"/>
    </row>
    <row r="4" spans="1:10">
      <c r="A4" s="23" t="s">
        <v>1279</v>
      </c>
      <c r="B4" s="23">
        <v>300000</v>
      </c>
      <c r="C4" s="23" t="s">
        <v>1127</v>
      </c>
      <c r="D4" s="23">
        <v>750000</v>
      </c>
      <c r="E4" s="23" t="s">
        <v>1291</v>
      </c>
      <c r="F4" s="23">
        <v>9465000</v>
      </c>
      <c r="G4" s="22" t="s">
        <v>1275</v>
      </c>
      <c r="H4" s="22">
        <v>70000000</v>
      </c>
      <c r="I4" s="14"/>
      <c r="J4" s="15"/>
    </row>
    <row r="5" spans="1:10">
      <c r="A5" s="23" t="s">
        <v>1278</v>
      </c>
      <c r="B5" s="23">
        <v>3610000</v>
      </c>
      <c r="C5" s="23"/>
      <c r="D5" s="23"/>
      <c r="E5" s="23" t="s">
        <v>1175</v>
      </c>
      <c r="F5" s="23">
        <v>30000</v>
      </c>
      <c r="G5" s="23" t="s">
        <v>1282</v>
      </c>
      <c r="H5" s="23">
        <v>30000000</v>
      </c>
      <c r="I5" s="14"/>
      <c r="J5" s="15"/>
    </row>
    <row r="6" spans="1:10">
      <c r="A6" s="23" t="s">
        <v>1320</v>
      </c>
      <c r="B6" s="23">
        <v>40000000</v>
      </c>
      <c r="C6" s="15"/>
      <c r="D6" s="22"/>
      <c r="E6" s="23" t="s">
        <v>1326</v>
      </c>
      <c r="F6" s="23">
        <v>50000</v>
      </c>
      <c r="G6" s="23" t="s">
        <v>1283</v>
      </c>
      <c r="H6" s="23">
        <v>10000000</v>
      </c>
      <c r="I6" s="14"/>
      <c r="J6" s="15"/>
    </row>
    <row r="7" spans="1:10">
      <c r="A7" s="23"/>
      <c r="B7" s="23"/>
      <c r="C7" s="15"/>
      <c r="D7" s="22"/>
      <c r="E7" s="23"/>
      <c r="F7" s="23"/>
      <c r="G7" s="23" t="s">
        <v>1284</v>
      </c>
      <c r="H7" s="23">
        <v>10000000</v>
      </c>
      <c r="I7" s="14"/>
      <c r="J7" s="15"/>
    </row>
    <row r="8" spans="1:10">
      <c r="A8" s="23"/>
      <c r="B8" s="23"/>
      <c r="C8" s="15"/>
      <c r="D8" s="22"/>
      <c r="E8" s="15"/>
      <c r="F8" s="23"/>
      <c r="G8" s="23" t="s">
        <v>1288</v>
      </c>
      <c r="H8" s="23">
        <v>500000</v>
      </c>
      <c r="I8" s="14"/>
      <c r="J8" s="15"/>
    </row>
    <row r="9" spans="1:10">
      <c r="A9" s="22"/>
      <c r="B9" s="22"/>
      <c r="C9" s="15"/>
      <c r="D9" s="22"/>
      <c r="E9" s="15"/>
      <c r="F9" s="23"/>
      <c r="G9" s="24" t="s">
        <v>1329</v>
      </c>
      <c r="H9" s="23">
        <v>250000</v>
      </c>
      <c r="I9" s="14"/>
      <c r="J9" s="15"/>
    </row>
    <row r="10" spans="1:10">
      <c r="A10" s="22"/>
      <c r="B10" s="22"/>
      <c r="C10" s="15"/>
      <c r="D10" s="22"/>
      <c r="E10" s="15"/>
      <c r="F10" s="23"/>
      <c r="G10" s="24" t="s">
        <v>1330</v>
      </c>
      <c r="H10" s="23">
        <v>1179000</v>
      </c>
      <c r="I10" s="14"/>
      <c r="J10" s="15"/>
    </row>
    <row r="11" spans="1:10">
      <c r="A11" s="22"/>
      <c r="B11" s="22"/>
      <c r="C11" s="15"/>
      <c r="D11" s="22"/>
      <c r="E11" s="15"/>
      <c r="F11" s="23"/>
      <c r="G11" s="22" t="s">
        <v>1340</v>
      </c>
      <c r="H11" s="22">
        <v>9050000</v>
      </c>
      <c r="I11" s="14"/>
      <c r="J11" s="15"/>
    </row>
    <row r="12" spans="1:10">
      <c r="A12" s="22"/>
      <c r="B12" s="22"/>
      <c r="C12" s="15"/>
      <c r="D12" s="22"/>
      <c r="E12" s="15"/>
      <c r="F12" s="23"/>
      <c r="G12" s="24"/>
      <c r="H12" s="23"/>
      <c r="I12" s="14"/>
      <c r="J12" s="15"/>
    </row>
    <row r="13" spans="1:10">
      <c r="A13" s="22"/>
      <c r="B13" s="22"/>
      <c r="C13" s="15"/>
      <c r="D13" s="22"/>
      <c r="E13" s="15"/>
      <c r="F13" s="23"/>
      <c r="G13" s="22"/>
      <c r="H13" s="22"/>
      <c r="I13" s="14"/>
      <c r="J13" s="15"/>
    </row>
    <row r="14" spans="1:10">
      <c r="A14" s="23"/>
      <c r="B14" s="23"/>
      <c r="C14" s="15"/>
      <c r="D14" s="22"/>
      <c r="E14" s="15"/>
      <c r="F14" s="23"/>
      <c r="G14" s="22"/>
      <c r="H14" s="22"/>
      <c r="I14" s="14"/>
      <c r="J14" s="15"/>
    </row>
    <row r="15" spans="1:10">
      <c r="A15" s="23"/>
      <c r="B15" s="23"/>
      <c r="C15" s="194"/>
      <c r="D15" s="194"/>
      <c r="E15" s="194"/>
      <c r="F15" s="194"/>
      <c r="G15" s="15"/>
      <c r="H15" s="23"/>
      <c r="I15" s="193"/>
      <c r="J15" s="194"/>
    </row>
    <row r="16" spans="1:10">
      <c r="A16" s="68"/>
      <c r="B16" s="69"/>
      <c r="C16" s="69"/>
      <c r="D16" s="69"/>
      <c r="E16" s="69"/>
      <c r="F16" s="69"/>
      <c r="G16" s="23"/>
      <c r="H16" s="23"/>
      <c r="I16" s="68"/>
      <c r="J16" s="69"/>
    </row>
    <row r="17" spans="1:10">
      <c r="A17" s="68"/>
      <c r="B17" s="69"/>
      <c r="C17" s="69"/>
      <c r="D17" s="69"/>
      <c r="E17" s="69"/>
      <c r="F17" s="69"/>
      <c r="G17" s="119"/>
      <c r="H17" s="120"/>
      <c r="I17" s="68"/>
      <c r="J17" s="69"/>
    </row>
    <row r="18" spans="1:10">
      <c r="A18" s="70"/>
      <c r="B18" s="71">
        <f t="shared" ref="B18:J18" si="0">SUM(B2:B16)</f>
        <v>51065000</v>
      </c>
      <c r="C18" s="71">
        <f t="shared" si="0"/>
        <v>0</v>
      </c>
      <c r="D18" s="71">
        <f t="shared" si="0"/>
        <v>1050000</v>
      </c>
      <c r="E18" s="71">
        <f t="shared" si="0"/>
        <v>0</v>
      </c>
      <c r="F18" s="71">
        <f t="shared" si="0"/>
        <v>10205000</v>
      </c>
      <c r="G18" s="71">
        <f t="shared" si="0"/>
        <v>0</v>
      </c>
      <c r="H18" s="71">
        <f t="shared" si="0"/>
        <v>136029000</v>
      </c>
      <c r="I18" s="71">
        <f t="shared" si="0"/>
        <v>0</v>
      </c>
      <c r="J18" s="71">
        <f t="shared" si="0"/>
        <v>0</v>
      </c>
    </row>
    <row r="19" spans="1:10">
      <c r="D19" s="77">
        <v>100000</v>
      </c>
      <c r="H19" s="77"/>
    </row>
    <row r="20" spans="1:10">
      <c r="D20" s="77"/>
      <c r="H20" s="77"/>
    </row>
    <row r="21" spans="1:10">
      <c r="D21" s="77"/>
      <c r="H21" s="77"/>
    </row>
    <row r="22" spans="1:10">
      <c r="B22" s="77">
        <f>+B18+D18+F18+H18</f>
        <v>198349000</v>
      </c>
      <c r="D22" s="77">
        <f>+D18-D19</f>
        <v>950000</v>
      </c>
      <c r="H22" s="77"/>
    </row>
    <row r="23" spans="1:10">
      <c r="B23" s="77">
        <v>198349000</v>
      </c>
    </row>
    <row r="24" spans="1:10">
      <c r="B24" s="77">
        <f>+B23-B22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S91"/>
  <sheetViews>
    <sheetView topLeftCell="D42" workbookViewId="0">
      <selection activeCell="N42" sqref="N42"/>
    </sheetView>
  </sheetViews>
  <sheetFormatPr defaultRowHeight="15"/>
  <cols>
    <col min="1" max="1" width="6.42578125" customWidth="1"/>
    <col min="2" max="2" width="9.7109375" bestFit="1" customWidth="1"/>
    <col min="3" max="3" width="59" bestFit="1" customWidth="1"/>
    <col min="4" max="4" width="12" style="77" bestFit="1" customWidth="1"/>
    <col min="5" max="5" width="6.5703125" customWidth="1"/>
    <col min="6" max="6" width="6.28515625" bestFit="1" customWidth="1"/>
    <col min="7" max="7" width="6" bestFit="1" customWidth="1"/>
    <col min="8" max="8" width="12" bestFit="1" customWidth="1"/>
    <col min="11" max="11" width="6.42578125" customWidth="1"/>
    <col min="12" max="12" width="10.42578125" bestFit="1" customWidth="1"/>
    <col min="13" max="13" width="59" bestFit="1" customWidth="1"/>
    <col min="14" max="14" width="12" style="77" bestFit="1" customWidth="1"/>
    <col min="15" max="15" width="6.5703125" customWidth="1"/>
    <col min="16" max="16" width="6.28515625" bestFit="1" customWidth="1"/>
    <col min="17" max="17" width="6" bestFit="1" customWidth="1"/>
    <col min="18" max="18" width="12" bestFit="1" customWidth="1"/>
    <col min="19" max="19" width="11.5703125" bestFit="1" customWidth="1"/>
  </cols>
  <sheetData>
    <row r="1" spans="1:18" ht="15.75">
      <c r="A1" s="347" t="s">
        <v>0</v>
      </c>
      <c r="B1" s="2"/>
      <c r="C1" s="3"/>
      <c r="D1" s="3"/>
      <c r="E1" s="3"/>
      <c r="F1" s="3"/>
      <c r="G1" s="3"/>
      <c r="H1" s="3"/>
      <c r="K1" s="347" t="s">
        <v>0</v>
      </c>
      <c r="L1" s="2"/>
      <c r="M1" s="3"/>
      <c r="N1" s="3"/>
      <c r="O1" s="3"/>
      <c r="P1" s="3"/>
      <c r="Q1" s="3"/>
      <c r="R1" s="3"/>
    </row>
    <row r="2" spans="1:18" ht="15.75">
      <c r="A2" s="347" t="s">
        <v>1353</v>
      </c>
      <c r="B2" s="2"/>
      <c r="C2" s="3"/>
      <c r="D2" s="3"/>
      <c r="E2" s="3"/>
      <c r="F2" s="3"/>
      <c r="G2" s="3"/>
      <c r="H2" s="3"/>
      <c r="K2" s="347" t="s">
        <v>1353</v>
      </c>
      <c r="L2" s="2"/>
      <c r="M2" s="3"/>
      <c r="N2" s="3"/>
      <c r="O2" s="3"/>
      <c r="P2" s="3"/>
      <c r="Q2" s="3"/>
      <c r="R2" s="3"/>
    </row>
    <row r="3" spans="1:18">
      <c r="A3" s="534" t="s">
        <v>1</v>
      </c>
      <c r="B3" s="534"/>
      <c r="C3" s="534"/>
      <c r="D3" s="534"/>
      <c r="E3" s="534"/>
      <c r="F3" s="534"/>
      <c r="G3" s="534"/>
      <c r="H3" s="534"/>
      <c r="K3" s="534" t="s">
        <v>1</v>
      </c>
      <c r="L3" s="534"/>
      <c r="M3" s="534"/>
      <c r="N3" s="534"/>
      <c r="O3" s="534"/>
      <c r="P3" s="534"/>
      <c r="Q3" s="534"/>
      <c r="R3" s="534"/>
    </row>
    <row r="4" spans="1:18">
      <c r="A4" s="4"/>
      <c r="B4" s="5"/>
      <c r="C4" s="6" t="s">
        <v>2</v>
      </c>
      <c r="D4" s="77">
        <v>0</v>
      </c>
      <c r="E4" s="6"/>
      <c r="F4" s="6"/>
      <c r="G4" s="6"/>
      <c r="H4" s="6"/>
      <c r="K4" s="4"/>
      <c r="L4" s="5"/>
      <c r="M4" s="6" t="s">
        <v>2</v>
      </c>
      <c r="N4" s="77">
        <v>0</v>
      </c>
      <c r="O4" s="6"/>
      <c r="P4" s="6"/>
      <c r="Q4" s="6"/>
      <c r="R4" s="6"/>
    </row>
    <row r="5" spans="1:18">
      <c r="A5" s="4"/>
      <c r="B5" s="5"/>
      <c r="C5" s="6" t="s">
        <v>590</v>
      </c>
      <c r="D5" s="7" t="s">
        <v>849</v>
      </c>
      <c r="E5" s="6"/>
      <c r="F5" s="6"/>
      <c r="G5" s="6"/>
      <c r="H5" s="6"/>
      <c r="K5" s="4"/>
      <c r="L5" s="5"/>
      <c r="M5" s="6" t="s">
        <v>590</v>
      </c>
      <c r="N5" s="7" t="s">
        <v>849</v>
      </c>
      <c r="O5" s="6"/>
      <c r="P5" s="6"/>
      <c r="Q5" s="6"/>
      <c r="R5" s="6"/>
    </row>
    <row r="6" spans="1:18">
      <c r="A6" s="4"/>
      <c r="B6" s="5"/>
      <c r="C6" s="6" t="s">
        <v>3</v>
      </c>
      <c r="D6" s="8">
        <v>139213815</v>
      </c>
      <c r="E6" s="6"/>
      <c r="F6" s="6"/>
      <c r="G6" s="6"/>
      <c r="H6" s="6"/>
      <c r="K6" s="4"/>
      <c r="L6" s="5"/>
      <c r="M6" s="6" t="s">
        <v>3</v>
      </c>
      <c r="N6" s="8">
        <v>139213815</v>
      </c>
      <c r="O6" s="6"/>
      <c r="P6" s="6"/>
      <c r="Q6" s="6"/>
      <c r="R6" s="6"/>
    </row>
    <row r="7" spans="1:18">
      <c r="A7" s="4"/>
      <c r="B7" s="5"/>
      <c r="C7" s="6" t="s">
        <v>4</v>
      </c>
      <c r="D7" s="115">
        <v>1139810</v>
      </c>
      <c r="E7" s="6"/>
      <c r="F7" s="6"/>
      <c r="G7" s="6"/>
      <c r="H7" s="6"/>
      <c r="K7" s="4"/>
      <c r="L7" s="5"/>
      <c r="M7" s="6" t="s">
        <v>4</v>
      </c>
      <c r="N7" s="115">
        <v>1139810</v>
      </c>
      <c r="O7" s="6"/>
      <c r="P7" s="6"/>
      <c r="Q7" s="6"/>
      <c r="R7" s="6"/>
    </row>
    <row r="8" spans="1:18">
      <c r="A8" s="4"/>
      <c r="B8" s="5"/>
      <c r="C8" s="6" t="s">
        <v>5</v>
      </c>
      <c r="D8" s="6">
        <v>1146153</v>
      </c>
      <c r="E8" s="6"/>
      <c r="F8" s="6"/>
      <c r="G8" s="6"/>
      <c r="H8" s="6"/>
      <c r="K8" s="4"/>
      <c r="L8" s="5"/>
      <c r="M8" s="6" t="s">
        <v>5</v>
      </c>
      <c r="N8" s="6">
        <v>1146153</v>
      </c>
      <c r="O8" s="6"/>
      <c r="P8" s="6"/>
      <c r="Q8" s="6"/>
      <c r="R8" s="6"/>
    </row>
    <row r="9" spans="1:18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K9" s="4"/>
      <c r="L9" s="5"/>
      <c r="M9" s="6" t="s">
        <v>6</v>
      </c>
      <c r="N9" s="6">
        <v>3297735.5133333281</v>
      </c>
      <c r="O9" s="6"/>
      <c r="P9" s="6"/>
      <c r="Q9" s="6"/>
      <c r="R9" s="6"/>
    </row>
    <row r="10" spans="1:18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K10" s="4"/>
      <c r="L10" s="5"/>
      <c r="M10" s="6" t="s">
        <v>7</v>
      </c>
      <c r="N10" s="6">
        <v>2363662</v>
      </c>
      <c r="O10" s="6"/>
      <c r="P10" s="6"/>
      <c r="Q10" s="6"/>
      <c r="R10" s="6"/>
    </row>
    <row r="11" spans="1:18">
      <c r="A11" s="4"/>
      <c r="B11" s="5"/>
      <c r="C11" s="6"/>
      <c r="D11" s="6"/>
      <c r="E11" s="6"/>
      <c r="F11" s="6"/>
      <c r="G11" s="6"/>
      <c r="H11" s="6"/>
      <c r="K11" s="4"/>
      <c r="L11" s="5"/>
      <c r="M11" s="6"/>
      <c r="N11" s="6"/>
      <c r="O11" s="6"/>
      <c r="P11" s="6"/>
      <c r="Q11" s="6"/>
      <c r="R11" s="6"/>
    </row>
    <row r="12" spans="1:18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147161175.51333332</v>
      </c>
      <c r="K12" s="531" t="s">
        <v>1071</v>
      </c>
      <c r="L12" s="532"/>
      <c r="M12" s="532"/>
      <c r="N12" s="532"/>
      <c r="O12" s="532"/>
      <c r="P12" s="532"/>
      <c r="Q12" s="533"/>
      <c r="R12" s="10">
        <f>SUM(N4:N10)</f>
        <v>147161175.51333332</v>
      </c>
    </row>
    <row r="13" spans="1:18">
      <c r="A13" s="535" t="s">
        <v>8</v>
      </c>
      <c r="B13" s="535"/>
      <c r="C13" s="535"/>
      <c r="D13" s="535"/>
      <c r="E13" s="535"/>
      <c r="F13" s="535"/>
      <c r="G13" s="535"/>
      <c r="H13" s="535"/>
      <c r="K13" s="535" t="s">
        <v>8</v>
      </c>
      <c r="L13" s="535"/>
      <c r="M13" s="535"/>
      <c r="N13" s="535"/>
      <c r="O13" s="535"/>
      <c r="P13" s="535"/>
      <c r="Q13" s="535"/>
      <c r="R13" s="535"/>
    </row>
    <row r="14" spans="1:18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K14" s="536" t="s">
        <v>9</v>
      </c>
      <c r="L14" s="537" t="s">
        <v>10</v>
      </c>
      <c r="M14" s="538" t="s">
        <v>11</v>
      </c>
      <c r="N14" s="538" t="s">
        <v>12</v>
      </c>
      <c r="O14" s="530" t="s">
        <v>13</v>
      </c>
      <c r="P14" s="530"/>
      <c r="Q14" s="530"/>
      <c r="R14" s="530"/>
    </row>
    <row r="15" spans="1:18">
      <c r="A15" s="536"/>
      <c r="B15" s="537"/>
      <c r="C15" s="538"/>
      <c r="D15" s="538"/>
      <c r="E15" s="417" t="s">
        <v>14</v>
      </c>
      <c r="F15" s="417" t="s">
        <v>15</v>
      </c>
      <c r="G15" s="417" t="s">
        <v>16</v>
      </c>
      <c r="H15" s="417" t="s">
        <v>17</v>
      </c>
      <c r="K15" s="536"/>
      <c r="L15" s="537"/>
      <c r="M15" s="538"/>
      <c r="N15" s="538"/>
      <c r="O15" s="422" t="s">
        <v>14</v>
      </c>
      <c r="P15" s="422" t="s">
        <v>15</v>
      </c>
      <c r="Q15" s="422" t="s">
        <v>16</v>
      </c>
      <c r="R15" s="422" t="s">
        <v>17</v>
      </c>
    </row>
    <row r="16" spans="1:18">
      <c r="A16" s="12"/>
      <c r="B16" s="19" t="s">
        <v>1214</v>
      </c>
      <c r="C16" s="14" t="s">
        <v>1215</v>
      </c>
      <c r="D16" s="15">
        <v>1600000</v>
      </c>
      <c r="E16" s="16"/>
      <c r="F16" s="16"/>
      <c r="G16" s="16"/>
      <c r="H16" s="16"/>
      <c r="K16" s="12"/>
      <c r="L16" s="19" t="s">
        <v>1214</v>
      </c>
      <c r="M16" s="14" t="s">
        <v>1215</v>
      </c>
      <c r="N16" s="15"/>
      <c r="O16" s="16"/>
      <c r="P16" s="16"/>
      <c r="Q16" s="16"/>
      <c r="R16" s="16"/>
    </row>
    <row r="17" spans="1:18">
      <c r="A17" s="12"/>
      <c r="B17" s="19" t="s">
        <v>1214</v>
      </c>
      <c r="C17" s="14" t="s">
        <v>1242</v>
      </c>
      <c r="D17" s="15">
        <v>1250000</v>
      </c>
      <c r="E17" s="16"/>
      <c r="F17" s="16"/>
      <c r="G17" s="16"/>
      <c r="H17" s="16"/>
      <c r="K17" s="12"/>
      <c r="L17" s="19" t="s">
        <v>1214</v>
      </c>
      <c r="M17" s="14" t="s">
        <v>1242</v>
      </c>
      <c r="N17" s="15"/>
      <c r="O17" s="16"/>
      <c r="P17" s="16"/>
      <c r="Q17" s="16"/>
      <c r="R17" s="16"/>
    </row>
    <row r="18" spans="1:18">
      <c r="A18" s="12"/>
      <c r="B18" s="19" t="s">
        <v>1347</v>
      </c>
      <c r="C18" s="14" t="s">
        <v>1349</v>
      </c>
      <c r="D18" s="15">
        <f>60000*7</f>
        <v>420000</v>
      </c>
      <c r="E18" s="16"/>
      <c r="F18" s="16"/>
      <c r="G18" s="16"/>
      <c r="H18" s="16"/>
      <c r="K18" s="12"/>
      <c r="L18" s="19"/>
      <c r="M18" s="14"/>
      <c r="N18" s="15"/>
      <c r="O18" s="16"/>
      <c r="P18" s="16"/>
      <c r="Q18" s="16"/>
      <c r="R18" s="16"/>
    </row>
    <row r="19" spans="1:18">
      <c r="A19" s="12"/>
      <c r="B19" s="19" t="s">
        <v>1347</v>
      </c>
      <c r="C19" s="14" t="s">
        <v>1348</v>
      </c>
      <c r="D19" s="15">
        <f>300000*7</f>
        <v>2100000</v>
      </c>
      <c r="E19" s="16"/>
      <c r="F19" s="16"/>
      <c r="G19" s="16"/>
      <c r="H19" s="16"/>
      <c r="K19" s="12"/>
      <c r="L19" s="19"/>
      <c r="M19" s="14"/>
      <c r="N19" s="15"/>
      <c r="O19" s="16"/>
      <c r="P19" s="16"/>
      <c r="Q19" s="16"/>
      <c r="R19" s="16"/>
    </row>
    <row r="20" spans="1:18">
      <c r="A20" s="12"/>
      <c r="B20" s="19"/>
      <c r="C20" s="14" t="s">
        <v>1355</v>
      </c>
      <c r="D20" s="15">
        <v>1770017</v>
      </c>
      <c r="E20" s="16"/>
      <c r="F20" s="16"/>
      <c r="G20" s="16"/>
      <c r="H20" s="16"/>
      <c r="K20" s="12"/>
      <c r="L20" s="19"/>
      <c r="M20" s="14" t="s">
        <v>1355</v>
      </c>
      <c r="N20" s="15"/>
      <c r="O20" s="16"/>
      <c r="P20" s="16"/>
      <c r="Q20" s="16"/>
      <c r="R20" s="16"/>
    </row>
    <row r="21" spans="1:18">
      <c r="A21" s="12"/>
      <c r="B21" s="19"/>
      <c r="C21" s="14"/>
      <c r="D21" s="15"/>
      <c r="E21" s="16"/>
      <c r="F21" s="16"/>
      <c r="G21" s="16"/>
      <c r="H21" s="16"/>
      <c r="K21" s="12"/>
      <c r="L21" s="19"/>
      <c r="M21" s="14"/>
      <c r="N21" s="15"/>
      <c r="O21" s="16"/>
      <c r="P21" s="16"/>
      <c r="Q21" s="16"/>
      <c r="R21" s="16"/>
    </row>
    <row r="22" spans="1:18">
      <c r="A22" s="18"/>
      <c r="B22" s="19"/>
      <c r="C22" s="417" t="s">
        <v>20</v>
      </c>
      <c r="D22" s="10">
        <f>SUM(D16:D21)</f>
        <v>7140017</v>
      </c>
      <c r="E22" s="10"/>
      <c r="F22" s="10"/>
      <c r="G22" s="10"/>
      <c r="H22" s="10"/>
      <c r="K22" s="18"/>
      <c r="L22" s="19"/>
      <c r="M22" s="422" t="s">
        <v>20</v>
      </c>
      <c r="N22" s="10">
        <f>SUM(N16:N21)</f>
        <v>0</v>
      </c>
      <c r="O22" s="10"/>
      <c r="P22" s="10"/>
      <c r="Q22" s="10"/>
      <c r="R22" s="10"/>
    </row>
    <row r="23" spans="1:18">
      <c r="A23" s="20"/>
      <c r="B23" s="418"/>
      <c r="C23" s="152" t="s">
        <v>21</v>
      </c>
      <c r="D23" s="150"/>
      <c r="E23" s="150"/>
      <c r="F23" s="150"/>
      <c r="G23" s="151"/>
      <c r="H23" s="21">
        <f>+D22</f>
        <v>7140017</v>
      </c>
      <c r="K23" s="20"/>
      <c r="L23" s="420"/>
      <c r="M23" s="152" t="s">
        <v>21</v>
      </c>
      <c r="N23" s="150"/>
      <c r="O23" s="150"/>
      <c r="P23" s="150"/>
      <c r="Q23" s="151"/>
      <c r="R23" s="21">
        <f>+N22</f>
        <v>0</v>
      </c>
    </row>
    <row r="24" spans="1:18">
      <c r="A24" s="526" t="s">
        <v>22</v>
      </c>
      <c r="B24" s="526"/>
      <c r="C24" s="526"/>
      <c r="D24" s="526"/>
      <c r="E24" s="526">
        <f>+H23</f>
        <v>7140017</v>
      </c>
      <c r="F24" s="526"/>
      <c r="G24" s="526"/>
      <c r="H24" s="526"/>
      <c r="K24" s="526" t="s">
        <v>22</v>
      </c>
      <c r="L24" s="526"/>
      <c r="M24" s="526"/>
      <c r="N24" s="526"/>
      <c r="O24" s="526">
        <f>+R23</f>
        <v>0</v>
      </c>
      <c r="P24" s="526"/>
      <c r="Q24" s="526"/>
      <c r="R24" s="526"/>
    </row>
    <row r="25" spans="1:18">
      <c r="A25" s="524" t="s">
        <v>23</v>
      </c>
      <c r="B25" s="524"/>
      <c r="C25" s="524"/>
      <c r="D25" s="524"/>
      <c r="E25" s="524"/>
      <c r="F25" s="524"/>
      <c r="G25" s="524"/>
      <c r="H25" s="524"/>
      <c r="K25" s="524" t="s">
        <v>23</v>
      </c>
      <c r="L25" s="524"/>
      <c r="M25" s="524"/>
      <c r="N25" s="524"/>
      <c r="O25" s="524"/>
      <c r="P25" s="524"/>
      <c r="Q25" s="524"/>
      <c r="R25" s="524"/>
    </row>
    <row r="26" spans="1:18">
      <c r="A26" s="12"/>
      <c r="B26" s="13" t="s">
        <v>1360</v>
      </c>
      <c r="C26" s="15" t="s">
        <v>1361</v>
      </c>
      <c r="D26" s="23">
        <v>582500</v>
      </c>
      <c r="E26" s="22"/>
      <c r="F26" s="22"/>
      <c r="G26" s="16"/>
      <c r="H26" s="16"/>
      <c r="K26" s="12"/>
      <c r="L26" s="13" t="s">
        <v>1360</v>
      </c>
      <c r="M26" s="15" t="s">
        <v>1361</v>
      </c>
      <c r="N26" s="23">
        <v>582500</v>
      </c>
      <c r="O26" s="22"/>
      <c r="P26" s="22"/>
      <c r="Q26" s="16"/>
      <c r="R26" s="16"/>
    </row>
    <row r="27" spans="1:18">
      <c r="A27" s="12"/>
      <c r="B27" s="13"/>
      <c r="C27" s="15"/>
      <c r="D27" s="23"/>
      <c r="E27" s="22"/>
      <c r="F27" s="22"/>
      <c r="G27" s="16"/>
      <c r="H27" s="16"/>
      <c r="K27" s="12"/>
      <c r="L27" s="13"/>
      <c r="M27" s="15"/>
      <c r="N27" s="23"/>
      <c r="O27" s="22"/>
      <c r="P27" s="22"/>
      <c r="Q27" s="16"/>
      <c r="R27" s="16"/>
    </row>
    <row r="28" spans="1:18">
      <c r="A28" s="25"/>
      <c r="B28" s="19"/>
      <c r="C28" s="26" t="s">
        <v>24</v>
      </c>
      <c r="D28" s="27">
        <f>SUM(D26:D27)</f>
        <v>582500</v>
      </c>
      <c r="E28" s="27"/>
      <c r="F28" s="27"/>
      <c r="G28" s="27"/>
      <c r="H28" s="27"/>
      <c r="K28" s="25"/>
      <c r="L28" s="19"/>
      <c r="M28" s="26" t="s">
        <v>24</v>
      </c>
      <c r="N28" s="27">
        <f>SUM(N26:N27)</f>
        <v>582500</v>
      </c>
      <c r="O28" s="27"/>
      <c r="P28" s="27"/>
      <c r="Q28" s="27"/>
      <c r="R28" s="27"/>
    </row>
    <row r="29" spans="1:18">
      <c r="A29" s="20"/>
      <c r="B29" s="19"/>
      <c r="C29" s="417" t="s">
        <v>21</v>
      </c>
      <c r="D29" s="10"/>
      <c r="E29" s="530">
        <f>D28</f>
        <v>582500</v>
      </c>
      <c r="F29" s="530"/>
      <c r="G29" s="530"/>
      <c r="H29" s="530"/>
      <c r="K29" s="20"/>
      <c r="L29" s="19"/>
      <c r="M29" s="422" t="s">
        <v>21</v>
      </c>
      <c r="N29" s="10"/>
      <c r="O29" s="530">
        <f>N28</f>
        <v>582500</v>
      </c>
      <c r="P29" s="530"/>
      <c r="Q29" s="530"/>
      <c r="R29" s="530"/>
    </row>
    <row r="30" spans="1:18">
      <c r="A30" s="524" t="s">
        <v>1280</v>
      </c>
      <c r="B30" s="524"/>
      <c r="C30" s="524"/>
      <c r="D30" s="524"/>
      <c r="E30" s="524"/>
      <c r="F30" s="524"/>
      <c r="G30" s="524"/>
      <c r="H30" s="524"/>
      <c r="K30" s="524" t="s">
        <v>1280</v>
      </c>
      <c r="L30" s="524"/>
      <c r="M30" s="524"/>
      <c r="N30" s="524"/>
      <c r="O30" s="524"/>
      <c r="P30" s="524"/>
      <c r="Q30" s="524"/>
      <c r="R30" s="524"/>
    </row>
    <row r="31" spans="1:18">
      <c r="A31" s="12"/>
      <c r="B31" s="23"/>
      <c r="C31" s="22" t="s">
        <v>1345</v>
      </c>
      <c r="D31" s="22">
        <v>1050000</v>
      </c>
      <c r="E31" s="417"/>
      <c r="F31" s="417"/>
      <c r="G31" s="417"/>
      <c r="H31" s="417"/>
      <c r="K31" s="12"/>
      <c r="L31" s="23"/>
      <c r="M31" s="22" t="s">
        <v>1345</v>
      </c>
      <c r="N31" s="22">
        <v>1050000</v>
      </c>
      <c r="O31" s="422"/>
      <c r="P31" s="422"/>
      <c r="Q31" s="422"/>
      <c r="R31" s="422"/>
    </row>
    <row r="32" spans="1:18">
      <c r="A32" s="12"/>
      <c r="B32" s="23"/>
      <c r="C32" s="22" t="s">
        <v>1323</v>
      </c>
      <c r="D32" s="22">
        <v>26294000</v>
      </c>
      <c r="E32" s="417"/>
      <c r="F32" s="417"/>
      <c r="G32" s="417"/>
      <c r="H32" s="417"/>
      <c r="K32" s="12"/>
      <c r="L32" s="23"/>
      <c r="M32" s="22" t="s">
        <v>1323</v>
      </c>
      <c r="N32" s="22"/>
      <c r="O32" s="422"/>
      <c r="P32" s="422"/>
      <c r="Q32" s="422"/>
      <c r="R32" s="422"/>
    </row>
    <row r="33" spans="1:18">
      <c r="A33" s="12"/>
      <c r="B33" s="23" t="s">
        <v>1362</v>
      </c>
      <c r="C33" s="22" t="s">
        <v>1274</v>
      </c>
      <c r="D33" s="22">
        <v>4865000</v>
      </c>
      <c r="E33" s="417"/>
      <c r="F33" s="417"/>
      <c r="G33" s="417"/>
      <c r="H33" s="417"/>
      <c r="K33" s="12"/>
      <c r="L33" s="23" t="s">
        <v>1362</v>
      </c>
      <c r="M33" s="22" t="s">
        <v>1274</v>
      </c>
      <c r="N33" s="22">
        <v>4865000</v>
      </c>
      <c r="O33" s="422"/>
      <c r="P33" s="422"/>
      <c r="Q33" s="422"/>
      <c r="R33" s="422"/>
    </row>
    <row r="34" spans="1:18">
      <c r="A34" s="12"/>
      <c r="B34" s="23" t="s">
        <v>1362</v>
      </c>
      <c r="C34" s="22" t="s">
        <v>1275</v>
      </c>
      <c r="D34" s="22">
        <v>60000000</v>
      </c>
      <c r="E34" s="417"/>
      <c r="F34" s="417"/>
      <c r="G34" s="417"/>
      <c r="H34" s="417"/>
      <c r="K34" s="12"/>
      <c r="L34" s="23" t="s">
        <v>1362</v>
      </c>
      <c r="M34" s="22" t="s">
        <v>1275</v>
      </c>
      <c r="N34" s="22">
        <v>50000000</v>
      </c>
      <c r="O34" s="422"/>
      <c r="P34" s="422"/>
      <c r="Q34" s="422"/>
      <c r="R34" s="422"/>
    </row>
    <row r="35" spans="1:18">
      <c r="A35" s="12"/>
      <c r="B35" s="23" t="s">
        <v>1362</v>
      </c>
      <c r="C35" s="22" t="s">
        <v>1276</v>
      </c>
      <c r="D35" s="22">
        <v>25000000</v>
      </c>
      <c r="E35" s="417"/>
      <c r="F35" s="417"/>
      <c r="G35" s="417"/>
      <c r="H35" s="417"/>
      <c r="K35" s="12"/>
      <c r="L35" s="23" t="s">
        <v>1362</v>
      </c>
      <c r="M35" s="22" t="s">
        <v>1276</v>
      </c>
      <c r="N35" s="22">
        <v>10000000</v>
      </c>
      <c r="O35" s="422"/>
      <c r="P35" s="422"/>
      <c r="Q35" s="422"/>
      <c r="R35" s="422"/>
    </row>
    <row r="36" spans="1:18">
      <c r="A36" s="12"/>
      <c r="B36" s="23" t="s">
        <v>1362</v>
      </c>
      <c r="C36" s="22" t="s">
        <v>1120</v>
      </c>
      <c r="D36" s="22">
        <v>1540000</v>
      </c>
      <c r="E36" s="417"/>
      <c r="F36" s="417"/>
      <c r="G36" s="417"/>
      <c r="H36" s="417"/>
      <c r="K36" s="12"/>
      <c r="L36" s="23" t="s">
        <v>1362</v>
      </c>
      <c r="M36" s="22" t="s">
        <v>1120</v>
      </c>
      <c r="N36" s="22">
        <v>1540000</v>
      </c>
      <c r="O36" s="422"/>
      <c r="P36" s="422"/>
      <c r="Q36" s="422"/>
      <c r="R36" s="422"/>
    </row>
    <row r="37" spans="1:18">
      <c r="A37" s="12"/>
      <c r="B37" s="23" t="s">
        <v>1362</v>
      </c>
      <c r="C37" s="22" t="s">
        <v>1121</v>
      </c>
      <c r="D37" s="22">
        <v>550000</v>
      </c>
      <c r="E37" s="417"/>
      <c r="F37" s="417"/>
      <c r="G37" s="417"/>
      <c r="H37" s="417"/>
      <c r="K37" s="12"/>
      <c r="L37" s="23" t="s">
        <v>1362</v>
      </c>
      <c r="M37" s="22" t="s">
        <v>1121</v>
      </c>
      <c r="N37" s="22">
        <v>550000</v>
      </c>
      <c r="O37" s="422"/>
      <c r="P37" s="422"/>
      <c r="Q37" s="422"/>
      <c r="R37" s="422"/>
    </row>
    <row r="38" spans="1:18">
      <c r="A38" s="12"/>
      <c r="B38" s="23" t="s">
        <v>1362</v>
      </c>
      <c r="C38" s="23" t="s">
        <v>1279</v>
      </c>
      <c r="D38" s="23">
        <v>300000</v>
      </c>
      <c r="E38" s="417"/>
      <c r="F38" s="417"/>
      <c r="G38" s="417"/>
      <c r="H38" s="417"/>
      <c r="K38" s="12"/>
      <c r="L38" s="23" t="s">
        <v>1362</v>
      </c>
      <c r="M38" s="23" t="s">
        <v>1279</v>
      </c>
      <c r="N38" s="23">
        <v>300000</v>
      </c>
      <c r="O38" s="422"/>
      <c r="P38" s="422"/>
      <c r="Q38" s="422"/>
      <c r="R38" s="422"/>
    </row>
    <row r="39" spans="1:18">
      <c r="A39" s="12"/>
      <c r="B39" s="23" t="s">
        <v>1362</v>
      </c>
      <c r="C39" s="23" t="s">
        <v>1278</v>
      </c>
      <c r="D39" s="23">
        <v>4020000</v>
      </c>
      <c r="E39" s="417"/>
      <c r="F39" s="417"/>
      <c r="G39" s="417"/>
      <c r="H39" s="417"/>
      <c r="K39" s="12"/>
      <c r="L39" s="23" t="s">
        <v>1362</v>
      </c>
      <c r="M39" s="23" t="s">
        <v>1278</v>
      </c>
      <c r="N39" s="23">
        <v>4020000</v>
      </c>
      <c r="O39" s="422"/>
      <c r="P39" s="422"/>
      <c r="Q39" s="422"/>
      <c r="R39" s="422"/>
    </row>
    <row r="40" spans="1:18">
      <c r="A40" s="12"/>
      <c r="B40" s="23" t="s">
        <v>1362</v>
      </c>
      <c r="C40" s="23" t="s">
        <v>1363</v>
      </c>
      <c r="D40" s="23">
        <v>600000</v>
      </c>
      <c r="E40" s="417"/>
      <c r="F40" s="417"/>
      <c r="G40" s="417"/>
      <c r="H40" s="417"/>
      <c r="K40" s="12"/>
      <c r="L40" s="23" t="s">
        <v>1362</v>
      </c>
      <c r="M40" s="23" t="s">
        <v>1363</v>
      </c>
      <c r="N40" s="23">
        <v>600000</v>
      </c>
      <c r="O40" s="422"/>
      <c r="P40" s="422"/>
      <c r="Q40" s="422"/>
      <c r="R40" s="422"/>
    </row>
    <row r="41" spans="1:18">
      <c r="A41" s="12"/>
      <c r="B41" s="23" t="s">
        <v>1362</v>
      </c>
      <c r="C41" s="23" t="s">
        <v>1364</v>
      </c>
      <c r="D41" s="23">
        <v>500000</v>
      </c>
      <c r="E41" s="417"/>
      <c r="F41" s="417"/>
      <c r="G41" s="417"/>
      <c r="H41" s="417"/>
      <c r="K41" s="12"/>
      <c r="L41" s="23" t="s">
        <v>1362</v>
      </c>
      <c r="M41" s="23" t="s">
        <v>1364</v>
      </c>
      <c r="N41" s="23">
        <v>500000</v>
      </c>
      <c r="O41" s="422"/>
      <c r="P41" s="422"/>
      <c r="Q41" s="422"/>
      <c r="R41" s="422"/>
    </row>
    <row r="42" spans="1:18">
      <c r="A42" s="12"/>
      <c r="B42" s="23" t="s">
        <v>1362</v>
      </c>
      <c r="C42" s="23" t="s">
        <v>1365</v>
      </c>
      <c r="D42" s="23">
        <v>500000</v>
      </c>
      <c r="E42" s="417"/>
      <c r="F42" s="417"/>
      <c r="G42" s="417"/>
      <c r="H42" s="417"/>
      <c r="K42" s="12"/>
      <c r="L42" s="23" t="s">
        <v>1362</v>
      </c>
      <c r="M42" s="23" t="s">
        <v>1365</v>
      </c>
      <c r="N42" s="23"/>
      <c r="O42" s="422"/>
      <c r="P42" s="422"/>
      <c r="Q42" s="422"/>
      <c r="R42" s="422"/>
    </row>
    <row r="43" spans="1:18">
      <c r="A43" s="12"/>
      <c r="B43" s="23" t="s">
        <v>1362</v>
      </c>
      <c r="C43" s="23" t="s">
        <v>1366</v>
      </c>
      <c r="D43" s="23">
        <v>35000</v>
      </c>
      <c r="E43" s="417"/>
      <c r="F43" s="417"/>
      <c r="G43" s="417"/>
      <c r="H43" s="417"/>
      <c r="K43" s="12"/>
      <c r="L43" s="23" t="s">
        <v>1362</v>
      </c>
      <c r="M43" s="23" t="s">
        <v>1366</v>
      </c>
      <c r="N43" s="23">
        <v>35000</v>
      </c>
      <c r="O43" s="422"/>
      <c r="P43" s="422"/>
      <c r="Q43" s="422"/>
      <c r="R43" s="422"/>
    </row>
    <row r="44" spans="1:18">
      <c r="A44" s="12"/>
      <c r="B44" s="23" t="s">
        <v>1359</v>
      </c>
      <c r="C44" s="23" t="s">
        <v>1282</v>
      </c>
      <c r="D44" s="23">
        <v>20000000</v>
      </c>
      <c r="E44" s="417"/>
      <c r="F44" s="417"/>
      <c r="G44" s="417"/>
      <c r="H44" s="417"/>
      <c r="K44" s="12"/>
      <c r="L44" s="23" t="s">
        <v>1359</v>
      </c>
      <c r="M44" s="23" t="s">
        <v>1282</v>
      </c>
      <c r="N44" s="23">
        <v>10000000</v>
      </c>
      <c r="O44" s="422"/>
      <c r="P44" s="422"/>
      <c r="Q44" s="422"/>
      <c r="R44" s="422"/>
    </row>
    <row r="45" spans="1:18">
      <c r="A45" s="12"/>
      <c r="B45" s="23" t="s">
        <v>1359</v>
      </c>
      <c r="C45" s="23" t="s">
        <v>1283</v>
      </c>
      <c r="D45" s="23">
        <v>10000000</v>
      </c>
      <c r="E45" s="417"/>
      <c r="F45" s="417"/>
      <c r="G45" s="417"/>
      <c r="H45" s="417"/>
      <c r="K45" s="12"/>
      <c r="L45" s="23" t="s">
        <v>1359</v>
      </c>
      <c r="M45" s="23" t="s">
        <v>1283</v>
      </c>
      <c r="N45" s="23">
        <v>5000000</v>
      </c>
      <c r="O45" s="422"/>
      <c r="P45" s="422"/>
      <c r="Q45" s="422"/>
      <c r="R45" s="422"/>
    </row>
    <row r="46" spans="1:18">
      <c r="A46" s="12"/>
      <c r="B46" s="23" t="s">
        <v>1359</v>
      </c>
      <c r="C46" s="23" t="s">
        <v>1284</v>
      </c>
      <c r="D46" s="23">
        <v>25000000</v>
      </c>
      <c r="E46" s="417"/>
      <c r="F46" s="417"/>
      <c r="G46" s="417"/>
      <c r="H46" s="417"/>
      <c r="K46" s="12"/>
      <c r="L46" s="23" t="s">
        <v>1359</v>
      </c>
      <c r="M46" s="23" t="s">
        <v>1284</v>
      </c>
      <c r="N46" s="23">
        <v>20000000</v>
      </c>
      <c r="O46" s="422"/>
      <c r="P46" s="422"/>
      <c r="Q46" s="422"/>
      <c r="R46" s="422"/>
    </row>
    <row r="47" spans="1:18">
      <c r="A47" s="12"/>
      <c r="B47" s="23" t="s">
        <v>1359</v>
      </c>
      <c r="C47" s="23" t="s">
        <v>1367</v>
      </c>
      <c r="D47" s="22">
        <v>10000000</v>
      </c>
      <c r="E47" s="417"/>
      <c r="F47" s="417"/>
      <c r="G47" s="417"/>
      <c r="H47" s="417"/>
      <c r="K47" s="12"/>
      <c r="L47" s="23" t="s">
        <v>1359</v>
      </c>
      <c r="M47" s="23" t="s">
        <v>1367</v>
      </c>
      <c r="N47" s="22">
        <v>3000000</v>
      </c>
      <c r="O47" s="422"/>
      <c r="P47" s="422"/>
      <c r="Q47" s="422"/>
      <c r="R47" s="422"/>
    </row>
    <row r="48" spans="1:18">
      <c r="A48" s="12"/>
      <c r="B48" s="13"/>
      <c r="C48" s="26" t="s">
        <v>55</v>
      </c>
      <c r="D48" s="27">
        <f>SUM(D31:D47)</f>
        <v>190254000</v>
      </c>
      <c r="E48" s="27">
        <v>0</v>
      </c>
      <c r="F48" s="27">
        <v>0</v>
      </c>
      <c r="G48" s="27"/>
      <c r="H48" s="27"/>
      <c r="K48" s="12"/>
      <c r="L48" s="13"/>
      <c r="M48" s="26" t="s">
        <v>55</v>
      </c>
      <c r="N48" s="27">
        <f>SUM(N31:N47)</f>
        <v>111460000</v>
      </c>
      <c r="O48" s="27">
        <v>0</v>
      </c>
      <c r="P48" s="27">
        <v>0</v>
      </c>
      <c r="Q48" s="27"/>
      <c r="R48" s="27"/>
    </row>
    <row r="49" spans="1:18">
      <c r="A49" s="20"/>
      <c r="B49" s="19"/>
      <c r="C49" s="417" t="s">
        <v>21</v>
      </c>
      <c r="D49" s="10"/>
      <c r="E49" s="530">
        <f>D48</f>
        <v>190254000</v>
      </c>
      <c r="F49" s="530"/>
      <c r="G49" s="530"/>
      <c r="H49" s="530"/>
      <c r="K49" s="20"/>
      <c r="L49" s="19"/>
      <c r="M49" s="422" t="s">
        <v>21</v>
      </c>
      <c r="N49" s="10"/>
      <c r="O49" s="530">
        <f>N48</f>
        <v>111460000</v>
      </c>
      <c r="P49" s="530"/>
      <c r="Q49" s="530"/>
      <c r="R49" s="530"/>
    </row>
    <row r="50" spans="1:18">
      <c r="A50" s="524" t="s">
        <v>1047</v>
      </c>
      <c r="B50" s="524"/>
      <c r="C50" s="524"/>
      <c r="D50" s="524"/>
      <c r="E50" s="524"/>
      <c r="F50" s="524"/>
      <c r="G50" s="524"/>
      <c r="H50" s="524"/>
      <c r="K50" s="524" t="s">
        <v>1047</v>
      </c>
      <c r="L50" s="524"/>
      <c r="M50" s="524"/>
      <c r="N50" s="524"/>
      <c r="O50" s="524"/>
      <c r="P50" s="524"/>
      <c r="Q50" s="524"/>
      <c r="R50" s="524"/>
    </row>
    <row r="51" spans="1:18">
      <c r="A51" s="28"/>
      <c r="B51" s="19"/>
      <c r="C51" s="23"/>
      <c r="D51" s="23"/>
      <c r="E51" s="28"/>
      <c r="F51" s="28"/>
      <c r="G51" s="28"/>
      <c r="H51" s="28"/>
      <c r="K51" s="28"/>
      <c r="L51" s="19"/>
      <c r="M51" s="23"/>
      <c r="N51" s="23"/>
      <c r="O51" s="28"/>
      <c r="P51" s="28"/>
      <c r="Q51" s="28"/>
      <c r="R51" s="28"/>
    </row>
    <row r="52" spans="1:18">
      <c r="A52" s="28"/>
      <c r="B52" s="19" t="s">
        <v>1362</v>
      </c>
      <c r="C52" s="23" t="s">
        <v>1291</v>
      </c>
      <c r="D52" s="23">
        <v>8657500</v>
      </c>
      <c r="E52" s="28"/>
      <c r="F52" s="28"/>
      <c r="G52" s="28"/>
      <c r="H52" s="28"/>
      <c r="K52" s="28"/>
      <c r="L52" s="19" t="s">
        <v>1362</v>
      </c>
      <c r="M52" s="23" t="s">
        <v>1291</v>
      </c>
      <c r="N52" s="23">
        <v>8657500</v>
      </c>
      <c r="O52" s="28"/>
      <c r="P52" s="28"/>
      <c r="Q52" s="28"/>
      <c r="R52" s="28"/>
    </row>
    <row r="53" spans="1:18">
      <c r="A53" s="28"/>
      <c r="B53" s="19" t="s">
        <v>1362</v>
      </c>
      <c r="C53" s="23" t="s">
        <v>1175</v>
      </c>
      <c r="D53" s="23">
        <v>36000</v>
      </c>
      <c r="E53" s="28"/>
      <c r="F53" s="28"/>
      <c r="G53" s="28"/>
      <c r="H53" s="28"/>
      <c r="K53" s="28"/>
      <c r="L53" s="19" t="s">
        <v>1362</v>
      </c>
      <c r="M53" s="23" t="s">
        <v>1175</v>
      </c>
      <c r="N53" s="23">
        <v>36000</v>
      </c>
      <c r="O53" s="28"/>
      <c r="P53" s="28"/>
      <c r="Q53" s="28"/>
      <c r="R53" s="28"/>
    </row>
    <row r="54" spans="1:18">
      <c r="A54" s="28"/>
      <c r="B54" s="19" t="s">
        <v>1362</v>
      </c>
      <c r="C54" s="23" t="s">
        <v>1127</v>
      </c>
      <c r="D54" s="23">
        <v>600000</v>
      </c>
      <c r="E54" s="28"/>
      <c r="F54" s="28"/>
      <c r="G54" s="28"/>
      <c r="H54" s="28"/>
      <c r="K54" s="28"/>
      <c r="L54" s="19" t="s">
        <v>1362</v>
      </c>
      <c r="M54" s="23" t="s">
        <v>1127</v>
      </c>
      <c r="N54" s="23">
        <v>600000</v>
      </c>
      <c r="O54" s="28"/>
      <c r="P54" s="28"/>
      <c r="Q54" s="28"/>
      <c r="R54" s="28"/>
    </row>
    <row r="55" spans="1:18">
      <c r="A55" s="28"/>
      <c r="B55" s="19" t="s">
        <v>1362</v>
      </c>
      <c r="C55" s="23" t="s">
        <v>1326</v>
      </c>
      <c r="D55" s="23">
        <v>125000</v>
      </c>
      <c r="E55" s="28"/>
      <c r="F55" s="28"/>
      <c r="G55" s="28"/>
      <c r="H55" s="28"/>
      <c r="K55" s="28"/>
      <c r="L55" s="19" t="s">
        <v>1362</v>
      </c>
      <c r="M55" s="23" t="s">
        <v>1326</v>
      </c>
      <c r="N55" s="23">
        <v>125000</v>
      </c>
      <c r="O55" s="28"/>
      <c r="P55" s="28"/>
      <c r="Q55" s="28"/>
      <c r="R55" s="28"/>
    </row>
    <row r="56" spans="1:18">
      <c r="A56" s="12"/>
      <c r="B56" s="19" t="s">
        <v>1362</v>
      </c>
      <c r="C56" s="24" t="s">
        <v>1368</v>
      </c>
      <c r="D56" s="23">
        <v>250000</v>
      </c>
      <c r="E56" s="417"/>
      <c r="F56" s="417"/>
      <c r="G56" s="417"/>
      <c r="H56" s="417"/>
      <c r="K56" s="12"/>
      <c r="L56" s="19" t="s">
        <v>1362</v>
      </c>
      <c r="M56" s="24" t="s">
        <v>1368</v>
      </c>
      <c r="N56" s="23">
        <v>250000</v>
      </c>
      <c r="O56" s="422"/>
      <c r="P56" s="422"/>
      <c r="Q56" s="422"/>
      <c r="R56" s="422"/>
    </row>
    <row r="57" spans="1:18">
      <c r="A57" s="12"/>
      <c r="B57" s="19" t="s">
        <v>1362</v>
      </c>
      <c r="C57" s="24" t="s">
        <v>1369</v>
      </c>
      <c r="D57" s="23">
        <v>1200000</v>
      </c>
      <c r="E57" s="417"/>
      <c r="F57" s="417"/>
      <c r="G57" s="417"/>
      <c r="H57" s="417"/>
      <c r="K57" s="12"/>
      <c r="L57" s="19" t="s">
        <v>1362</v>
      </c>
      <c r="M57" s="24" t="s">
        <v>1369</v>
      </c>
      <c r="N57" s="23">
        <v>1200000</v>
      </c>
      <c r="O57" s="422"/>
      <c r="P57" s="422"/>
      <c r="Q57" s="422"/>
      <c r="R57" s="422"/>
    </row>
    <row r="58" spans="1:18">
      <c r="A58" s="12"/>
      <c r="B58" s="19" t="s">
        <v>1362</v>
      </c>
      <c r="C58" s="24" t="s">
        <v>1370</v>
      </c>
      <c r="D58" s="23">
        <v>1500000</v>
      </c>
      <c r="E58" s="417"/>
      <c r="F58" s="417"/>
      <c r="G58" s="417"/>
      <c r="H58" s="417"/>
      <c r="K58" s="12"/>
      <c r="L58" s="19" t="s">
        <v>1362</v>
      </c>
      <c r="M58" s="24" t="s">
        <v>1370</v>
      </c>
      <c r="N58" s="23">
        <v>1500000</v>
      </c>
      <c r="O58" s="422"/>
      <c r="P58" s="422"/>
      <c r="Q58" s="422"/>
      <c r="R58" s="422"/>
    </row>
    <row r="59" spans="1:18">
      <c r="A59" s="12"/>
      <c r="B59" s="19" t="s">
        <v>1362</v>
      </c>
      <c r="C59" s="24" t="s">
        <v>1371</v>
      </c>
      <c r="D59" s="23">
        <v>3355500</v>
      </c>
      <c r="E59" s="417"/>
      <c r="F59" s="417"/>
      <c r="G59" s="417"/>
      <c r="H59" s="417"/>
      <c r="K59" s="12"/>
      <c r="L59" s="19" t="s">
        <v>1362</v>
      </c>
      <c r="M59" s="24" t="s">
        <v>1371</v>
      </c>
      <c r="N59" s="23">
        <v>3355500</v>
      </c>
      <c r="O59" s="422"/>
      <c r="P59" s="422"/>
      <c r="Q59" s="422"/>
      <c r="R59" s="422"/>
    </row>
    <row r="60" spans="1:18">
      <c r="A60" s="12"/>
      <c r="B60" s="13"/>
      <c r="C60" s="26" t="s">
        <v>848</v>
      </c>
      <c r="D60" s="27">
        <f>SUM(D51:D59)</f>
        <v>15724000</v>
      </c>
      <c r="E60" s="27">
        <v>0</v>
      </c>
      <c r="F60" s="27">
        <v>0</v>
      </c>
      <c r="G60" s="27"/>
      <c r="H60" s="27"/>
      <c r="K60" s="12"/>
      <c r="L60" s="13"/>
      <c r="M60" s="26" t="s">
        <v>848</v>
      </c>
      <c r="N60" s="27">
        <f>SUM(N51:N59)</f>
        <v>15724000</v>
      </c>
      <c r="O60" s="27">
        <v>0</v>
      </c>
      <c r="P60" s="27">
        <v>0</v>
      </c>
      <c r="Q60" s="27"/>
      <c r="R60" s="27"/>
    </row>
    <row r="61" spans="1:18">
      <c r="A61" s="20"/>
      <c r="B61" s="19"/>
      <c r="C61" s="417" t="s">
        <v>21</v>
      </c>
      <c r="D61" s="10"/>
      <c r="E61" s="530">
        <f>D60</f>
        <v>15724000</v>
      </c>
      <c r="F61" s="530"/>
      <c r="G61" s="530"/>
      <c r="H61" s="530"/>
      <c r="K61" s="20"/>
      <c r="L61" s="19"/>
      <c r="M61" s="422" t="s">
        <v>21</v>
      </c>
      <c r="N61" s="10"/>
      <c r="O61" s="530">
        <f>N60</f>
        <v>15724000</v>
      </c>
      <c r="P61" s="530"/>
      <c r="Q61" s="530"/>
      <c r="R61" s="530"/>
    </row>
    <row r="62" spans="1:18">
      <c r="A62" s="527" t="s">
        <v>26</v>
      </c>
      <c r="B62" s="528"/>
      <c r="C62" s="528"/>
      <c r="D62" s="528"/>
      <c r="E62" s="528"/>
      <c r="F62" s="528"/>
      <c r="G62" s="528"/>
      <c r="H62" s="529"/>
      <c r="K62" s="527" t="s">
        <v>26</v>
      </c>
      <c r="L62" s="528"/>
      <c r="M62" s="528"/>
      <c r="N62" s="528"/>
      <c r="O62" s="528"/>
      <c r="P62" s="528"/>
      <c r="Q62" s="528"/>
      <c r="R62" s="529"/>
    </row>
    <row r="63" spans="1:18">
      <c r="A63" s="12"/>
      <c r="B63" s="23" t="s">
        <v>1297</v>
      </c>
      <c r="C63" s="24" t="s">
        <v>1337</v>
      </c>
      <c r="D63" s="23">
        <v>3910000</v>
      </c>
      <c r="E63" s="22"/>
      <c r="F63" s="22"/>
      <c r="G63" s="16"/>
      <c r="H63" s="16"/>
      <c r="K63" s="12"/>
      <c r="L63" s="23" t="s">
        <v>1297</v>
      </c>
      <c r="M63" s="24" t="s">
        <v>1337</v>
      </c>
      <c r="N63" s="23"/>
      <c r="O63" s="22"/>
      <c r="P63" s="22"/>
      <c r="Q63" s="16"/>
      <c r="R63" s="16"/>
    </row>
    <row r="64" spans="1:18">
      <c r="A64" s="12"/>
      <c r="B64" s="23" t="s">
        <v>1331</v>
      </c>
      <c r="C64" s="24" t="s">
        <v>1338</v>
      </c>
      <c r="D64" s="23">
        <v>167800</v>
      </c>
      <c r="E64" s="22"/>
      <c r="F64" s="22"/>
      <c r="G64" s="16"/>
      <c r="H64" s="16"/>
      <c r="K64" s="12"/>
      <c r="L64" s="23" t="s">
        <v>1331</v>
      </c>
      <c r="M64" s="24" t="s">
        <v>1338</v>
      </c>
      <c r="N64" s="23"/>
      <c r="O64" s="22"/>
      <c r="P64" s="22"/>
      <c r="Q64" s="16"/>
      <c r="R64" s="16"/>
    </row>
    <row r="65" spans="1:19">
      <c r="A65" s="12"/>
      <c r="B65" s="23" t="s">
        <v>1362</v>
      </c>
      <c r="C65" s="24" t="s">
        <v>1351</v>
      </c>
      <c r="D65" s="23">
        <v>1173000</v>
      </c>
      <c r="E65" s="22"/>
      <c r="F65" s="22"/>
      <c r="G65" s="16"/>
      <c r="H65" s="16"/>
      <c r="K65" s="12"/>
      <c r="L65" s="23" t="s">
        <v>1362</v>
      </c>
      <c r="M65" s="24" t="s">
        <v>1351</v>
      </c>
      <c r="N65" s="23"/>
      <c r="O65" s="22"/>
      <c r="P65" s="22"/>
      <c r="Q65" s="16"/>
      <c r="R65" s="16"/>
    </row>
    <row r="66" spans="1:19">
      <c r="A66" s="12"/>
      <c r="B66" s="23" t="s">
        <v>1374</v>
      </c>
      <c r="C66" s="24" t="s">
        <v>1357</v>
      </c>
      <c r="D66" s="23">
        <v>125000</v>
      </c>
      <c r="E66" s="22"/>
      <c r="F66" s="22"/>
      <c r="G66" s="16"/>
      <c r="H66" s="16"/>
      <c r="K66" s="12"/>
      <c r="L66" s="23" t="s">
        <v>1374</v>
      </c>
      <c r="M66" s="24" t="s">
        <v>1357</v>
      </c>
      <c r="N66" s="23"/>
      <c r="O66" s="22"/>
      <c r="P66" s="22"/>
      <c r="Q66" s="16"/>
      <c r="R66" s="16"/>
    </row>
    <row r="67" spans="1:19">
      <c r="A67" s="12"/>
      <c r="B67" s="23" t="s">
        <v>1374</v>
      </c>
      <c r="C67" s="24" t="s">
        <v>1357</v>
      </c>
      <c r="D67" s="23">
        <v>893000</v>
      </c>
      <c r="E67" s="22"/>
      <c r="F67" s="22"/>
      <c r="G67" s="16"/>
      <c r="H67" s="16"/>
      <c r="K67" s="12"/>
      <c r="L67" s="23" t="s">
        <v>1374</v>
      </c>
      <c r="M67" s="24" t="s">
        <v>1357</v>
      </c>
      <c r="N67" s="23"/>
      <c r="O67" s="22"/>
      <c r="P67" s="22"/>
      <c r="Q67" s="16"/>
      <c r="R67" s="16"/>
      <c r="S67" s="72">
        <f>+O61+O73</f>
        <v>15724000</v>
      </c>
    </row>
    <row r="68" spans="1:19">
      <c r="A68" s="12"/>
      <c r="B68" s="23" t="s">
        <v>1374</v>
      </c>
      <c r="C68" s="24" t="s">
        <v>1356</v>
      </c>
      <c r="D68" s="23">
        <v>3393000</v>
      </c>
      <c r="E68" s="22"/>
      <c r="F68" s="22"/>
      <c r="G68" s="16"/>
      <c r="H68" s="16"/>
      <c r="K68" s="12"/>
      <c r="L68" s="23" t="s">
        <v>1374</v>
      </c>
      <c r="M68" s="24" t="s">
        <v>1356</v>
      </c>
      <c r="N68" s="23"/>
      <c r="O68" s="22"/>
      <c r="P68" s="22"/>
      <c r="Q68" s="16"/>
      <c r="R68" s="16"/>
    </row>
    <row r="69" spans="1:19">
      <c r="A69" s="12"/>
      <c r="B69" s="23" t="s">
        <v>1374</v>
      </c>
      <c r="C69" s="24" t="s">
        <v>1358</v>
      </c>
      <c r="D69" s="23">
        <v>4705000</v>
      </c>
      <c r="E69" s="22"/>
      <c r="F69" s="22"/>
      <c r="G69" s="16"/>
      <c r="H69" s="16"/>
      <c r="K69" s="12"/>
      <c r="L69" s="23" t="s">
        <v>1374</v>
      </c>
      <c r="M69" s="24" t="s">
        <v>1358</v>
      </c>
      <c r="N69" s="23"/>
      <c r="O69" s="22"/>
      <c r="P69" s="22"/>
      <c r="Q69" s="16"/>
      <c r="R69" s="16"/>
      <c r="S69" s="72">
        <f>+N86-S67</f>
        <v>4276000</v>
      </c>
    </row>
    <row r="70" spans="1:19">
      <c r="A70" s="12"/>
      <c r="B70" s="23"/>
      <c r="C70" s="24"/>
      <c r="D70" s="23"/>
      <c r="E70" s="22"/>
      <c r="F70" s="22"/>
      <c r="G70" s="16"/>
      <c r="H70" s="16"/>
      <c r="K70" s="12"/>
      <c r="L70" s="23"/>
      <c r="M70" s="24"/>
      <c r="N70" s="23"/>
      <c r="O70" s="22"/>
      <c r="P70" s="22"/>
      <c r="Q70" s="16"/>
      <c r="R70" s="16"/>
    </row>
    <row r="71" spans="1:19">
      <c r="A71" s="12"/>
      <c r="B71" s="19"/>
      <c r="C71" s="23"/>
      <c r="D71" s="23"/>
      <c r="E71" s="22"/>
      <c r="F71" s="22"/>
      <c r="G71" s="16"/>
      <c r="H71" s="16"/>
      <c r="K71" s="12"/>
      <c r="L71" s="19"/>
      <c r="M71" s="23"/>
      <c r="N71" s="23"/>
      <c r="O71" s="22"/>
      <c r="P71" s="22"/>
      <c r="Q71" s="16"/>
      <c r="R71" s="16"/>
    </row>
    <row r="72" spans="1:19">
      <c r="A72" s="25"/>
      <c r="B72" s="19"/>
      <c r="C72" s="26" t="s">
        <v>31</v>
      </c>
      <c r="D72" s="27">
        <f>SUM(D63:D71)</f>
        <v>14366800</v>
      </c>
      <c r="E72" s="27"/>
      <c r="F72" s="27"/>
      <c r="G72" s="27"/>
      <c r="H72" s="27"/>
      <c r="K72" s="25"/>
      <c r="L72" s="19"/>
      <c r="M72" s="26" t="s">
        <v>31</v>
      </c>
      <c r="N72" s="27">
        <f>SUM(N63:N71)</f>
        <v>0</v>
      </c>
      <c r="O72" s="27"/>
      <c r="P72" s="27"/>
      <c r="Q72" s="27"/>
      <c r="R72" s="27"/>
    </row>
    <row r="73" spans="1:19">
      <c r="A73" s="20"/>
      <c r="B73" s="19"/>
      <c r="C73" s="417" t="s">
        <v>21</v>
      </c>
      <c r="D73" s="10"/>
      <c r="E73" s="530">
        <f>+D72</f>
        <v>14366800</v>
      </c>
      <c r="F73" s="530"/>
      <c r="G73" s="530"/>
      <c r="H73" s="530"/>
      <c r="K73" s="20"/>
      <c r="L73" s="19"/>
      <c r="M73" s="422" t="s">
        <v>21</v>
      </c>
      <c r="N73" s="10"/>
      <c r="O73" s="530">
        <f>+N72</f>
        <v>0</v>
      </c>
      <c r="P73" s="530"/>
      <c r="Q73" s="530"/>
      <c r="R73" s="530"/>
    </row>
    <row r="74" spans="1:19">
      <c r="A74" s="527" t="s">
        <v>32</v>
      </c>
      <c r="B74" s="528"/>
      <c r="C74" s="528"/>
      <c r="D74" s="528"/>
      <c r="E74" s="528"/>
      <c r="F74" s="528"/>
      <c r="G74" s="528"/>
      <c r="H74" s="529"/>
      <c r="K74" s="527" t="s">
        <v>32</v>
      </c>
      <c r="L74" s="528"/>
      <c r="M74" s="528"/>
      <c r="N74" s="528"/>
      <c r="O74" s="528"/>
      <c r="P74" s="528"/>
      <c r="Q74" s="528"/>
      <c r="R74" s="529"/>
    </row>
    <row r="75" spans="1:19">
      <c r="A75" s="12"/>
      <c r="B75" s="13" t="s">
        <v>1373</v>
      </c>
      <c r="C75" s="22" t="s">
        <v>1372</v>
      </c>
      <c r="D75" s="22">
        <v>25855000</v>
      </c>
      <c r="E75" s="417"/>
      <c r="F75" s="417"/>
      <c r="G75" s="417"/>
      <c r="H75" s="417"/>
      <c r="K75" s="12"/>
      <c r="L75" s="13" t="s">
        <v>1373</v>
      </c>
      <c r="M75" s="22" t="s">
        <v>1372</v>
      </c>
      <c r="N75" s="22">
        <v>25855000</v>
      </c>
      <c r="O75" s="422"/>
      <c r="P75" s="422"/>
      <c r="Q75" s="422"/>
      <c r="R75" s="422"/>
    </row>
    <row r="76" spans="1:19">
      <c r="A76" s="12"/>
      <c r="B76" s="22"/>
      <c r="C76" s="22"/>
      <c r="D76" s="22"/>
      <c r="E76" s="417"/>
      <c r="F76" s="417"/>
      <c r="G76" s="417"/>
      <c r="H76" s="417"/>
      <c r="K76" s="12"/>
      <c r="L76" s="22"/>
      <c r="M76" s="22"/>
      <c r="N76" s="22"/>
      <c r="O76" s="422"/>
      <c r="P76" s="422"/>
      <c r="Q76" s="422"/>
      <c r="R76" s="422"/>
    </row>
    <row r="77" spans="1:19">
      <c r="A77" s="12"/>
      <c r="B77" s="13"/>
      <c r="C77" s="22"/>
      <c r="D77" s="29"/>
      <c r="E77" s="417"/>
      <c r="F77" s="417"/>
      <c r="G77" s="417"/>
      <c r="H77" s="417"/>
      <c r="K77" s="12"/>
      <c r="L77" s="13"/>
      <c r="M77" s="22"/>
      <c r="N77" s="29"/>
      <c r="O77" s="422"/>
      <c r="P77" s="422"/>
      <c r="Q77" s="422"/>
      <c r="R77" s="422"/>
    </row>
    <row r="78" spans="1:19">
      <c r="A78" s="12"/>
      <c r="B78" s="13"/>
      <c r="C78" s="26" t="s">
        <v>34</v>
      </c>
      <c r="D78" s="27">
        <f>SUM(D75:D76)</f>
        <v>25855000</v>
      </c>
      <c r="E78" s="27">
        <v>0</v>
      </c>
      <c r="F78" s="27">
        <v>0</v>
      </c>
      <c r="G78" s="27"/>
      <c r="H78" s="27"/>
      <c r="K78" s="12"/>
      <c r="L78" s="13"/>
      <c r="M78" s="26" t="s">
        <v>34</v>
      </c>
      <c r="N78" s="27">
        <f>SUM(N75:N76)</f>
        <v>25855000</v>
      </c>
      <c r="O78" s="27">
        <v>0</v>
      </c>
      <c r="P78" s="27">
        <v>0</v>
      </c>
      <c r="Q78" s="27"/>
      <c r="R78" s="27"/>
    </row>
    <row r="79" spans="1:19">
      <c r="A79" s="20"/>
      <c r="B79" s="19"/>
      <c r="C79" s="417" t="s">
        <v>21</v>
      </c>
      <c r="D79" s="10"/>
      <c r="E79" s="531">
        <f>D78</f>
        <v>25855000</v>
      </c>
      <c r="F79" s="532"/>
      <c r="G79" s="532"/>
      <c r="H79" s="533"/>
      <c r="K79" s="20"/>
      <c r="L79" s="19"/>
      <c r="M79" s="422" t="s">
        <v>21</v>
      </c>
      <c r="N79" s="10"/>
      <c r="O79" s="531">
        <f>N78</f>
        <v>25855000</v>
      </c>
      <c r="P79" s="532"/>
      <c r="Q79" s="532"/>
      <c r="R79" s="533"/>
    </row>
    <row r="80" spans="1:19">
      <c r="A80" s="525" t="s">
        <v>35</v>
      </c>
      <c r="B80" s="525"/>
      <c r="C80" s="525"/>
      <c r="D80" s="416"/>
      <c r="E80" s="526">
        <f>+E29+E49+E61+E73+E79</f>
        <v>246782300</v>
      </c>
      <c r="F80" s="526"/>
      <c r="G80" s="526"/>
      <c r="H80" s="526"/>
      <c r="K80" s="525" t="s">
        <v>35</v>
      </c>
      <c r="L80" s="525"/>
      <c r="M80" s="525"/>
      <c r="N80" s="419"/>
      <c r="O80" s="526">
        <f>+O29+O49+O61+O73+O79</f>
        <v>153621500</v>
      </c>
      <c r="P80" s="526"/>
      <c r="Q80" s="526"/>
      <c r="R80" s="526"/>
    </row>
    <row r="81" spans="1:18">
      <c r="A81" s="522" t="s">
        <v>36</v>
      </c>
      <c r="B81" s="522"/>
      <c r="C81" s="522"/>
      <c r="D81" s="415"/>
      <c r="E81" s="523">
        <f>+E24+E80</f>
        <v>253922317</v>
      </c>
      <c r="F81" s="523"/>
      <c r="G81" s="523"/>
      <c r="H81" s="523"/>
      <c r="K81" s="522" t="s">
        <v>36</v>
      </c>
      <c r="L81" s="522"/>
      <c r="M81" s="522"/>
      <c r="N81" s="421"/>
      <c r="O81" s="523">
        <f>+O24+O80</f>
        <v>153621500</v>
      </c>
      <c r="P81" s="523"/>
      <c r="Q81" s="523"/>
      <c r="R81" s="523"/>
    </row>
    <row r="82" spans="1:18">
      <c r="A82" s="37"/>
      <c r="B82" s="38"/>
      <c r="C82" s="39"/>
      <c r="D82" s="47"/>
      <c r="E82" s="39"/>
      <c r="F82" s="39"/>
      <c r="G82" s="39"/>
      <c r="H82" s="39"/>
      <c r="K82" s="37"/>
      <c r="L82" s="38"/>
      <c r="M82" s="39"/>
      <c r="N82" s="47"/>
      <c r="O82" s="39"/>
      <c r="P82" s="39"/>
      <c r="Q82" s="39"/>
      <c r="R82" s="39"/>
    </row>
    <row r="83" spans="1:18">
      <c r="A83" s="519" t="s">
        <v>13</v>
      </c>
      <c r="B83" s="520"/>
      <c r="C83" s="520"/>
      <c r="D83" s="520"/>
      <c r="E83" s="521"/>
      <c r="F83" s="39"/>
      <c r="G83" s="39"/>
      <c r="H83" s="40"/>
      <c r="K83" s="519" t="s">
        <v>13</v>
      </c>
      <c r="L83" s="520"/>
      <c r="M83" s="520"/>
      <c r="N83" s="520"/>
      <c r="O83" s="521"/>
      <c r="P83" s="39"/>
      <c r="Q83" s="39"/>
      <c r="R83" s="40"/>
    </row>
    <row r="84" spans="1:18">
      <c r="A84" s="41" t="s">
        <v>39</v>
      </c>
      <c r="B84" s="42" t="s">
        <v>40</v>
      </c>
      <c r="C84" s="43" t="s">
        <v>980</v>
      </c>
      <c r="D84" s="43" t="s">
        <v>42</v>
      </c>
      <c r="E84" s="43" t="s">
        <v>43</v>
      </c>
      <c r="F84" s="39"/>
      <c r="G84" s="39"/>
      <c r="H84" s="39"/>
      <c r="K84" s="41" t="s">
        <v>39</v>
      </c>
      <c r="L84" s="42" t="s">
        <v>40</v>
      </c>
      <c r="M84" s="43" t="s">
        <v>980</v>
      </c>
      <c r="N84" s="43" t="s">
        <v>42</v>
      </c>
      <c r="O84" s="43" t="s">
        <v>43</v>
      </c>
      <c r="P84" s="39"/>
      <c r="Q84" s="39"/>
      <c r="R84" s="39"/>
    </row>
    <row r="85" spans="1:18">
      <c r="A85" s="41"/>
      <c r="B85" s="110"/>
      <c r="C85" s="45"/>
      <c r="D85" s="46"/>
      <c r="E85" s="46"/>
      <c r="F85" s="39"/>
      <c r="G85" s="39"/>
      <c r="H85" s="39"/>
      <c r="K85" s="41"/>
      <c r="L85" s="110">
        <v>46248</v>
      </c>
      <c r="M85" s="45" t="s">
        <v>1375</v>
      </c>
      <c r="N85" s="46">
        <v>25855000</v>
      </c>
      <c r="O85" s="46"/>
      <c r="P85" s="39"/>
      <c r="Q85" s="39"/>
      <c r="R85" s="39"/>
    </row>
    <row r="86" spans="1:18">
      <c r="A86" s="41"/>
      <c r="B86" s="44"/>
      <c r="C86" s="45"/>
      <c r="D86" s="46"/>
      <c r="E86" s="46"/>
      <c r="F86" s="39"/>
      <c r="G86" s="39"/>
      <c r="H86" s="40"/>
      <c r="K86" s="41"/>
      <c r="L86" s="110">
        <v>46248</v>
      </c>
      <c r="M86" s="45" t="s">
        <v>1376</v>
      </c>
      <c r="N86" s="46">
        <v>20000000</v>
      </c>
      <c r="O86" s="46"/>
      <c r="P86" s="39"/>
      <c r="Q86" s="39"/>
      <c r="R86" s="40"/>
    </row>
    <row r="87" spans="1:18">
      <c r="A87" s="41"/>
      <c r="B87" s="44"/>
      <c r="C87" s="46"/>
      <c r="D87" s="46"/>
      <c r="E87" s="46"/>
      <c r="F87" s="39"/>
      <c r="G87" s="39"/>
      <c r="H87" s="39"/>
      <c r="K87" s="41"/>
      <c r="L87" s="110">
        <v>46248</v>
      </c>
      <c r="M87" s="46" t="s">
        <v>1377</v>
      </c>
      <c r="N87" s="46">
        <v>100000000</v>
      </c>
      <c r="O87" s="46"/>
      <c r="P87" s="39"/>
      <c r="Q87" s="39"/>
      <c r="R87" s="39"/>
    </row>
    <row r="88" spans="1:18">
      <c r="A88" s="41"/>
      <c r="B88" s="44"/>
      <c r="C88" s="327"/>
      <c r="D88" s="46"/>
      <c r="E88" s="46"/>
      <c r="F88" s="39"/>
      <c r="G88" s="39"/>
      <c r="H88" s="39"/>
      <c r="K88" s="41"/>
      <c r="L88" s="44"/>
      <c r="M88" s="327"/>
      <c r="N88" s="46"/>
      <c r="O88" s="46"/>
      <c r="P88" s="39"/>
      <c r="Q88" s="39"/>
      <c r="R88" s="39"/>
    </row>
    <row r="89" spans="1:18">
      <c r="A89" s="41"/>
      <c r="B89" s="44"/>
      <c r="C89" s="46"/>
      <c r="D89" s="48"/>
      <c r="E89" s="46"/>
      <c r="F89" s="39"/>
      <c r="G89" s="39"/>
      <c r="H89" s="39"/>
      <c r="K89" s="41"/>
      <c r="L89" s="44"/>
      <c r="M89" s="46"/>
      <c r="N89" s="48"/>
      <c r="O89" s="46"/>
      <c r="P89" s="39"/>
      <c r="Q89" s="39"/>
      <c r="R89" s="39"/>
    </row>
    <row r="90" spans="1:18">
      <c r="A90" s="49"/>
      <c r="B90" s="50"/>
      <c r="C90" s="51" t="s">
        <v>44</v>
      </c>
      <c r="D90" s="51">
        <f>SUM(D85:D89)</f>
        <v>0</v>
      </c>
      <c r="E90" s="52"/>
      <c r="F90" s="39"/>
      <c r="G90" s="39"/>
      <c r="H90" s="39"/>
      <c r="K90" s="49"/>
      <c r="L90" s="50"/>
      <c r="M90" s="51" t="s">
        <v>44</v>
      </c>
      <c r="N90" s="51">
        <f>SUM(N85:N89)</f>
        <v>145855000</v>
      </c>
      <c r="O90" s="52"/>
      <c r="P90" s="39"/>
      <c r="Q90" s="39"/>
      <c r="R90" s="39"/>
    </row>
    <row r="91" spans="1:18">
      <c r="A91" s="53"/>
      <c r="B91" s="54"/>
      <c r="C91" s="55" t="s">
        <v>779</v>
      </c>
      <c r="D91" s="116"/>
      <c r="E91" s="3"/>
      <c r="F91" s="39"/>
      <c r="G91" s="39"/>
      <c r="H91" s="39"/>
      <c r="K91" s="53"/>
      <c r="L91" s="54"/>
      <c r="M91" s="55" t="s">
        <v>779</v>
      </c>
      <c r="N91" s="116">
        <f>+N90-O81</f>
        <v>-7766500</v>
      </c>
      <c r="O91" s="3"/>
      <c r="P91" s="39"/>
      <c r="Q91" s="39"/>
      <c r="R91" s="39"/>
    </row>
  </sheetData>
  <mergeCells count="50">
    <mergeCell ref="K83:O83"/>
    <mergeCell ref="K74:R74"/>
    <mergeCell ref="O79:R79"/>
    <mergeCell ref="K80:M80"/>
    <mergeCell ref="O80:R80"/>
    <mergeCell ref="K81:M81"/>
    <mergeCell ref="O81:R81"/>
    <mergeCell ref="O49:R49"/>
    <mergeCell ref="K50:R50"/>
    <mergeCell ref="O61:R61"/>
    <mergeCell ref="K62:R62"/>
    <mergeCell ref="O73:R73"/>
    <mergeCell ref="K24:N24"/>
    <mergeCell ref="O24:R24"/>
    <mergeCell ref="K25:R25"/>
    <mergeCell ref="O29:R29"/>
    <mergeCell ref="K30:R30"/>
    <mergeCell ref="K3:R3"/>
    <mergeCell ref="K12:Q12"/>
    <mergeCell ref="K13:R13"/>
    <mergeCell ref="K14:K15"/>
    <mergeCell ref="L14:L15"/>
    <mergeCell ref="M14:M15"/>
    <mergeCell ref="N14:N15"/>
    <mergeCell ref="O14:R14"/>
    <mergeCell ref="A3:H3"/>
    <mergeCell ref="A12:G12"/>
    <mergeCell ref="A13:H13"/>
    <mergeCell ref="A14:A15"/>
    <mergeCell ref="B14:B15"/>
    <mergeCell ref="C14:C15"/>
    <mergeCell ref="D14:D15"/>
    <mergeCell ref="E14:H14"/>
    <mergeCell ref="A30:H30"/>
    <mergeCell ref="E49:H49"/>
    <mergeCell ref="A50:H50"/>
    <mergeCell ref="E61:H61"/>
    <mergeCell ref="A24:D24"/>
    <mergeCell ref="E24:H24"/>
    <mergeCell ref="A25:H25"/>
    <mergeCell ref="E29:H29"/>
    <mergeCell ref="A81:C81"/>
    <mergeCell ref="E81:H81"/>
    <mergeCell ref="A83:E83"/>
    <mergeCell ref="A62:H62"/>
    <mergeCell ref="E73:H73"/>
    <mergeCell ref="A74:H74"/>
    <mergeCell ref="E79:H79"/>
    <mergeCell ref="A80:C80"/>
    <mergeCell ref="E80:H80"/>
  </mergeCells>
  <pageMargins left="0.47244094488188981" right="0.23622047244094491" top="0.43307086614173229" bottom="0.31496062992125984" header="0.31496062992125984" footer="0.15748031496062992"/>
  <pageSetup paperSize="9" scale="8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30"/>
  <sheetViews>
    <sheetView workbookViewId="0">
      <selection sqref="A1:N1048576"/>
    </sheetView>
  </sheetViews>
  <sheetFormatPr defaultRowHeight="15"/>
  <cols>
    <col min="1" max="1" width="26.5703125" bestFit="1" customWidth="1"/>
    <col min="2" max="2" width="12.5703125" style="77" bestFit="1" customWidth="1"/>
    <col min="3" max="3" width="23.28515625" bestFit="1" customWidth="1"/>
    <col min="4" max="4" width="10.5703125" bestFit="1" customWidth="1"/>
    <col min="5" max="5" width="32.5703125" bestFit="1" customWidth="1"/>
    <col min="6" max="6" width="11.5703125" bestFit="1" customWidth="1"/>
    <col min="7" max="7" width="35.42578125" bestFit="1" customWidth="1"/>
    <col min="8" max="8" width="12.5703125" bestFit="1" customWidth="1"/>
  </cols>
  <sheetData>
    <row r="1" spans="1:10">
      <c r="A1" s="57" t="s">
        <v>47</v>
      </c>
      <c r="B1" s="58"/>
      <c r="C1" s="58" t="s">
        <v>48</v>
      </c>
      <c r="D1" s="58"/>
      <c r="E1" s="58" t="s">
        <v>49</v>
      </c>
      <c r="F1" s="58"/>
      <c r="G1" s="540" t="s">
        <v>50</v>
      </c>
      <c r="H1" s="541"/>
      <c r="I1" s="58" t="s">
        <v>51</v>
      </c>
      <c r="J1" s="59"/>
    </row>
    <row r="2" spans="1:10">
      <c r="A2" s="22" t="s">
        <v>1274</v>
      </c>
      <c r="B2" s="22">
        <v>4865000</v>
      </c>
      <c r="C2" s="22" t="s">
        <v>1121</v>
      </c>
      <c r="D2" s="22">
        <v>550000</v>
      </c>
      <c r="E2" s="15" t="s">
        <v>1361</v>
      </c>
      <c r="F2" s="23">
        <v>582500</v>
      </c>
      <c r="G2" s="22" t="s">
        <v>1345</v>
      </c>
      <c r="H2" s="22">
        <v>1050000</v>
      </c>
      <c r="I2" s="14"/>
      <c r="J2" s="15"/>
    </row>
    <row r="3" spans="1:10">
      <c r="A3" s="22" t="s">
        <v>1120</v>
      </c>
      <c r="B3" s="22">
        <v>1540000</v>
      </c>
      <c r="C3" s="23" t="s">
        <v>1127</v>
      </c>
      <c r="D3" s="23">
        <v>600000</v>
      </c>
      <c r="E3" s="23" t="s">
        <v>1291</v>
      </c>
      <c r="F3" s="23">
        <v>8657500</v>
      </c>
      <c r="G3" s="22" t="s">
        <v>1275</v>
      </c>
      <c r="H3" s="22">
        <v>50000000</v>
      </c>
      <c r="I3" s="14"/>
      <c r="J3" s="15"/>
    </row>
    <row r="4" spans="1:10">
      <c r="A4" s="23" t="s">
        <v>1279</v>
      </c>
      <c r="B4" s="23">
        <v>300000</v>
      </c>
      <c r="C4" s="23"/>
      <c r="D4" s="23"/>
      <c r="E4" s="23" t="s">
        <v>1175</v>
      </c>
      <c r="F4" s="23">
        <v>36000</v>
      </c>
      <c r="G4" s="22" t="s">
        <v>1276</v>
      </c>
      <c r="H4" s="22">
        <v>10000000</v>
      </c>
      <c r="I4" s="14"/>
      <c r="J4" s="15"/>
    </row>
    <row r="5" spans="1:10">
      <c r="A5" s="23" t="s">
        <v>1278</v>
      </c>
      <c r="B5" s="23">
        <v>4020000</v>
      </c>
      <c r="C5" s="23"/>
      <c r="D5" s="23"/>
      <c r="E5" s="23" t="s">
        <v>1326</v>
      </c>
      <c r="F5" s="23">
        <v>125000</v>
      </c>
      <c r="G5" s="23" t="s">
        <v>1282</v>
      </c>
      <c r="H5" s="23">
        <v>10000000</v>
      </c>
      <c r="I5" s="14"/>
      <c r="J5" s="15"/>
    </row>
    <row r="6" spans="1:10">
      <c r="A6" s="23" t="s">
        <v>1363</v>
      </c>
      <c r="B6" s="23">
        <v>600000</v>
      </c>
      <c r="C6" s="15"/>
      <c r="D6" s="22"/>
      <c r="E6" s="24" t="s">
        <v>1368</v>
      </c>
      <c r="F6" s="23">
        <v>250000</v>
      </c>
      <c r="G6" s="23" t="s">
        <v>1283</v>
      </c>
      <c r="H6" s="23">
        <v>5000000</v>
      </c>
      <c r="I6" s="14"/>
      <c r="J6" s="15"/>
    </row>
    <row r="7" spans="1:10">
      <c r="A7" s="23" t="s">
        <v>1364</v>
      </c>
      <c r="B7" s="23">
        <v>500000</v>
      </c>
      <c r="C7" s="15"/>
      <c r="D7" s="22"/>
      <c r="E7" s="23"/>
      <c r="F7" s="23"/>
      <c r="G7" s="23" t="s">
        <v>1284</v>
      </c>
      <c r="H7" s="23">
        <v>20000000</v>
      </c>
      <c r="I7" s="14"/>
      <c r="J7" s="15"/>
    </row>
    <row r="8" spans="1:10">
      <c r="A8" s="23" t="s">
        <v>1366</v>
      </c>
      <c r="B8" s="23">
        <v>35000</v>
      </c>
      <c r="C8" s="15"/>
      <c r="D8" s="22"/>
      <c r="E8" s="15"/>
      <c r="F8" s="23"/>
      <c r="G8" s="23" t="s">
        <v>1367</v>
      </c>
      <c r="H8" s="22">
        <v>3000000</v>
      </c>
      <c r="I8" s="14"/>
      <c r="J8" s="15"/>
    </row>
    <row r="9" spans="1:10">
      <c r="A9" s="23"/>
      <c r="B9" s="23"/>
      <c r="C9" s="15"/>
      <c r="D9" s="22"/>
      <c r="E9" s="15"/>
      <c r="F9" s="23"/>
      <c r="G9" s="24" t="s">
        <v>1369</v>
      </c>
      <c r="H9" s="23">
        <v>1200000</v>
      </c>
      <c r="I9" s="14"/>
      <c r="J9" s="15"/>
    </row>
    <row r="10" spans="1:10">
      <c r="A10" s="23"/>
      <c r="B10" s="23"/>
      <c r="C10" s="15"/>
      <c r="D10" s="22"/>
      <c r="E10" s="15"/>
      <c r="F10" s="23"/>
      <c r="G10" s="24" t="s">
        <v>1370</v>
      </c>
      <c r="H10" s="23">
        <v>1500000</v>
      </c>
      <c r="I10" s="14"/>
      <c r="J10" s="15"/>
    </row>
    <row r="11" spans="1:10">
      <c r="A11" s="22"/>
      <c r="B11" s="22"/>
      <c r="C11" s="15"/>
      <c r="D11" s="22"/>
      <c r="E11" s="15"/>
      <c r="F11" s="23"/>
      <c r="G11" s="24" t="s">
        <v>1371</v>
      </c>
      <c r="H11" s="23">
        <v>3355500</v>
      </c>
      <c r="I11" s="14"/>
      <c r="J11" s="15"/>
    </row>
    <row r="12" spans="1:10">
      <c r="A12" s="22"/>
      <c r="B12" s="22"/>
      <c r="C12" s="15"/>
      <c r="D12" s="22"/>
      <c r="E12" s="15"/>
      <c r="F12" s="23"/>
      <c r="G12" s="22" t="s">
        <v>1372</v>
      </c>
      <c r="H12" s="22">
        <v>25855000</v>
      </c>
      <c r="I12" s="14"/>
      <c r="J12" s="15"/>
    </row>
    <row r="13" spans="1:10">
      <c r="A13" s="22"/>
      <c r="B13" s="22"/>
      <c r="C13" s="15"/>
      <c r="D13" s="22"/>
      <c r="E13" s="15"/>
      <c r="F13" s="23"/>
      <c r="G13" s="22"/>
      <c r="H13" s="22"/>
      <c r="I13" s="14"/>
      <c r="J13" s="15"/>
    </row>
    <row r="14" spans="1:10">
      <c r="A14" s="23"/>
      <c r="B14" s="23"/>
      <c r="C14" s="15"/>
      <c r="D14" s="22"/>
      <c r="E14" s="15"/>
      <c r="F14" s="23"/>
      <c r="G14" s="22"/>
      <c r="H14" s="22"/>
      <c r="I14" s="14"/>
      <c r="J14" s="15"/>
    </row>
    <row r="15" spans="1:10">
      <c r="A15" s="23"/>
      <c r="B15" s="23"/>
      <c r="C15" s="194"/>
      <c r="D15" s="194"/>
      <c r="E15" s="194"/>
      <c r="F15" s="194"/>
      <c r="G15" s="15"/>
      <c r="H15" s="23"/>
      <c r="I15" s="193"/>
      <c r="J15" s="194"/>
    </row>
    <row r="16" spans="1:10">
      <c r="A16" s="68"/>
      <c r="B16" s="69"/>
      <c r="C16" s="69"/>
      <c r="D16" s="69"/>
      <c r="E16" s="69"/>
      <c r="F16" s="69"/>
      <c r="G16" s="23"/>
      <c r="H16" s="23"/>
      <c r="I16" s="68"/>
      <c r="J16" s="69"/>
    </row>
    <row r="17" spans="1:10">
      <c r="A17" s="68"/>
      <c r="B17" s="69"/>
      <c r="C17" s="69"/>
      <c r="D17" s="69"/>
      <c r="E17" s="69"/>
      <c r="F17" s="69"/>
      <c r="G17" s="119"/>
      <c r="H17" s="120"/>
      <c r="I17" s="68"/>
      <c r="J17" s="69"/>
    </row>
    <row r="18" spans="1:10">
      <c r="A18" s="70"/>
      <c r="B18" s="71">
        <f t="shared" ref="B18:J18" si="0">SUM(B2:B16)</f>
        <v>11860000</v>
      </c>
      <c r="C18" s="71">
        <f t="shared" si="0"/>
        <v>0</v>
      </c>
      <c r="D18" s="71">
        <f t="shared" si="0"/>
        <v>1150000</v>
      </c>
      <c r="E18" s="71">
        <f t="shared" si="0"/>
        <v>0</v>
      </c>
      <c r="F18" s="71">
        <f t="shared" si="0"/>
        <v>9651000</v>
      </c>
      <c r="G18" s="71">
        <f t="shared" si="0"/>
        <v>0</v>
      </c>
      <c r="H18" s="71">
        <f t="shared" si="0"/>
        <v>130960500</v>
      </c>
      <c r="I18" s="71">
        <f t="shared" si="0"/>
        <v>0</v>
      </c>
      <c r="J18" s="71">
        <f t="shared" si="0"/>
        <v>0</v>
      </c>
    </row>
    <row r="19" spans="1:10">
      <c r="D19" s="77">
        <v>100000</v>
      </c>
      <c r="H19" s="77"/>
    </row>
    <row r="20" spans="1:10">
      <c r="D20" s="77"/>
      <c r="H20" s="77"/>
    </row>
    <row r="21" spans="1:10">
      <c r="D21" s="77"/>
      <c r="H21" s="77"/>
    </row>
    <row r="22" spans="1:10">
      <c r="D22" s="77">
        <f>+D18-D19</f>
        <v>1050000</v>
      </c>
      <c r="H22" s="77"/>
    </row>
    <row r="28" spans="1:10">
      <c r="B28" s="77">
        <f>+B18+D18+F18+H18</f>
        <v>153621500</v>
      </c>
    </row>
    <row r="29" spans="1:10">
      <c r="B29" s="77">
        <v>153621500</v>
      </c>
    </row>
    <row r="30" spans="1:10">
      <c r="B30" s="77">
        <f>+B29-B28</f>
        <v>0</v>
      </c>
    </row>
  </sheetData>
  <mergeCells count="1">
    <mergeCell ref="G1:H1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M123"/>
  <sheetViews>
    <sheetView view="pageBreakPreview" topLeftCell="AH34" zoomScaleNormal="100" zoomScaleSheetLayoutView="100" workbookViewId="0">
      <selection activeCell="AH43" sqref="AH43"/>
    </sheetView>
  </sheetViews>
  <sheetFormatPr defaultRowHeight="15"/>
  <cols>
    <col min="3" max="3" width="52.140625" customWidth="1"/>
    <col min="4" max="4" width="12" bestFit="1" customWidth="1"/>
    <col min="8" max="8" width="12" bestFit="1" customWidth="1"/>
    <col min="13" max="13" width="52.140625" customWidth="1"/>
    <col min="14" max="14" width="12" bestFit="1" customWidth="1"/>
    <col min="18" max="18" width="12" bestFit="1" customWidth="1"/>
    <col min="23" max="23" width="52.140625" customWidth="1"/>
    <col min="24" max="24" width="12" bestFit="1" customWidth="1"/>
    <col min="28" max="28" width="12" bestFit="1" customWidth="1"/>
    <col min="33" max="33" width="10.42578125" bestFit="1" customWidth="1"/>
    <col min="34" max="34" width="52.140625" customWidth="1"/>
    <col min="35" max="35" width="12" bestFit="1" customWidth="1"/>
    <col min="39" max="39" width="12" bestFit="1" customWidth="1"/>
  </cols>
  <sheetData>
    <row r="1" spans="1:39" ht="15.75">
      <c r="A1" s="347" t="s">
        <v>0</v>
      </c>
      <c r="B1" s="2"/>
      <c r="C1" s="3"/>
      <c r="D1" s="3"/>
      <c r="E1" s="3"/>
      <c r="F1" s="3"/>
      <c r="G1" s="3"/>
      <c r="H1" s="3"/>
      <c r="K1" s="347" t="s">
        <v>0</v>
      </c>
      <c r="L1" s="2"/>
      <c r="M1" s="3"/>
      <c r="N1" s="3"/>
      <c r="O1" s="3"/>
      <c r="P1" s="3"/>
      <c r="Q1" s="3"/>
      <c r="R1" s="3"/>
      <c r="U1" s="347" t="s">
        <v>0</v>
      </c>
      <c r="V1" s="2"/>
      <c r="W1" s="3"/>
      <c r="X1" s="3"/>
      <c r="Y1" s="3"/>
      <c r="Z1" s="3"/>
      <c r="AA1" s="3"/>
      <c r="AB1" s="3"/>
      <c r="AF1" s="347" t="s">
        <v>0</v>
      </c>
      <c r="AG1" s="2"/>
      <c r="AH1" s="3"/>
      <c r="AI1" s="3"/>
      <c r="AJ1" s="3"/>
      <c r="AK1" s="3"/>
      <c r="AL1" s="3"/>
      <c r="AM1" s="3"/>
    </row>
    <row r="2" spans="1:39" ht="15.75">
      <c r="A2" s="347" t="s">
        <v>1402</v>
      </c>
      <c r="B2" s="2"/>
      <c r="C2" s="3"/>
      <c r="D2" s="3"/>
      <c r="E2" s="3"/>
      <c r="F2" s="3"/>
      <c r="G2" s="3"/>
      <c r="H2" s="3"/>
      <c r="K2" s="347" t="s">
        <v>1402</v>
      </c>
      <c r="L2" s="2"/>
      <c r="M2" s="3"/>
      <c r="N2" s="3"/>
      <c r="O2" s="3"/>
      <c r="P2" s="3"/>
      <c r="Q2" s="3"/>
      <c r="R2" s="3"/>
      <c r="U2" s="347" t="s">
        <v>1413</v>
      </c>
      <c r="V2" s="2"/>
      <c r="W2" s="3"/>
      <c r="X2" s="3"/>
      <c r="Y2" s="3"/>
      <c r="Z2" s="3"/>
      <c r="AA2" s="3"/>
      <c r="AB2" s="3"/>
      <c r="AF2" s="347" t="s">
        <v>1426</v>
      </c>
      <c r="AG2" s="2"/>
      <c r="AH2" s="3"/>
      <c r="AI2" s="3"/>
      <c r="AJ2" s="3"/>
      <c r="AK2" s="3"/>
      <c r="AL2" s="3"/>
      <c r="AM2" s="3"/>
    </row>
    <row r="3" spans="1:39">
      <c r="A3" s="534" t="s">
        <v>1</v>
      </c>
      <c r="B3" s="534"/>
      <c r="C3" s="534"/>
      <c r="D3" s="534"/>
      <c r="E3" s="534"/>
      <c r="F3" s="534"/>
      <c r="G3" s="534"/>
      <c r="H3" s="534"/>
      <c r="K3" s="534" t="s">
        <v>1</v>
      </c>
      <c r="L3" s="534"/>
      <c r="M3" s="534"/>
      <c r="N3" s="534"/>
      <c r="O3" s="534"/>
      <c r="P3" s="534"/>
      <c r="Q3" s="534"/>
      <c r="R3" s="534"/>
      <c r="U3" s="534" t="s">
        <v>1</v>
      </c>
      <c r="V3" s="534"/>
      <c r="W3" s="534"/>
      <c r="X3" s="534"/>
      <c r="Y3" s="534"/>
      <c r="Z3" s="534"/>
      <c r="AA3" s="534"/>
      <c r="AB3" s="534"/>
      <c r="AF3" s="534" t="s">
        <v>1</v>
      </c>
      <c r="AG3" s="534"/>
      <c r="AH3" s="534"/>
      <c r="AI3" s="534"/>
      <c r="AJ3" s="534"/>
      <c r="AK3" s="534"/>
      <c r="AL3" s="534"/>
      <c r="AM3" s="534"/>
    </row>
    <row r="4" spans="1:39">
      <c r="A4" s="4"/>
      <c r="B4" s="5"/>
      <c r="C4" s="6" t="s">
        <v>2</v>
      </c>
      <c r="D4" s="77">
        <v>0</v>
      </c>
      <c r="E4" s="6"/>
      <c r="F4" s="6"/>
      <c r="G4" s="6"/>
      <c r="H4" s="6"/>
      <c r="K4" s="4"/>
      <c r="L4" s="5"/>
      <c r="M4" s="6" t="s">
        <v>2</v>
      </c>
      <c r="N4" s="77">
        <v>0</v>
      </c>
      <c r="O4" s="6"/>
      <c r="P4" s="6"/>
      <c r="Q4" s="6"/>
      <c r="R4" s="6"/>
      <c r="U4" s="4"/>
      <c r="V4" s="5"/>
      <c r="W4" s="6" t="s">
        <v>2</v>
      </c>
      <c r="X4" s="77">
        <v>0</v>
      </c>
      <c r="Y4" s="6"/>
      <c r="Z4" s="6"/>
      <c r="AA4" s="6"/>
      <c r="AB4" s="6"/>
      <c r="AF4" s="4"/>
      <c r="AG4" s="5"/>
      <c r="AH4" s="6" t="s">
        <v>2</v>
      </c>
      <c r="AI4" s="77">
        <v>0</v>
      </c>
      <c r="AJ4" s="6"/>
      <c r="AK4" s="6"/>
      <c r="AL4" s="6"/>
      <c r="AM4" s="6"/>
    </row>
    <row r="5" spans="1:39">
      <c r="A5" s="4"/>
      <c r="B5" s="5"/>
      <c r="C5" s="6" t="s">
        <v>590</v>
      </c>
      <c r="D5" s="7" t="s">
        <v>849</v>
      </c>
      <c r="E5" s="6"/>
      <c r="F5" s="6"/>
      <c r="G5" s="6"/>
      <c r="H5" s="6"/>
      <c r="K5" s="4"/>
      <c r="L5" s="5"/>
      <c r="M5" s="6" t="s">
        <v>590</v>
      </c>
      <c r="N5" s="7" t="s">
        <v>849</v>
      </c>
      <c r="O5" s="6"/>
      <c r="P5" s="6"/>
      <c r="Q5" s="6"/>
      <c r="R5" s="6"/>
      <c r="U5" s="4"/>
      <c r="V5" s="5"/>
      <c r="W5" s="6" t="s">
        <v>590</v>
      </c>
      <c r="X5" s="7" t="s">
        <v>849</v>
      </c>
      <c r="Y5" s="6"/>
      <c r="Z5" s="6"/>
      <c r="AA5" s="6"/>
      <c r="AB5" s="6"/>
      <c r="AF5" s="4"/>
      <c r="AG5" s="5"/>
      <c r="AH5" s="6" t="s">
        <v>590</v>
      </c>
      <c r="AI5" s="7" t="s">
        <v>849</v>
      </c>
      <c r="AJ5" s="6"/>
      <c r="AK5" s="6"/>
      <c r="AL5" s="6"/>
      <c r="AM5" s="6"/>
    </row>
    <row r="6" spans="1:39">
      <c r="A6" s="4"/>
      <c r="B6" s="5"/>
      <c r="C6" s="6" t="s">
        <v>3</v>
      </c>
      <c r="D6" s="8">
        <v>76704815</v>
      </c>
      <c r="E6" s="6"/>
      <c r="F6" s="6"/>
      <c r="G6" s="6"/>
      <c r="H6" s="6"/>
      <c r="K6" s="4"/>
      <c r="L6" s="5"/>
      <c r="M6" s="6" t="s">
        <v>3</v>
      </c>
      <c r="N6" s="8">
        <v>76704815</v>
      </c>
      <c r="O6" s="6"/>
      <c r="P6" s="6"/>
      <c r="Q6" s="6"/>
      <c r="R6" s="6"/>
      <c r="U6" s="4"/>
      <c r="V6" s="5"/>
      <c r="W6" s="6" t="s">
        <v>3</v>
      </c>
      <c r="X6" s="8">
        <v>76704815</v>
      </c>
      <c r="Y6" s="6"/>
      <c r="Z6" s="6"/>
      <c r="AA6" s="6"/>
      <c r="AB6" s="6"/>
      <c r="AF6" s="4"/>
      <c r="AG6" s="5"/>
      <c r="AH6" s="6" t="s">
        <v>3</v>
      </c>
      <c r="AI6" s="8">
        <v>76704815</v>
      </c>
      <c r="AJ6" s="6"/>
      <c r="AK6" s="6"/>
      <c r="AL6" s="6"/>
      <c r="AM6" s="6"/>
    </row>
    <row r="7" spans="1:39">
      <c r="A7" s="4"/>
      <c r="B7" s="5"/>
      <c r="C7" s="6" t="s">
        <v>4</v>
      </c>
      <c r="D7" s="115">
        <v>1139810</v>
      </c>
      <c r="E7" s="6"/>
      <c r="F7" s="6"/>
      <c r="G7" s="6"/>
      <c r="H7" s="6"/>
      <c r="K7" s="4"/>
      <c r="L7" s="5"/>
      <c r="M7" s="6" t="s">
        <v>4</v>
      </c>
      <c r="N7" s="115">
        <v>1139810</v>
      </c>
      <c r="O7" s="6"/>
      <c r="P7" s="6"/>
      <c r="Q7" s="6"/>
      <c r="R7" s="6"/>
      <c r="U7" s="4"/>
      <c r="V7" s="5"/>
      <c r="W7" s="6" t="s">
        <v>4</v>
      </c>
      <c r="X7" s="115">
        <v>1139810</v>
      </c>
      <c r="Y7" s="6"/>
      <c r="Z7" s="6"/>
      <c r="AA7" s="6"/>
      <c r="AB7" s="6"/>
      <c r="AF7" s="4"/>
      <c r="AG7" s="5"/>
      <c r="AH7" s="6" t="s">
        <v>4</v>
      </c>
      <c r="AI7" s="115">
        <v>1139810</v>
      </c>
      <c r="AJ7" s="6"/>
      <c r="AK7" s="6"/>
      <c r="AL7" s="6"/>
      <c r="AM7" s="6"/>
    </row>
    <row r="8" spans="1:39">
      <c r="A8" s="4"/>
      <c r="B8" s="5"/>
      <c r="C8" s="6" t="s">
        <v>5</v>
      </c>
      <c r="D8" s="6">
        <v>1146153</v>
      </c>
      <c r="E8" s="6"/>
      <c r="F8" s="6"/>
      <c r="G8" s="6"/>
      <c r="H8" s="6"/>
      <c r="K8" s="4"/>
      <c r="L8" s="5"/>
      <c r="M8" s="6" t="s">
        <v>5</v>
      </c>
      <c r="N8" s="6">
        <v>1146153</v>
      </c>
      <c r="O8" s="6"/>
      <c r="P8" s="6"/>
      <c r="Q8" s="6"/>
      <c r="R8" s="6"/>
      <c r="U8" s="4"/>
      <c r="V8" s="5"/>
      <c r="W8" s="6" t="s">
        <v>5</v>
      </c>
      <c r="X8" s="6">
        <v>1146153</v>
      </c>
      <c r="Y8" s="6"/>
      <c r="Z8" s="6"/>
      <c r="AA8" s="6"/>
      <c r="AB8" s="6"/>
      <c r="AF8" s="4"/>
      <c r="AG8" s="5"/>
      <c r="AH8" s="6" t="s">
        <v>5</v>
      </c>
      <c r="AI8" s="6">
        <v>1146153</v>
      </c>
      <c r="AJ8" s="6"/>
      <c r="AK8" s="6"/>
      <c r="AL8" s="6"/>
      <c r="AM8" s="6"/>
    </row>
    <row r="9" spans="1:39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K9" s="4"/>
      <c r="L9" s="5"/>
      <c r="M9" s="6" t="s">
        <v>6</v>
      </c>
      <c r="N9" s="6">
        <v>3297735.5133333281</v>
      </c>
      <c r="O9" s="6"/>
      <c r="P9" s="6"/>
      <c r="Q9" s="6"/>
      <c r="R9" s="6"/>
      <c r="U9" s="4"/>
      <c r="V9" s="5"/>
      <c r="W9" s="6" t="s">
        <v>6</v>
      </c>
      <c r="X9" s="6">
        <v>3297735.5133333281</v>
      </c>
      <c r="Y9" s="6"/>
      <c r="Z9" s="6"/>
      <c r="AA9" s="6"/>
      <c r="AB9" s="6"/>
      <c r="AF9" s="4"/>
      <c r="AG9" s="5"/>
      <c r="AH9" s="6" t="s">
        <v>6</v>
      </c>
      <c r="AI9" s="6">
        <v>3297735.5133333281</v>
      </c>
      <c r="AJ9" s="6"/>
      <c r="AK9" s="6"/>
      <c r="AL9" s="6"/>
      <c r="AM9" s="6"/>
    </row>
    <row r="10" spans="1:39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K10" s="4"/>
      <c r="L10" s="5"/>
      <c r="M10" s="6" t="s">
        <v>7</v>
      </c>
      <c r="N10" s="6">
        <v>2363662</v>
      </c>
      <c r="O10" s="6"/>
      <c r="P10" s="6"/>
      <c r="Q10" s="6"/>
      <c r="R10" s="6"/>
      <c r="U10" s="4"/>
      <c r="V10" s="5"/>
      <c r="W10" s="6" t="s">
        <v>7</v>
      </c>
      <c r="X10" s="6">
        <v>2363662</v>
      </c>
      <c r="Y10" s="6"/>
      <c r="Z10" s="6"/>
      <c r="AA10" s="6"/>
      <c r="AB10" s="6"/>
      <c r="AF10" s="4"/>
      <c r="AG10" s="5"/>
      <c r="AH10" s="6" t="s">
        <v>7</v>
      </c>
      <c r="AI10" s="6">
        <v>2363662</v>
      </c>
      <c r="AJ10" s="6"/>
      <c r="AK10" s="6"/>
      <c r="AL10" s="6"/>
      <c r="AM10" s="6"/>
    </row>
    <row r="11" spans="1:39">
      <c r="A11" s="4"/>
      <c r="B11" s="5"/>
      <c r="C11" s="6"/>
      <c r="D11" s="6"/>
      <c r="E11" s="6"/>
      <c r="F11" s="6"/>
      <c r="G11" s="6"/>
      <c r="H11" s="6"/>
      <c r="K11" s="4"/>
      <c r="L11" s="5"/>
      <c r="M11" s="6"/>
      <c r="N11" s="6"/>
      <c r="O11" s="6"/>
      <c r="P11" s="6"/>
      <c r="Q11" s="6"/>
      <c r="R11" s="6"/>
      <c r="U11" s="4"/>
      <c r="V11" s="5"/>
      <c r="W11" s="6"/>
      <c r="X11" s="6"/>
      <c r="Y11" s="6"/>
      <c r="Z11" s="6"/>
      <c r="AA11" s="6"/>
      <c r="AB11" s="6"/>
      <c r="AF11" s="4"/>
      <c r="AG11" s="5"/>
      <c r="AH11" s="6"/>
      <c r="AI11" s="6"/>
      <c r="AJ11" s="6"/>
      <c r="AK11" s="6"/>
      <c r="AL11" s="6"/>
      <c r="AM11" s="6"/>
    </row>
    <row r="12" spans="1:39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84652175.513333321</v>
      </c>
      <c r="K12" s="531" t="s">
        <v>1071</v>
      </c>
      <c r="L12" s="532"/>
      <c r="M12" s="532"/>
      <c r="N12" s="532"/>
      <c r="O12" s="532"/>
      <c r="P12" s="532"/>
      <c r="Q12" s="533"/>
      <c r="R12" s="10">
        <f>SUM(N4:N10)</f>
        <v>84652175.513333321</v>
      </c>
      <c r="U12" s="531" t="s">
        <v>1071</v>
      </c>
      <c r="V12" s="532"/>
      <c r="W12" s="532"/>
      <c r="X12" s="532"/>
      <c r="Y12" s="532"/>
      <c r="Z12" s="532"/>
      <c r="AA12" s="533"/>
      <c r="AB12" s="10">
        <f>SUM(X4:X10)</f>
        <v>84652175.513333321</v>
      </c>
      <c r="AF12" s="531" t="s">
        <v>1071</v>
      </c>
      <c r="AG12" s="532"/>
      <c r="AH12" s="532"/>
      <c r="AI12" s="532"/>
      <c r="AJ12" s="532"/>
      <c r="AK12" s="532"/>
      <c r="AL12" s="533"/>
      <c r="AM12" s="10">
        <f>SUM(AI4:AI10)</f>
        <v>84652175.513333321</v>
      </c>
    </row>
    <row r="13" spans="1:39">
      <c r="A13" s="535" t="s">
        <v>8</v>
      </c>
      <c r="B13" s="535"/>
      <c r="C13" s="535"/>
      <c r="D13" s="535"/>
      <c r="E13" s="535"/>
      <c r="F13" s="535"/>
      <c r="G13" s="535"/>
      <c r="H13" s="535"/>
      <c r="K13" s="535" t="s">
        <v>8</v>
      </c>
      <c r="L13" s="535"/>
      <c r="M13" s="535"/>
      <c r="N13" s="535"/>
      <c r="O13" s="535"/>
      <c r="P13" s="535"/>
      <c r="Q13" s="535"/>
      <c r="R13" s="535"/>
      <c r="U13" s="535" t="s">
        <v>8</v>
      </c>
      <c r="V13" s="535"/>
      <c r="W13" s="535"/>
      <c r="X13" s="535"/>
      <c r="Y13" s="535"/>
      <c r="Z13" s="535"/>
      <c r="AA13" s="535"/>
      <c r="AB13" s="535"/>
      <c r="AF13" s="535" t="s">
        <v>8</v>
      </c>
      <c r="AG13" s="535"/>
      <c r="AH13" s="535"/>
      <c r="AI13" s="535"/>
      <c r="AJ13" s="535"/>
      <c r="AK13" s="535"/>
      <c r="AL13" s="535"/>
      <c r="AM13" s="535"/>
    </row>
    <row r="14" spans="1:39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K14" s="536" t="s">
        <v>9</v>
      </c>
      <c r="L14" s="537" t="s">
        <v>10</v>
      </c>
      <c r="M14" s="538" t="s">
        <v>11</v>
      </c>
      <c r="N14" s="538" t="s">
        <v>12</v>
      </c>
      <c r="O14" s="530" t="s">
        <v>13</v>
      </c>
      <c r="P14" s="530"/>
      <c r="Q14" s="530"/>
      <c r="R14" s="530"/>
      <c r="U14" s="536" t="s">
        <v>9</v>
      </c>
      <c r="V14" s="537" t="s">
        <v>10</v>
      </c>
      <c r="W14" s="538" t="s">
        <v>11</v>
      </c>
      <c r="X14" s="538" t="s">
        <v>12</v>
      </c>
      <c r="Y14" s="530" t="s">
        <v>13</v>
      </c>
      <c r="Z14" s="530"/>
      <c r="AA14" s="530"/>
      <c r="AB14" s="530"/>
      <c r="AF14" s="536" t="s">
        <v>9</v>
      </c>
      <c r="AG14" s="537" t="s">
        <v>10</v>
      </c>
      <c r="AH14" s="538" t="s">
        <v>11</v>
      </c>
      <c r="AI14" s="538" t="s">
        <v>12</v>
      </c>
      <c r="AJ14" s="530" t="s">
        <v>13</v>
      </c>
      <c r="AK14" s="530"/>
      <c r="AL14" s="530"/>
      <c r="AM14" s="530"/>
    </row>
    <row r="15" spans="1:39">
      <c r="A15" s="536"/>
      <c r="B15" s="537"/>
      <c r="C15" s="538"/>
      <c r="D15" s="538"/>
      <c r="E15" s="426" t="s">
        <v>14</v>
      </c>
      <c r="F15" s="426" t="s">
        <v>15</v>
      </c>
      <c r="G15" s="426" t="s">
        <v>16</v>
      </c>
      <c r="H15" s="426" t="s">
        <v>17</v>
      </c>
      <c r="K15" s="536"/>
      <c r="L15" s="537"/>
      <c r="M15" s="538"/>
      <c r="N15" s="538"/>
      <c r="O15" s="431" t="s">
        <v>14</v>
      </c>
      <c r="P15" s="431" t="s">
        <v>15</v>
      </c>
      <c r="Q15" s="431" t="s">
        <v>16</v>
      </c>
      <c r="R15" s="431" t="s">
        <v>17</v>
      </c>
      <c r="U15" s="536"/>
      <c r="V15" s="537"/>
      <c r="W15" s="538"/>
      <c r="X15" s="538"/>
      <c r="Y15" s="435" t="s">
        <v>14</v>
      </c>
      <c r="Z15" s="435" t="s">
        <v>15</v>
      </c>
      <c r="AA15" s="435" t="s">
        <v>16</v>
      </c>
      <c r="AB15" s="435" t="s">
        <v>17</v>
      </c>
      <c r="AF15" s="536"/>
      <c r="AG15" s="537"/>
      <c r="AH15" s="538"/>
      <c r="AI15" s="538"/>
      <c r="AJ15" s="440" t="s">
        <v>14</v>
      </c>
      <c r="AK15" s="440" t="s">
        <v>15</v>
      </c>
      <c r="AL15" s="440" t="s">
        <v>16</v>
      </c>
      <c r="AM15" s="440" t="s">
        <v>17</v>
      </c>
    </row>
    <row r="16" spans="1:39">
      <c r="A16" s="12"/>
      <c r="B16" s="19" t="s">
        <v>1214</v>
      </c>
      <c r="C16" s="14" t="s">
        <v>1215</v>
      </c>
      <c r="D16" s="15">
        <v>1600000</v>
      </c>
      <c r="E16" s="16"/>
      <c r="F16" s="16"/>
      <c r="G16" s="16"/>
      <c r="H16" s="16"/>
      <c r="K16" s="12"/>
      <c r="L16" s="19" t="s">
        <v>1214</v>
      </c>
      <c r="M16" s="14" t="s">
        <v>1215</v>
      </c>
      <c r="N16" s="15"/>
      <c r="O16" s="16"/>
      <c r="P16" s="16"/>
      <c r="Q16" s="16"/>
      <c r="R16" s="16"/>
      <c r="U16" s="12"/>
      <c r="V16" s="19" t="s">
        <v>1214</v>
      </c>
      <c r="W16" s="14" t="s">
        <v>1215</v>
      </c>
      <c r="X16" s="15"/>
      <c r="Y16" s="16"/>
      <c r="Z16" s="16"/>
      <c r="AA16" s="16"/>
      <c r="AB16" s="16"/>
      <c r="AF16" s="12"/>
      <c r="AG16" s="19" t="s">
        <v>1214</v>
      </c>
      <c r="AH16" s="14" t="s">
        <v>1215</v>
      </c>
      <c r="AI16" s="15"/>
      <c r="AJ16" s="16"/>
      <c r="AK16" s="16"/>
      <c r="AL16" s="16"/>
      <c r="AM16" s="16"/>
    </row>
    <row r="17" spans="1:39">
      <c r="A17" s="12"/>
      <c r="B17" s="19" t="s">
        <v>1214</v>
      </c>
      <c r="C17" s="14" t="s">
        <v>1242</v>
      </c>
      <c r="D17" s="15">
        <v>1250000</v>
      </c>
      <c r="E17" s="16"/>
      <c r="F17" s="16"/>
      <c r="G17" s="16"/>
      <c r="H17" s="16"/>
      <c r="K17" s="12"/>
      <c r="L17" s="19" t="s">
        <v>1214</v>
      </c>
      <c r="M17" s="14" t="s">
        <v>1242</v>
      </c>
      <c r="N17" s="15"/>
      <c r="O17" s="16"/>
      <c r="P17" s="16"/>
      <c r="Q17" s="16"/>
      <c r="R17" s="16"/>
      <c r="U17" s="12"/>
      <c r="V17" s="19" t="s">
        <v>1214</v>
      </c>
      <c r="W17" s="14" t="s">
        <v>1242</v>
      </c>
      <c r="X17" s="15"/>
      <c r="Y17" s="16"/>
      <c r="Z17" s="16"/>
      <c r="AA17" s="16"/>
      <c r="AB17" s="16"/>
      <c r="AF17" s="12"/>
      <c r="AG17" s="19" t="s">
        <v>1214</v>
      </c>
      <c r="AH17" s="14" t="s">
        <v>1242</v>
      </c>
      <c r="AI17" s="15"/>
      <c r="AJ17" s="16"/>
      <c r="AK17" s="16"/>
      <c r="AL17" s="16"/>
      <c r="AM17" s="16"/>
    </row>
    <row r="18" spans="1:39">
      <c r="A18" s="12"/>
      <c r="B18" s="19" t="s">
        <v>1347</v>
      </c>
      <c r="C18" s="14" t="s">
        <v>1349</v>
      </c>
      <c r="D18" s="15">
        <f>60000*7</f>
        <v>420000</v>
      </c>
      <c r="E18" s="16"/>
      <c r="F18" s="16"/>
      <c r="G18" s="16"/>
      <c r="H18" s="16"/>
      <c r="K18" s="12"/>
      <c r="L18" s="19" t="s">
        <v>1347</v>
      </c>
      <c r="M18" s="14" t="s">
        <v>1349</v>
      </c>
      <c r="N18" s="15"/>
      <c r="O18" s="16"/>
      <c r="P18" s="16"/>
      <c r="Q18" s="16"/>
      <c r="R18" s="16"/>
      <c r="U18" s="12"/>
      <c r="V18" s="19" t="s">
        <v>1347</v>
      </c>
      <c r="W18" s="14" t="s">
        <v>1349</v>
      </c>
      <c r="X18" s="15"/>
      <c r="Y18" s="16"/>
      <c r="Z18" s="16"/>
      <c r="AA18" s="16"/>
      <c r="AB18" s="16"/>
      <c r="AF18" s="12"/>
      <c r="AG18" s="19" t="s">
        <v>1347</v>
      </c>
      <c r="AH18" s="14" t="s">
        <v>1349</v>
      </c>
      <c r="AI18" s="15"/>
      <c r="AJ18" s="16"/>
      <c r="AK18" s="16"/>
      <c r="AL18" s="16"/>
      <c r="AM18" s="16"/>
    </row>
    <row r="19" spans="1:39">
      <c r="A19" s="12"/>
      <c r="B19" s="19" t="s">
        <v>1347</v>
      </c>
      <c r="C19" s="14" t="s">
        <v>1348</v>
      </c>
      <c r="D19" s="15">
        <f>300000*7</f>
        <v>2100000</v>
      </c>
      <c r="E19" s="16"/>
      <c r="F19" s="16"/>
      <c r="G19" s="16"/>
      <c r="H19" s="16"/>
      <c r="K19" s="12"/>
      <c r="L19" s="19" t="s">
        <v>1347</v>
      </c>
      <c r="M19" s="14" t="s">
        <v>1348</v>
      </c>
      <c r="N19" s="15"/>
      <c r="O19" s="16"/>
      <c r="P19" s="16"/>
      <c r="Q19" s="16"/>
      <c r="R19" s="16"/>
      <c r="U19" s="12"/>
      <c r="V19" s="19" t="s">
        <v>1347</v>
      </c>
      <c r="W19" s="14" t="s">
        <v>1348</v>
      </c>
      <c r="X19" s="15"/>
      <c r="Y19" s="16"/>
      <c r="Z19" s="16"/>
      <c r="AA19" s="16"/>
      <c r="AB19" s="16"/>
      <c r="AF19" s="12"/>
      <c r="AG19" s="19" t="s">
        <v>1347</v>
      </c>
      <c r="AH19" s="14" t="s">
        <v>1348</v>
      </c>
      <c r="AI19" s="15"/>
      <c r="AJ19" s="16"/>
      <c r="AK19" s="16"/>
      <c r="AL19" s="16"/>
      <c r="AM19" s="16"/>
    </row>
    <row r="20" spans="1:39">
      <c r="A20" s="12"/>
      <c r="B20" s="19"/>
      <c r="C20" s="14" t="s">
        <v>1355</v>
      </c>
      <c r="D20" s="15">
        <v>1770017</v>
      </c>
      <c r="E20" s="16"/>
      <c r="F20" s="16"/>
      <c r="G20" s="16"/>
      <c r="H20" s="16"/>
      <c r="K20" s="12"/>
      <c r="L20" s="19"/>
      <c r="M20" s="14" t="s">
        <v>1355</v>
      </c>
      <c r="N20" s="15"/>
      <c r="O20" s="16"/>
      <c r="P20" s="16"/>
      <c r="Q20" s="16"/>
      <c r="R20" s="16"/>
      <c r="U20" s="12"/>
      <c r="V20" s="19"/>
      <c r="W20" s="14" t="s">
        <v>1355</v>
      </c>
      <c r="X20" s="15"/>
      <c r="Y20" s="16"/>
      <c r="Z20" s="16"/>
      <c r="AA20" s="16"/>
      <c r="AB20" s="16"/>
      <c r="AF20" s="12"/>
      <c r="AG20" s="19"/>
      <c r="AH20" s="14" t="s">
        <v>1355</v>
      </c>
      <c r="AI20" s="15">
        <v>1770017</v>
      </c>
      <c r="AJ20" s="16"/>
      <c r="AK20" s="16"/>
      <c r="AL20" s="16"/>
      <c r="AM20" s="16"/>
    </row>
    <row r="21" spans="1:39">
      <c r="A21" s="12"/>
      <c r="B21" s="19" t="s">
        <v>1379</v>
      </c>
      <c r="C21" s="14" t="s">
        <v>1380</v>
      </c>
      <c r="D21" s="15">
        <v>175000</v>
      </c>
      <c r="E21" s="16"/>
      <c r="F21" s="16"/>
      <c r="G21" s="16"/>
      <c r="H21" s="16"/>
      <c r="K21" s="12"/>
      <c r="L21" s="19" t="s">
        <v>1379</v>
      </c>
      <c r="M21" s="14" t="s">
        <v>1380</v>
      </c>
      <c r="N21" s="15"/>
      <c r="O21" s="16"/>
      <c r="P21" s="16"/>
      <c r="Q21" s="16"/>
      <c r="R21" s="16"/>
      <c r="U21" s="12"/>
      <c r="V21" s="19" t="s">
        <v>1379</v>
      </c>
      <c r="W21" s="14" t="s">
        <v>1380</v>
      </c>
      <c r="X21" s="15"/>
      <c r="Y21" s="16"/>
      <c r="Z21" s="16"/>
      <c r="AA21" s="16"/>
      <c r="AB21" s="16"/>
      <c r="AF21" s="12"/>
      <c r="AG21" s="19" t="s">
        <v>1379</v>
      </c>
      <c r="AH21" s="14" t="s">
        <v>1380</v>
      </c>
      <c r="AI21" s="15"/>
      <c r="AJ21" s="16"/>
      <c r="AK21" s="16"/>
      <c r="AL21" s="16"/>
      <c r="AM21" s="16"/>
    </row>
    <row r="22" spans="1:39">
      <c r="A22" s="12"/>
      <c r="B22" s="19" t="s">
        <v>1379</v>
      </c>
      <c r="C22" s="14" t="s">
        <v>1408</v>
      </c>
      <c r="D22" s="15">
        <v>500000</v>
      </c>
      <c r="E22" s="16"/>
      <c r="F22" s="16"/>
      <c r="G22" s="16"/>
      <c r="H22" s="16"/>
      <c r="K22" s="12"/>
      <c r="L22" s="19" t="s">
        <v>1379</v>
      </c>
      <c r="M22" s="14" t="s">
        <v>1408</v>
      </c>
      <c r="N22" s="15"/>
      <c r="O22" s="16"/>
      <c r="P22" s="16"/>
      <c r="Q22" s="16"/>
      <c r="R22" s="16"/>
      <c r="U22" s="12"/>
      <c r="V22" s="19" t="s">
        <v>1379</v>
      </c>
      <c r="W22" s="14" t="s">
        <v>1408</v>
      </c>
      <c r="X22" s="15"/>
      <c r="Y22" s="16"/>
      <c r="Z22" s="16"/>
      <c r="AA22" s="16"/>
      <c r="AB22" s="16"/>
      <c r="AF22" s="12"/>
      <c r="AG22" s="19" t="s">
        <v>1379</v>
      </c>
      <c r="AH22" s="14" t="s">
        <v>1408</v>
      </c>
      <c r="AI22" s="15"/>
      <c r="AJ22" s="16"/>
      <c r="AK22" s="16"/>
      <c r="AL22" s="16"/>
      <c r="AM22" s="16"/>
    </row>
    <row r="23" spans="1:39">
      <c r="A23" s="12"/>
      <c r="B23" s="19" t="s">
        <v>1379</v>
      </c>
      <c r="C23" s="14" t="s">
        <v>494</v>
      </c>
      <c r="D23" s="15">
        <f>24000+22500</f>
        <v>46500</v>
      </c>
      <c r="E23" s="16"/>
      <c r="F23" s="16"/>
      <c r="G23" s="16"/>
      <c r="H23" s="16"/>
      <c r="K23" s="12"/>
      <c r="L23" s="19" t="s">
        <v>1379</v>
      </c>
      <c r="M23" s="14" t="s">
        <v>494</v>
      </c>
      <c r="N23" s="15">
        <f>24000+22500</f>
        <v>46500</v>
      </c>
      <c r="O23" s="16"/>
      <c r="P23" s="16"/>
      <c r="Q23" s="16"/>
      <c r="R23" s="16"/>
      <c r="U23" s="12"/>
      <c r="V23" s="19" t="s">
        <v>1379</v>
      </c>
      <c r="W23" s="14" t="s">
        <v>494</v>
      </c>
      <c r="X23" s="15"/>
      <c r="Y23" s="16"/>
      <c r="Z23" s="16"/>
      <c r="AA23" s="16"/>
      <c r="AB23" s="16"/>
      <c r="AF23" s="12"/>
      <c r="AG23" s="19" t="s">
        <v>1379</v>
      </c>
      <c r="AH23" s="14" t="s">
        <v>494</v>
      </c>
      <c r="AI23" s="15">
        <f>24000+22500</f>
        <v>46500</v>
      </c>
      <c r="AJ23" s="16"/>
      <c r="AK23" s="16"/>
      <c r="AL23" s="16"/>
      <c r="AM23" s="16"/>
    </row>
    <row r="24" spans="1:39">
      <c r="A24" s="12"/>
      <c r="B24" s="19" t="s">
        <v>1379</v>
      </c>
      <c r="C24" s="14" t="s">
        <v>1404</v>
      </c>
      <c r="D24" s="15">
        <v>300000</v>
      </c>
      <c r="E24" s="16"/>
      <c r="F24" s="16"/>
      <c r="G24" s="16"/>
      <c r="H24" s="16"/>
      <c r="K24" s="12"/>
      <c r="L24" s="19" t="s">
        <v>1379</v>
      </c>
      <c r="M24" s="14" t="s">
        <v>1404</v>
      </c>
      <c r="N24" s="15"/>
      <c r="O24" s="16"/>
      <c r="P24" s="16"/>
      <c r="Q24" s="16"/>
      <c r="R24" s="16"/>
      <c r="U24" s="12"/>
      <c r="V24" s="19" t="s">
        <v>1379</v>
      </c>
      <c r="W24" s="14" t="s">
        <v>1404</v>
      </c>
      <c r="X24" s="15"/>
      <c r="Y24" s="16"/>
      <c r="Z24" s="16"/>
      <c r="AA24" s="16"/>
      <c r="AB24" s="16"/>
      <c r="AF24" s="12"/>
      <c r="AG24" s="19" t="s">
        <v>1379</v>
      </c>
      <c r="AH24" s="14" t="s">
        <v>1404</v>
      </c>
      <c r="AI24" s="15"/>
      <c r="AJ24" s="16"/>
      <c r="AK24" s="16"/>
      <c r="AL24" s="16"/>
      <c r="AM24" s="16"/>
    </row>
    <row r="25" spans="1:39">
      <c r="A25" s="12"/>
      <c r="B25" s="19"/>
      <c r="C25" s="14" t="s">
        <v>1410</v>
      </c>
      <c r="D25" s="15">
        <v>100000</v>
      </c>
      <c r="E25" s="16"/>
      <c r="F25" s="16"/>
      <c r="G25" s="16"/>
      <c r="H25" s="16"/>
      <c r="K25" s="12"/>
      <c r="L25" s="19"/>
      <c r="M25" s="14" t="s">
        <v>1410</v>
      </c>
      <c r="N25" s="15"/>
      <c r="O25" s="16"/>
      <c r="P25" s="16"/>
      <c r="Q25" s="16"/>
      <c r="R25" s="16"/>
      <c r="U25" s="12"/>
      <c r="V25" s="19"/>
      <c r="W25" s="14" t="s">
        <v>1410</v>
      </c>
      <c r="X25" s="15">
        <v>100000</v>
      </c>
      <c r="Y25" s="16"/>
      <c r="Z25" s="16"/>
      <c r="AA25" s="16"/>
      <c r="AB25" s="16"/>
      <c r="AF25" s="12"/>
      <c r="AG25" s="19"/>
      <c r="AH25" s="14" t="s">
        <v>1410</v>
      </c>
      <c r="AI25" s="15">
        <v>48000</v>
      </c>
      <c r="AJ25" s="16"/>
      <c r="AK25" s="16"/>
      <c r="AL25" s="16"/>
      <c r="AM25" s="16"/>
    </row>
    <row r="26" spans="1:39">
      <c r="A26" s="12"/>
      <c r="B26" s="19"/>
      <c r="C26" s="14"/>
      <c r="D26" s="15"/>
      <c r="E26" s="16"/>
      <c r="F26" s="16"/>
      <c r="G26" s="16"/>
      <c r="H26" s="16"/>
      <c r="K26" s="12"/>
      <c r="L26" s="19"/>
      <c r="M26" s="14"/>
      <c r="N26" s="15"/>
      <c r="O26" s="16"/>
      <c r="P26" s="16"/>
      <c r="Q26" s="16"/>
      <c r="R26" s="16"/>
      <c r="U26" s="12"/>
      <c r="V26" s="19"/>
      <c r="W26" s="14"/>
      <c r="X26" s="15"/>
      <c r="Y26" s="16"/>
      <c r="Z26" s="16"/>
      <c r="AA26" s="16"/>
      <c r="AB26" s="16"/>
      <c r="AF26" s="12"/>
      <c r="AG26" s="19"/>
      <c r="AH26" s="14"/>
      <c r="AI26" s="15"/>
      <c r="AJ26" s="16"/>
      <c r="AK26" s="16"/>
      <c r="AL26" s="16"/>
      <c r="AM26" s="16"/>
    </row>
    <row r="27" spans="1:39">
      <c r="A27" s="18"/>
      <c r="B27" s="19"/>
      <c r="C27" s="426" t="s">
        <v>20</v>
      </c>
      <c r="D27" s="10">
        <f>SUM(D16:D26)</f>
        <v>8261517</v>
      </c>
      <c r="E27" s="10"/>
      <c r="F27" s="10"/>
      <c r="G27" s="10"/>
      <c r="H27" s="10"/>
      <c r="K27" s="18"/>
      <c r="L27" s="19"/>
      <c r="M27" s="431" t="s">
        <v>20</v>
      </c>
      <c r="N27" s="10">
        <f>SUM(N16:N26)</f>
        <v>46500</v>
      </c>
      <c r="O27" s="10"/>
      <c r="P27" s="10"/>
      <c r="Q27" s="10"/>
      <c r="R27" s="10"/>
      <c r="U27" s="18"/>
      <c r="V27" s="19"/>
      <c r="W27" s="435" t="s">
        <v>20</v>
      </c>
      <c r="X27" s="10">
        <f>SUM(X16:X26)</f>
        <v>100000</v>
      </c>
      <c r="Y27" s="10"/>
      <c r="Z27" s="10"/>
      <c r="AA27" s="10"/>
      <c r="AB27" s="10"/>
      <c r="AF27" s="18"/>
      <c r="AG27" s="19"/>
      <c r="AH27" s="440" t="s">
        <v>20</v>
      </c>
      <c r="AI27" s="10">
        <f>SUM(AI16:AI26)</f>
        <v>1864517</v>
      </c>
      <c r="AJ27" s="10"/>
      <c r="AK27" s="10"/>
      <c r="AL27" s="10"/>
      <c r="AM27" s="10"/>
    </row>
    <row r="28" spans="1:39">
      <c r="A28" s="20"/>
      <c r="B28" s="427"/>
      <c r="C28" s="152" t="s">
        <v>21</v>
      </c>
      <c r="D28" s="150"/>
      <c r="E28" s="150"/>
      <c r="F28" s="150"/>
      <c r="G28" s="151"/>
      <c r="H28" s="21">
        <f>+D27</f>
        <v>8261517</v>
      </c>
      <c r="K28" s="20"/>
      <c r="L28" s="432"/>
      <c r="M28" s="152" t="s">
        <v>21</v>
      </c>
      <c r="N28" s="150"/>
      <c r="O28" s="150"/>
      <c r="P28" s="150"/>
      <c r="Q28" s="151"/>
      <c r="R28" s="21">
        <f>+N27</f>
        <v>46500</v>
      </c>
      <c r="U28" s="20"/>
      <c r="V28" s="436"/>
      <c r="W28" s="152" t="s">
        <v>21</v>
      </c>
      <c r="X28" s="150"/>
      <c r="Y28" s="150"/>
      <c r="Z28" s="150"/>
      <c r="AA28" s="151"/>
      <c r="AB28" s="21">
        <f>+X27</f>
        <v>100000</v>
      </c>
      <c r="AF28" s="20"/>
      <c r="AG28" s="438"/>
      <c r="AH28" s="152" t="s">
        <v>21</v>
      </c>
      <c r="AI28" s="150"/>
      <c r="AJ28" s="150"/>
      <c r="AK28" s="150"/>
      <c r="AL28" s="151"/>
      <c r="AM28" s="21">
        <f>+AI27</f>
        <v>1864517</v>
      </c>
    </row>
    <row r="29" spans="1:39">
      <c r="A29" s="526" t="s">
        <v>22</v>
      </c>
      <c r="B29" s="526"/>
      <c r="C29" s="526"/>
      <c r="D29" s="526"/>
      <c r="E29" s="526">
        <f>+H28</f>
        <v>8261517</v>
      </c>
      <c r="F29" s="526"/>
      <c r="G29" s="526"/>
      <c r="H29" s="526"/>
      <c r="K29" s="526" t="s">
        <v>22</v>
      </c>
      <c r="L29" s="526"/>
      <c r="M29" s="526"/>
      <c r="N29" s="526"/>
      <c r="O29" s="526">
        <f>+R28</f>
        <v>46500</v>
      </c>
      <c r="P29" s="526"/>
      <c r="Q29" s="526"/>
      <c r="R29" s="526"/>
      <c r="U29" s="526" t="s">
        <v>22</v>
      </c>
      <c r="V29" s="526"/>
      <c r="W29" s="526"/>
      <c r="X29" s="526"/>
      <c r="Y29" s="526">
        <f>+AB28</f>
        <v>100000</v>
      </c>
      <c r="Z29" s="526"/>
      <c r="AA29" s="526"/>
      <c r="AB29" s="526"/>
      <c r="AF29" s="526" t="s">
        <v>22</v>
      </c>
      <c r="AG29" s="526"/>
      <c r="AH29" s="526"/>
      <c r="AI29" s="526"/>
      <c r="AJ29" s="526">
        <f>+AM28</f>
        <v>1864517</v>
      </c>
      <c r="AK29" s="526"/>
      <c r="AL29" s="526"/>
      <c r="AM29" s="526"/>
    </row>
    <row r="30" spans="1:39">
      <c r="A30" s="524" t="s">
        <v>23</v>
      </c>
      <c r="B30" s="524"/>
      <c r="C30" s="524"/>
      <c r="D30" s="524"/>
      <c r="E30" s="524"/>
      <c r="F30" s="524"/>
      <c r="G30" s="524"/>
      <c r="H30" s="524"/>
      <c r="K30" s="524" t="s">
        <v>23</v>
      </c>
      <c r="L30" s="524"/>
      <c r="M30" s="524"/>
      <c r="N30" s="524"/>
      <c r="O30" s="524"/>
      <c r="P30" s="524"/>
      <c r="Q30" s="524"/>
      <c r="R30" s="524"/>
      <c r="U30" s="524" t="s">
        <v>23</v>
      </c>
      <c r="V30" s="524"/>
      <c r="W30" s="524"/>
      <c r="X30" s="524"/>
      <c r="Y30" s="524"/>
      <c r="Z30" s="524"/>
      <c r="AA30" s="524"/>
      <c r="AB30" s="524"/>
      <c r="AF30" s="524" t="s">
        <v>23</v>
      </c>
      <c r="AG30" s="524"/>
      <c r="AH30" s="524"/>
      <c r="AI30" s="524"/>
      <c r="AJ30" s="524"/>
      <c r="AK30" s="524"/>
      <c r="AL30" s="524"/>
      <c r="AM30" s="524"/>
    </row>
    <row r="31" spans="1:39">
      <c r="A31" s="12"/>
      <c r="B31" s="13" t="s">
        <v>1360</v>
      </c>
      <c r="C31" s="15" t="s">
        <v>1385</v>
      </c>
      <c r="D31" s="23">
        <v>180000</v>
      </c>
      <c r="E31" s="22"/>
      <c r="F31" s="22"/>
      <c r="G31" s="16"/>
      <c r="H31" s="16"/>
      <c r="K31" s="12"/>
      <c r="L31" s="13" t="s">
        <v>1360</v>
      </c>
      <c r="M31" s="15" t="s">
        <v>1385</v>
      </c>
      <c r="N31" s="23">
        <v>180000</v>
      </c>
      <c r="O31" s="22"/>
      <c r="P31" s="22"/>
      <c r="Q31" s="16"/>
      <c r="R31" s="16"/>
      <c r="U31" s="12"/>
      <c r="V31" s="13" t="s">
        <v>1360</v>
      </c>
      <c r="W31" s="15" t="s">
        <v>1385</v>
      </c>
      <c r="X31" s="23"/>
      <c r="Y31" s="22"/>
      <c r="Z31" s="22"/>
      <c r="AA31" s="16"/>
      <c r="AB31" s="16"/>
      <c r="AF31" s="12"/>
      <c r="AG31" s="13" t="s">
        <v>1360</v>
      </c>
      <c r="AH31" s="15" t="s">
        <v>1385</v>
      </c>
      <c r="AI31" s="23">
        <v>180000</v>
      </c>
      <c r="AJ31" s="22"/>
      <c r="AK31" s="22"/>
      <c r="AL31" s="16"/>
      <c r="AM31" s="16"/>
    </row>
    <row r="32" spans="1:39">
      <c r="A32" s="12"/>
      <c r="B32" s="13" t="s">
        <v>1360</v>
      </c>
      <c r="C32" s="15" t="s">
        <v>1361</v>
      </c>
      <c r="D32" s="23">
        <v>225000</v>
      </c>
      <c r="E32" s="22"/>
      <c r="F32" s="22"/>
      <c r="G32" s="16"/>
      <c r="H32" s="16"/>
      <c r="K32" s="12"/>
      <c r="L32" s="13" t="s">
        <v>1360</v>
      </c>
      <c r="M32" s="15" t="s">
        <v>1361</v>
      </c>
      <c r="N32" s="23">
        <v>225000</v>
      </c>
      <c r="O32" s="22"/>
      <c r="P32" s="22"/>
      <c r="Q32" s="16"/>
      <c r="R32" s="16"/>
      <c r="U32" s="12"/>
      <c r="V32" s="13" t="s">
        <v>1360</v>
      </c>
      <c r="W32" s="15" t="s">
        <v>1361</v>
      </c>
      <c r="X32" s="23"/>
      <c r="Y32" s="22"/>
      <c r="Z32" s="22"/>
      <c r="AA32" s="16"/>
      <c r="AB32" s="16"/>
      <c r="AF32" s="12"/>
      <c r="AG32" s="13" t="s">
        <v>1360</v>
      </c>
      <c r="AH32" s="15" t="s">
        <v>1361</v>
      </c>
      <c r="AI32" s="23">
        <v>225000</v>
      </c>
      <c r="AJ32" s="22"/>
      <c r="AK32" s="22"/>
      <c r="AL32" s="16"/>
      <c r="AM32" s="16"/>
    </row>
    <row r="33" spans="1:39">
      <c r="A33" s="12"/>
      <c r="B33" s="13"/>
      <c r="C33" s="15"/>
      <c r="D33" s="23"/>
      <c r="E33" s="22"/>
      <c r="F33" s="22"/>
      <c r="G33" s="16"/>
      <c r="H33" s="16"/>
      <c r="K33" s="12"/>
      <c r="L33" s="13"/>
      <c r="M33" s="15"/>
      <c r="N33" s="23"/>
      <c r="O33" s="22"/>
      <c r="P33" s="22"/>
      <c r="Q33" s="16"/>
      <c r="R33" s="16"/>
      <c r="U33" s="12"/>
      <c r="V33" s="13"/>
      <c r="W33" s="15"/>
      <c r="X33" s="23"/>
      <c r="Y33" s="22"/>
      <c r="Z33" s="22"/>
      <c r="AA33" s="16"/>
      <c r="AB33" s="16"/>
      <c r="AF33" s="12"/>
      <c r="AG33" s="13"/>
      <c r="AH33" s="15"/>
      <c r="AI33" s="23"/>
      <c r="AJ33" s="22"/>
      <c r="AK33" s="22"/>
      <c r="AL33" s="16"/>
      <c r="AM33" s="16"/>
    </row>
    <row r="34" spans="1:39">
      <c r="A34" s="25"/>
      <c r="B34" s="19"/>
      <c r="C34" s="26" t="s">
        <v>24</v>
      </c>
      <c r="D34" s="27">
        <f>SUM(D31:D32)</f>
        <v>405000</v>
      </c>
      <c r="E34" s="27"/>
      <c r="F34" s="27"/>
      <c r="G34" s="27"/>
      <c r="H34" s="27"/>
      <c r="K34" s="25"/>
      <c r="L34" s="19"/>
      <c r="M34" s="26" t="s">
        <v>24</v>
      </c>
      <c r="N34" s="27">
        <f>SUM(N31:N32)</f>
        <v>405000</v>
      </c>
      <c r="O34" s="27"/>
      <c r="P34" s="27"/>
      <c r="Q34" s="27"/>
      <c r="R34" s="27"/>
      <c r="U34" s="25"/>
      <c r="V34" s="19"/>
      <c r="W34" s="26" t="s">
        <v>24</v>
      </c>
      <c r="X34" s="27">
        <f>SUM(X31:X32)</f>
        <v>0</v>
      </c>
      <c r="Y34" s="27"/>
      <c r="Z34" s="27"/>
      <c r="AA34" s="27"/>
      <c r="AB34" s="27"/>
      <c r="AF34" s="25"/>
      <c r="AG34" s="19"/>
      <c r="AH34" s="26" t="s">
        <v>24</v>
      </c>
      <c r="AI34" s="27">
        <f>SUM(AI31:AI32)</f>
        <v>405000</v>
      </c>
      <c r="AJ34" s="27"/>
      <c r="AK34" s="27"/>
      <c r="AL34" s="27"/>
      <c r="AM34" s="27"/>
    </row>
    <row r="35" spans="1:39">
      <c r="A35" s="20"/>
      <c r="B35" s="19"/>
      <c r="C35" s="426" t="s">
        <v>21</v>
      </c>
      <c r="D35" s="10"/>
      <c r="E35" s="530">
        <f>D34</f>
        <v>405000</v>
      </c>
      <c r="F35" s="530"/>
      <c r="G35" s="530"/>
      <c r="H35" s="530"/>
      <c r="K35" s="20"/>
      <c r="L35" s="19"/>
      <c r="M35" s="431" t="s">
        <v>21</v>
      </c>
      <c r="N35" s="10"/>
      <c r="O35" s="530">
        <f>N34</f>
        <v>405000</v>
      </c>
      <c r="P35" s="530"/>
      <c r="Q35" s="530"/>
      <c r="R35" s="530"/>
      <c r="U35" s="20"/>
      <c r="V35" s="19"/>
      <c r="W35" s="435" t="s">
        <v>21</v>
      </c>
      <c r="X35" s="10"/>
      <c r="Y35" s="530">
        <f>X34</f>
        <v>0</v>
      </c>
      <c r="Z35" s="530"/>
      <c r="AA35" s="530"/>
      <c r="AB35" s="530"/>
      <c r="AF35" s="20"/>
      <c r="AG35" s="19"/>
      <c r="AH35" s="440" t="s">
        <v>21</v>
      </c>
      <c r="AI35" s="10"/>
      <c r="AJ35" s="530">
        <f>AI34</f>
        <v>405000</v>
      </c>
      <c r="AK35" s="530"/>
      <c r="AL35" s="530"/>
      <c r="AM35" s="530"/>
    </row>
    <row r="36" spans="1:39">
      <c r="A36" s="524" t="s">
        <v>1280</v>
      </c>
      <c r="B36" s="524"/>
      <c r="C36" s="524"/>
      <c r="D36" s="524"/>
      <c r="E36" s="524"/>
      <c r="F36" s="524"/>
      <c r="G36" s="524"/>
      <c r="H36" s="524"/>
      <c r="K36" s="524" t="s">
        <v>1280</v>
      </c>
      <c r="L36" s="524"/>
      <c r="M36" s="524"/>
      <c r="N36" s="524"/>
      <c r="O36" s="524"/>
      <c r="P36" s="524"/>
      <c r="Q36" s="524"/>
      <c r="R36" s="524"/>
      <c r="U36" s="524" t="s">
        <v>1280</v>
      </c>
      <c r="V36" s="524"/>
      <c r="W36" s="524"/>
      <c r="X36" s="524"/>
      <c r="Y36" s="524"/>
      <c r="Z36" s="524"/>
      <c r="AA36" s="524"/>
      <c r="AB36" s="524"/>
      <c r="AF36" s="524" t="s">
        <v>1280</v>
      </c>
      <c r="AG36" s="524"/>
      <c r="AH36" s="524"/>
      <c r="AI36" s="524"/>
      <c r="AJ36" s="524"/>
      <c r="AK36" s="524"/>
      <c r="AL36" s="524"/>
      <c r="AM36" s="524"/>
    </row>
    <row r="37" spans="1:39">
      <c r="A37" s="12"/>
      <c r="B37" s="23" t="s">
        <v>1381</v>
      </c>
      <c r="C37" s="22" t="s">
        <v>1403</v>
      </c>
      <c r="D37" s="22">
        <f>47485000-20000000</f>
        <v>27485000</v>
      </c>
      <c r="E37" s="426"/>
      <c r="F37" s="426"/>
      <c r="G37" s="426"/>
      <c r="H37" s="426"/>
      <c r="K37" s="12"/>
      <c r="L37" s="23" t="s">
        <v>1381</v>
      </c>
      <c r="M37" s="22" t="s">
        <v>1403</v>
      </c>
      <c r="N37" s="22"/>
      <c r="O37" s="431"/>
      <c r="P37" s="431"/>
      <c r="Q37" s="431"/>
      <c r="R37" s="431"/>
      <c r="U37" s="12"/>
      <c r="V37" s="23" t="s">
        <v>1381</v>
      </c>
      <c r="W37" s="22" t="s">
        <v>1403</v>
      </c>
      <c r="X37" s="22">
        <v>19390000</v>
      </c>
      <c r="Y37" s="435"/>
      <c r="Z37" s="435"/>
      <c r="AA37" s="435"/>
      <c r="AB37" s="435"/>
      <c r="AF37" s="12"/>
      <c r="AG37" s="23" t="s">
        <v>1381</v>
      </c>
      <c r="AH37" s="22" t="s">
        <v>1403</v>
      </c>
      <c r="AI37" s="22">
        <v>21000000</v>
      </c>
      <c r="AJ37" s="440"/>
      <c r="AK37" s="440"/>
      <c r="AL37" s="440"/>
      <c r="AM37" s="440"/>
    </row>
    <row r="38" spans="1:39">
      <c r="A38" s="12"/>
      <c r="B38" s="23" t="s">
        <v>1393</v>
      </c>
      <c r="C38" s="22" t="s">
        <v>1383</v>
      </c>
      <c r="D38" s="22">
        <v>3535000</v>
      </c>
      <c r="E38" s="426"/>
      <c r="F38" s="426"/>
      <c r="G38" s="426"/>
      <c r="H38" s="426"/>
      <c r="K38" s="12"/>
      <c r="L38" s="23" t="s">
        <v>1393</v>
      </c>
      <c r="M38" s="22" t="s">
        <v>1383</v>
      </c>
      <c r="N38" s="22"/>
      <c r="O38" s="431"/>
      <c r="P38" s="431"/>
      <c r="Q38" s="431"/>
      <c r="R38" s="431"/>
      <c r="U38" s="12"/>
      <c r="V38" s="23" t="s">
        <v>1393</v>
      </c>
      <c r="W38" s="22" t="s">
        <v>1383</v>
      </c>
      <c r="X38" s="22"/>
      <c r="Y38" s="435"/>
      <c r="Z38" s="435"/>
      <c r="AA38" s="435"/>
      <c r="AB38" s="435"/>
      <c r="AF38" s="12"/>
      <c r="AG38" s="23" t="s">
        <v>1393</v>
      </c>
      <c r="AH38" s="22" t="s">
        <v>1383</v>
      </c>
      <c r="AI38" s="22"/>
      <c r="AJ38" s="440"/>
      <c r="AK38" s="440"/>
      <c r="AL38" s="440"/>
      <c r="AM38" s="440"/>
    </row>
    <row r="39" spans="1:39">
      <c r="A39" s="12"/>
      <c r="B39" s="23" t="s">
        <v>1393</v>
      </c>
      <c r="C39" s="22" t="s">
        <v>1384</v>
      </c>
      <c r="D39" s="22">
        <f>6620000</f>
        <v>6620000</v>
      </c>
      <c r="E39" s="426"/>
      <c r="F39" s="426"/>
      <c r="G39" s="426"/>
      <c r="H39" s="426"/>
      <c r="K39" s="12"/>
      <c r="L39" s="23" t="s">
        <v>1393</v>
      </c>
      <c r="M39" s="22" t="s">
        <v>1384</v>
      </c>
      <c r="N39" s="22"/>
      <c r="O39" s="431"/>
      <c r="P39" s="431"/>
      <c r="Q39" s="431"/>
      <c r="R39" s="431"/>
      <c r="U39" s="12"/>
      <c r="V39" s="23" t="s">
        <v>1393</v>
      </c>
      <c r="W39" s="22" t="s">
        <v>1384</v>
      </c>
      <c r="X39" s="22"/>
      <c r="Y39" s="435"/>
      <c r="Z39" s="435"/>
      <c r="AA39" s="435"/>
      <c r="AB39" s="435"/>
      <c r="AF39" s="12"/>
      <c r="AG39" s="23" t="s">
        <v>1393</v>
      </c>
      <c r="AH39" s="22" t="s">
        <v>1384</v>
      </c>
      <c r="AI39" s="22"/>
      <c r="AJ39" s="440"/>
      <c r="AK39" s="440"/>
      <c r="AL39" s="440"/>
      <c r="AM39" s="440"/>
    </row>
    <row r="40" spans="1:39">
      <c r="A40" s="12"/>
      <c r="B40" s="23" t="s">
        <v>1391</v>
      </c>
      <c r="C40" s="22" t="s">
        <v>1274</v>
      </c>
      <c r="D40" s="22">
        <v>4895000</v>
      </c>
      <c r="E40" s="426"/>
      <c r="F40" s="426"/>
      <c r="G40" s="426"/>
      <c r="H40" s="426"/>
      <c r="K40" s="12"/>
      <c r="L40" s="23" t="s">
        <v>1391</v>
      </c>
      <c r="M40" s="22" t="s">
        <v>1274</v>
      </c>
      <c r="N40" s="22"/>
      <c r="O40" s="431"/>
      <c r="P40" s="431"/>
      <c r="Q40" s="431"/>
      <c r="R40" s="431"/>
      <c r="U40" s="12"/>
      <c r="V40" s="23" t="s">
        <v>1391</v>
      </c>
      <c r="W40" s="22" t="s">
        <v>1274</v>
      </c>
      <c r="X40" s="22">
        <v>4895000</v>
      </c>
      <c r="Y40" s="435"/>
      <c r="Z40" s="435"/>
      <c r="AA40" s="435"/>
      <c r="AB40" s="435"/>
      <c r="AF40" s="12"/>
      <c r="AG40" s="23" t="s">
        <v>1391</v>
      </c>
      <c r="AH40" s="22" t="s">
        <v>1274</v>
      </c>
      <c r="AI40" s="22">
        <v>4895000</v>
      </c>
      <c r="AJ40" s="440"/>
      <c r="AK40" s="440"/>
      <c r="AL40" s="440"/>
      <c r="AM40" s="440"/>
    </row>
    <row r="41" spans="1:39">
      <c r="A41" s="12"/>
      <c r="B41" s="23" t="s">
        <v>1391</v>
      </c>
      <c r="C41" s="22" t="s">
        <v>1275</v>
      </c>
      <c r="D41" s="22">
        <v>60000000</v>
      </c>
      <c r="E41" s="426"/>
      <c r="F41" s="426"/>
      <c r="G41" s="426"/>
      <c r="H41" s="426"/>
      <c r="K41" s="12"/>
      <c r="L41" s="23" t="s">
        <v>1391</v>
      </c>
      <c r="M41" s="22" t="s">
        <v>1275</v>
      </c>
      <c r="N41" s="22"/>
      <c r="O41" s="431"/>
      <c r="P41" s="431"/>
      <c r="Q41" s="431"/>
      <c r="R41" s="431"/>
      <c r="U41" s="12"/>
      <c r="V41" s="23" t="s">
        <v>1391</v>
      </c>
      <c r="W41" s="22" t="s">
        <v>1275</v>
      </c>
      <c r="X41" s="22">
        <v>60000000</v>
      </c>
      <c r="Y41" s="435"/>
      <c r="Z41" s="435"/>
      <c r="AA41" s="435"/>
      <c r="AB41" s="435"/>
      <c r="AF41" s="12"/>
      <c r="AG41" s="23" t="s">
        <v>1391</v>
      </c>
      <c r="AH41" s="22" t="s">
        <v>1275</v>
      </c>
      <c r="AI41" s="22">
        <v>60000000</v>
      </c>
      <c r="AJ41" s="440"/>
      <c r="AK41" s="440"/>
      <c r="AL41" s="440"/>
      <c r="AM41" s="440"/>
    </row>
    <row r="42" spans="1:39">
      <c r="A42" s="12"/>
      <c r="B42" s="23" t="s">
        <v>1391</v>
      </c>
      <c r="C42" s="22" t="s">
        <v>1276</v>
      </c>
      <c r="D42" s="22">
        <v>107441909</v>
      </c>
      <c r="E42" s="426"/>
      <c r="F42" s="426"/>
      <c r="G42" s="426"/>
      <c r="H42" s="426"/>
      <c r="K42" s="12"/>
      <c r="L42" s="23" t="s">
        <v>1391</v>
      </c>
      <c r="M42" s="22" t="s">
        <v>1276</v>
      </c>
      <c r="N42" s="22"/>
      <c r="O42" s="431"/>
      <c r="P42" s="431"/>
      <c r="Q42" s="431"/>
      <c r="R42" s="431"/>
      <c r="U42" s="12"/>
      <c r="V42" s="23" t="s">
        <v>1391</v>
      </c>
      <c r="W42" s="22" t="s">
        <v>1276</v>
      </c>
      <c r="X42" s="22"/>
      <c r="Y42" s="435"/>
      <c r="Z42" s="435"/>
      <c r="AA42" s="435"/>
      <c r="AB42" s="435"/>
      <c r="AF42" s="12"/>
      <c r="AG42" s="23" t="s">
        <v>1391</v>
      </c>
      <c r="AH42" s="22" t="s">
        <v>1276</v>
      </c>
      <c r="AI42" s="22"/>
      <c r="AJ42" s="440"/>
      <c r="AK42" s="440"/>
      <c r="AL42" s="440"/>
      <c r="AM42" s="440"/>
    </row>
    <row r="43" spans="1:39">
      <c r="A43" s="12"/>
      <c r="B43" s="23" t="s">
        <v>1391</v>
      </c>
      <c r="C43" s="22" t="s">
        <v>1120</v>
      </c>
      <c r="D43" s="22">
        <f>220000*6</f>
        <v>1320000</v>
      </c>
      <c r="E43" s="426"/>
      <c r="F43" s="426"/>
      <c r="G43" s="426"/>
      <c r="H43" s="426"/>
      <c r="K43" s="12"/>
      <c r="L43" s="23" t="s">
        <v>1391</v>
      </c>
      <c r="M43" s="22" t="s">
        <v>1120</v>
      </c>
      <c r="N43" s="22"/>
      <c r="O43" s="431"/>
      <c r="P43" s="431"/>
      <c r="Q43" s="431"/>
      <c r="R43" s="431"/>
      <c r="U43" s="12"/>
      <c r="V43" s="23" t="s">
        <v>1391</v>
      </c>
      <c r="W43" s="22" t="s">
        <v>1120</v>
      </c>
      <c r="X43" s="22">
        <f>220000*6</f>
        <v>1320000</v>
      </c>
      <c r="Y43" s="435"/>
      <c r="Z43" s="435"/>
      <c r="AA43" s="435"/>
      <c r="AB43" s="435"/>
      <c r="AF43" s="12"/>
      <c r="AG43" s="23" t="s">
        <v>1391</v>
      </c>
      <c r="AH43" s="22" t="s">
        <v>1120</v>
      </c>
      <c r="AI43" s="22">
        <f>220000*6</f>
        <v>1320000</v>
      </c>
      <c r="AJ43" s="440"/>
      <c r="AK43" s="440"/>
      <c r="AL43" s="440"/>
      <c r="AM43" s="440"/>
    </row>
    <row r="44" spans="1:39">
      <c r="A44" s="12"/>
      <c r="B44" s="23" t="s">
        <v>1391</v>
      </c>
      <c r="C44" s="22" t="s">
        <v>1121</v>
      </c>
      <c r="D44" s="23">
        <f>150000*3+100000</f>
        <v>550000</v>
      </c>
      <c r="E44" s="426"/>
      <c r="F44" s="426"/>
      <c r="G44" s="426"/>
      <c r="H44" s="426"/>
      <c r="K44" s="12"/>
      <c r="L44" s="23" t="s">
        <v>1391</v>
      </c>
      <c r="M44" s="22" t="s">
        <v>1121</v>
      </c>
      <c r="N44" s="23">
        <f>150000*3+100000</f>
        <v>550000</v>
      </c>
      <c r="O44" s="431"/>
      <c r="P44" s="431"/>
      <c r="Q44" s="431"/>
      <c r="R44" s="431"/>
      <c r="U44" s="12"/>
      <c r="V44" s="23"/>
      <c r="W44" s="22"/>
      <c r="X44" s="23"/>
      <c r="Y44" s="435"/>
      <c r="Z44" s="435"/>
      <c r="AA44" s="435"/>
      <c r="AB44" s="435"/>
      <c r="AF44" s="12"/>
      <c r="AG44" s="23" t="s">
        <v>1391</v>
      </c>
      <c r="AH44" s="22" t="s">
        <v>1121</v>
      </c>
      <c r="AI44" s="23">
        <f>150000*3+100000</f>
        <v>550000</v>
      </c>
      <c r="AJ44" s="440"/>
      <c r="AK44" s="440"/>
      <c r="AL44" s="440"/>
      <c r="AM44" s="440"/>
    </row>
    <row r="45" spans="1:39">
      <c r="A45" s="12"/>
      <c r="B45" s="23" t="s">
        <v>1391</v>
      </c>
      <c r="C45" s="23" t="s">
        <v>1279</v>
      </c>
      <c r="D45" s="23">
        <v>300000</v>
      </c>
      <c r="E45" s="426"/>
      <c r="F45" s="426"/>
      <c r="G45" s="426"/>
      <c r="H45" s="426"/>
      <c r="K45" s="12"/>
      <c r="L45" s="23" t="s">
        <v>1391</v>
      </c>
      <c r="M45" s="23" t="s">
        <v>1279</v>
      </c>
      <c r="N45" s="23"/>
      <c r="O45" s="431"/>
      <c r="P45" s="431"/>
      <c r="Q45" s="431"/>
      <c r="R45" s="431"/>
      <c r="U45" s="12"/>
      <c r="V45" s="23" t="s">
        <v>1391</v>
      </c>
      <c r="W45" s="23" t="s">
        <v>1279</v>
      </c>
      <c r="X45" s="23"/>
      <c r="Y45" s="435"/>
      <c r="Z45" s="435"/>
      <c r="AA45" s="435"/>
      <c r="AB45" s="435"/>
      <c r="AF45" s="12"/>
      <c r="AG45" s="23" t="s">
        <v>1391</v>
      </c>
      <c r="AH45" s="23" t="s">
        <v>1279</v>
      </c>
      <c r="AI45" s="23">
        <v>300000</v>
      </c>
      <c r="AJ45" s="440"/>
      <c r="AK45" s="440"/>
      <c r="AL45" s="440"/>
      <c r="AM45" s="440"/>
    </row>
    <row r="46" spans="1:39">
      <c r="A46" s="12"/>
      <c r="B46" s="23" t="s">
        <v>1391</v>
      </c>
      <c r="C46" s="23" t="s">
        <v>1278</v>
      </c>
      <c r="D46" s="23">
        <v>2940000</v>
      </c>
      <c r="E46" s="426"/>
      <c r="F46" s="426"/>
      <c r="G46" s="426"/>
      <c r="H46" s="426"/>
      <c r="K46" s="12"/>
      <c r="L46" s="23" t="s">
        <v>1391</v>
      </c>
      <c r="M46" s="23" t="s">
        <v>1278</v>
      </c>
      <c r="N46" s="23"/>
      <c r="O46" s="431"/>
      <c r="P46" s="431"/>
      <c r="Q46" s="431"/>
      <c r="R46" s="431"/>
      <c r="U46" s="12"/>
      <c r="V46" s="23" t="s">
        <v>1391</v>
      </c>
      <c r="W46" s="23" t="s">
        <v>1278</v>
      </c>
      <c r="X46" s="23">
        <v>2940000</v>
      </c>
      <c r="Y46" s="435"/>
      <c r="Z46" s="435"/>
      <c r="AA46" s="435"/>
      <c r="AB46" s="435"/>
      <c r="AF46" s="12"/>
      <c r="AG46" s="23" t="s">
        <v>1391</v>
      </c>
      <c r="AH46" s="23" t="s">
        <v>1278</v>
      </c>
      <c r="AI46" s="23">
        <v>2940000</v>
      </c>
      <c r="AJ46" s="440"/>
      <c r="AK46" s="440"/>
      <c r="AL46" s="440"/>
      <c r="AM46" s="440"/>
    </row>
    <row r="47" spans="1:39">
      <c r="A47" s="12"/>
      <c r="B47" s="23" t="s">
        <v>1391</v>
      </c>
      <c r="C47" s="23" t="s">
        <v>1386</v>
      </c>
      <c r="D47" s="23">
        <v>500000</v>
      </c>
      <c r="E47" s="426"/>
      <c r="F47" s="426"/>
      <c r="G47" s="426"/>
      <c r="H47" s="426"/>
      <c r="K47" s="12"/>
      <c r="L47" s="23" t="s">
        <v>1391</v>
      </c>
      <c r="M47" s="23" t="s">
        <v>1386</v>
      </c>
      <c r="N47" s="23"/>
      <c r="O47" s="431"/>
      <c r="P47" s="431"/>
      <c r="Q47" s="431"/>
      <c r="R47" s="431"/>
      <c r="U47" s="12"/>
      <c r="V47" s="23" t="s">
        <v>1391</v>
      </c>
      <c r="W47" s="23" t="s">
        <v>1386</v>
      </c>
      <c r="X47" s="23"/>
      <c r="Y47" s="435"/>
      <c r="Z47" s="435"/>
      <c r="AA47" s="435"/>
      <c r="AB47" s="435"/>
      <c r="AF47" s="12"/>
      <c r="AG47" s="23" t="s">
        <v>1391</v>
      </c>
      <c r="AH47" s="23" t="s">
        <v>1386</v>
      </c>
      <c r="AI47" s="23"/>
      <c r="AJ47" s="440"/>
      <c r="AK47" s="440"/>
      <c r="AL47" s="440"/>
      <c r="AM47" s="440"/>
    </row>
    <row r="48" spans="1:39">
      <c r="A48" s="12"/>
      <c r="B48" s="23" t="s">
        <v>1391</v>
      </c>
      <c r="C48" s="23" t="s">
        <v>1387</v>
      </c>
      <c r="D48" s="23">
        <v>3000000</v>
      </c>
      <c r="E48" s="426"/>
      <c r="F48" s="426"/>
      <c r="G48" s="426"/>
      <c r="H48" s="426"/>
      <c r="K48" s="12"/>
      <c r="L48" s="23" t="s">
        <v>1391</v>
      </c>
      <c r="M48" s="23" t="s">
        <v>1387</v>
      </c>
      <c r="N48" s="23"/>
      <c r="O48" s="431"/>
      <c r="P48" s="431"/>
      <c r="Q48" s="431"/>
      <c r="R48" s="431"/>
      <c r="U48" s="12"/>
      <c r="V48" s="23" t="s">
        <v>1391</v>
      </c>
      <c r="W48" s="23" t="s">
        <v>1387</v>
      </c>
      <c r="X48" s="23">
        <v>3000000</v>
      </c>
      <c r="Y48" s="435"/>
      <c r="Z48" s="435"/>
      <c r="AA48" s="435"/>
      <c r="AB48" s="435"/>
      <c r="AF48" s="12"/>
      <c r="AG48" s="23" t="s">
        <v>1391</v>
      </c>
      <c r="AH48" s="23" t="s">
        <v>1387</v>
      </c>
      <c r="AI48" s="23">
        <v>3000000</v>
      </c>
      <c r="AJ48" s="440"/>
      <c r="AK48" s="440"/>
      <c r="AL48" s="440"/>
      <c r="AM48" s="440"/>
    </row>
    <row r="49" spans="1:39">
      <c r="A49" s="12"/>
      <c r="B49" s="23" t="s">
        <v>1391</v>
      </c>
      <c r="C49" s="23" t="s">
        <v>1388</v>
      </c>
      <c r="D49" s="23">
        <v>500000</v>
      </c>
      <c r="E49" s="426"/>
      <c r="F49" s="426"/>
      <c r="G49" s="426"/>
      <c r="H49" s="426"/>
      <c r="K49" s="12"/>
      <c r="L49" s="23" t="s">
        <v>1391</v>
      </c>
      <c r="M49" s="23" t="s">
        <v>1388</v>
      </c>
      <c r="N49" s="23"/>
      <c r="O49" s="431"/>
      <c r="P49" s="431"/>
      <c r="Q49" s="431"/>
      <c r="R49" s="431"/>
      <c r="U49" s="12"/>
      <c r="V49" s="23" t="s">
        <v>1391</v>
      </c>
      <c r="W49" s="23" t="s">
        <v>1388</v>
      </c>
      <c r="X49" s="23"/>
      <c r="Y49" s="435"/>
      <c r="Z49" s="435"/>
      <c r="AA49" s="435"/>
      <c r="AB49" s="435"/>
      <c r="AF49" s="12"/>
      <c r="AG49" s="23" t="s">
        <v>1391</v>
      </c>
      <c r="AH49" s="23" t="s">
        <v>1388</v>
      </c>
      <c r="AI49" s="23"/>
      <c r="AJ49" s="440"/>
      <c r="AK49" s="440"/>
      <c r="AL49" s="440"/>
      <c r="AM49" s="440"/>
    </row>
    <row r="50" spans="1:39">
      <c r="A50" s="12"/>
      <c r="B50" s="23" t="s">
        <v>1391</v>
      </c>
      <c r="C50" s="23" t="s">
        <v>1389</v>
      </c>
      <c r="D50" s="23">
        <v>1500000</v>
      </c>
      <c r="E50" s="426"/>
      <c r="F50" s="426"/>
      <c r="G50" s="426"/>
      <c r="H50" s="426"/>
      <c r="K50" s="12"/>
      <c r="L50" s="23" t="s">
        <v>1391</v>
      </c>
      <c r="M50" s="23" t="s">
        <v>1389</v>
      </c>
      <c r="N50" s="23"/>
      <c r="O50" s="431"/>
      <c r="P50" s="431"/>
      <c r="Q50" s="431"/>
      <c r="R50" s="431"/>
      <c r="U50" s="12"/>
      <c r="V50" s="23" t="s">
        <v>1391</v>
      </c>
      <c r="W50" s="23" t="s">
        <v>1389</v>
      </c>
      <c r="X50" s="23"/>
      <c r="Y50" s="435"/>
      <c r="Z50" s="435"/>
      <c r="AA50" s="435"/>
      <c r="AB50" s="435"/>
      <c r="AF50" s="12"/>
      <c r="AG50" s="23" t="s">
        <v>1391</v>
      </c>
      <c r="AH50" s="23" t="s">
        <v>1389</v>
      </c>
      <c r="AI50" s="23"/>
      <c r="AJ50" s="440"/>
      <c r="AK50" s="440"/>
      <c r="AL50" s="440"/>
      <c r="AM50" s="440"/>
    </row>
    <row r="51" spans="1:39">
      <c r="A51" s="12"/>
      <c r="B51" s="23" t="s">
        <v>1391</v>
      </c>
      <c r="C51" s="23" t="s">
        <v>1390</v>
      </c>
      <c r="D51" s="23">
        <v>231000</v>
      </c>
      <c r="E51" s="426"/>
      <c r="F51" s="426"/>
      <c r="G51" s="426"/>
      <c r="H51" s="426"/>
      <c r="K51" s="12"/>
      <c r="L51" s="23" t="s">
        <v>1391</v>
      </c>
      <c r="M51" s="23" t="s">
        <v>1390</v>
      </c>
      <c r="N51" s="23"/>
      <c r="O51" s="431"/>
      <c r="P51" s="431"/>
      <c r="Q51" s="431"/>
      <c r="R51" s="431"/>
      <c r="U51" s="12"/>
      <c r="V51" s="23" t="s">
        <v>1391</v>
      </c>
      <c r="W51" s="23" t="s">
        <v>1390</v>
      </c>
      <c r="X51" s="23"/>
      <c r="Y51" s="435"/>
      <c r="Z51" s="435"/>
      <c r="AA51" s="435"/>
      <c r="AB51" s="435"/>
      <c r="AF51" s="12"/>
      <c r="AG51" s="23" t="s">
        <v>1391</v>
      </c>
      <c r="AH51" s="23" t="s">
        <v>1390</v>
      </c>
      <c r="AI51" s="23">
        <v>231000</v>
      </c>
      <c r="AJ51" s="440"/>
      <c r="AK51" s="440"/>
      <c r="AL51" s="440"/>
      <c r="AM51" s="440"/>
    </row>
    <row r="52" spans="1:39">
      <c r="A52" s="12"/>
      <c r="B52" s="23" t="s">
        <v>1394</v>
      </c>
      <c r="C52" s="23" t="s">
        <v>1282</v>
      </c>
      <c r="D52" s="23">
        <v>10000000</v>
      </c>
      <c r="E52" s="426"/>
      <c r="F52" s="426"/>
      <c r="G52" s="426"/>
      <c r="H52" s="426"/>
      <c r="K52" s="12"/>
      <c r="L52" s="23" t="s">
        <v>1394</v>
      </c>
      <c r="M52" s="23" t="s">
        <v>1282</v>
      </c>
      <c r="N52" s="23"/>
      <c r="O52" s="431"/>
      <c r="P52" s="431"/>
      <c r="Q52" s="431"/>
      <c r="R52" s="431"/>
      <c r="U52" s="12"/>
      <c r="V52" s="23" t="s">
        <v>1394</v>
      </c>
      <c r="W52" s="23" t="s">
        <v>1282</v>
      </c>
      <c r="X52" s="23">
        <v>10000000</v>
      </c>
      <c r="Y52" s="435"/>
      <c r="Z52" s="435"/>
      <c r="AA52" s="435"/>
      <c r="AB52" s="435"/>
      <c r="AF52" s="12"/>
      <c r="AG52" s="23" t="s">
        <v>1394</v>
      </c>
      <c r="AH52" s="23" t="s">
        <v>1282</v>
      </c>
      <c r="AI52" s="23">
        <v>10000000</v>
      </c>
      <c r="AJ52" s="440"/>
      <c r="AK52" s="440"/>
      <c r="AL52" s="440"/>
      <c r="AM52" s="440"/>
    </row>
    <row r="53" spans="1:39">
      <c r="A53" s="12"/>
      <c r="B53" s="23" t="s">
        <v>1394</v>
      </c>
      <c r="C53" s="23" t="s">
        <v>1409</v>
      </c>
      <c r="D53" s="23">
        <v>1600000</v>
      </c>
      <c r="E53" s="428"/>
      <c r="F53" s="428"/>
      <c r="G53" s="428"/>
      <c r="H53" s="428"/>
      <c r="K53" s="12"/>
      <c r="L53" s="23" t="s">
        <v>1394</v>
      </c>
      <c r="M53" s="23" t="s">
        <v>1409</v>
      </c>
      <c r="N53" s="23"/>
      <c r="O53" s="431"/>
      <c r="P53" s="431"/>
      <c r="Q53" s="431"/>
      <c r="R53" s="431"/>
      <c r="U53" s="12"/>
      <c r="V53" s="23" t="s">
        <v>1394</v>
      </c>
      <c r="W53" s="23" t="s">
        <v>1409</v>
      </c>
      <c r="X53" s="23"/>
      <c r="Y53" s="435"/>
      <c r="Z53" s="435"/>
      <c r="AA53" s="435"/>
      <c r="AB53" s="435"/>
      <c r="AF53" s="12"/>
      <c r="AG53" s="23" t="s">
        <v>1394</v>
      </c>
      <c r="AH53" s="23" t="s">
        <v>1409</v>
      </c>
      <c r="AI53" s="23">
        <v>1600000</v>
      </c>
      <c r="AJ53" s="440"/>
      <c r="AK53" s="440"/>
      <c r="AL53" s="440"/>
      <c r="AM53" s="440"/>
    </row>
    <row r="54" spans="1:39">
      <c r="A54" s="12"/>
      <c r="B54" s="23" t="s">
        <v>1394</v>
      </c>
      <c r="C54" s="23" t="s">
        <v>1283</v>
      </c>
      <c r="D54" s="23">
        <v>10000000</v>
      </c>
      <c r="E54" s="426"/>
      <c r="F54" s="426"/>
      <c r="G54" s="426"/>
      <c r="H54" s="426"/>
      <c r="K54" s="12"/>
      <c r="L54" s="23" t="s">
        <v>1394</v>
      </c>
      <c r="M54" s="23" t="s">
        <v>1283</v>
      </c>
      <c r="N54" s="23"/>
      <c r="O54" s="431"/>
      <c r="P54" s="431"/>
      <c r="Q54" s="431"/>
      <c r="R54" s="431"/>
      <c r="U54" s="12"/>
      <c r="V54" s="23" t="s">
        <v>1394</v>
      </c>
      <c r="W54" s="23" t="s">
        <v>1283</v>
      </c>
      <c r="X54" s="23">
        <v>10000000</v>
      </c>
      <c r="Y54" s="435"/>
      <c r="Z54" s="435"/>
      <c r="AA54" s="435"/>
      <c r="AB54" s="435"/>
      <c r="AF54" s="12"/>
      <c r="AG54" s="23" t="s">
        <v>1394</v>
      </c>
      <c r="AH54" s="23" t="s">
        <v>1283</v>
      </c>
      <c r="AI54" s="23">
        <v>10000000</v>
      </c>
      <c r="AJ54" s="440"/>
      <c r="AK54" s="440"/>
      <c r="AL54" s="440"/>
      <c r="AM54" s="440"/>
    </row>
    <row r="55" spans="1:39">
      <c r="A55" s="12"/>
      <c r="B55" s="23" t="s">
        <v>1394</v>
      </c>
      <c r="C55" s="23" t="s">
        <v>1284</v>
      </c>
      <c r="D55" s="23">
        <v>25000000</v>
      </c>
      <c r="E55" s="426"/>
      <c r="F55" s="426"/>
      <c r="G55" s="426"/>
      <c r="H55" s="426"/>
      <c r="K55" s="12"/>
      <c r="L55" s="23" t="s">
        <v>1394</v>
      </c>
      <c r="M55" s="23" t="s">
        <v>1284</v>
      </c>
      <c r="N55" s="23"/>
      <c r="O55" s="431"/>
      <c r="P55" s="431"/>
      <c r="Q55" s="431"/>
      <c r="R55" s="431"/>
      <c r="U55" s="12"/>
      <c r="V55" s="23" t="s">
        <v>1394</v>
      </c>
      <c r="W55" s="23" t="s">
        <v>1284</v>
      </c>
      <c r="X55" s="23">
        <v>25000000</v>
      </c>
      <c r="Y55" s="435"/>
      <c r="Z55" s="435"/>
      <c r="AA55" s="435"/>
      <c r="AB55" s="435"/>
      <c r="AF55" s="12"/>
      <c r="AG55" s="23" t="s">
        <v>1394</v>
      </c>
      <c r="AH55" s="23" t="s">
        <v>1284</v>
      </c>
      <c r="AI55" s="23">
        <v>25000000</v>
      </c>
      <c r="AJ55" s="440"/>
      <c r="AK55" s="440"/>
      <c r="AL55" s="440"/>
      <c r="AM55" s="440"/>
    </row>
    <row r="56" spans="1:39">
      <c r="A56" s="12"/>
      <c r="B56" s="23" t="s">
        <v>1394</v>
      </c>
      <c r="C56" s="23" t="s">
        <v>1405</v>
      </c>
      <c r="D56" s="22">
        <v>8000000</v>
      </c>
      <c r="E56" s="426"/>
      <c r="F56" s="426"/>
      <c r="G56" s="426"/>
      <c r="H56" s="426"/>
      <c r="K56" s="12"/>
      <c r="L56" s="23" t="s">
        <v>1394</v>
      </c>
      <c r="M56" s="23" t="s">
        <v>1405</v>
      </c>
      <c r="N56" s="22"/>
      <c r="O56" s="431"/>
      <c r="P56" s="431"/>
      <c r="Q56" s="431"/>
      <c r="R56" s="431"/>
      <c r="U56" s="12"/>
      <c r="V56" s="23" t="s">
        <v>1394</v>
      </c>
      <c r="W56" s="23" t="s">
        <v>1405</v>
      </c>
      <c r="X56" s="22">
        <v>8000000</v>
      </c>
      <c r="Y56" s="435"/>
      <c r="Z56" s="435"/>
      <c r="AA56" s="435"/>
      <c r="AB56" s="435"/>
      <c r="AF56" s="12"/>
      <c r="AG56" s="23" t="s">
        <v>1394</v>
      </c>
      <c r="AH56" s="23" t="s">
        <v>1405</v>
      </c>
      <c r="AI56" s="22">
        <v>8000000</v>
      </c>
      <c r="AJ56" s="440"/>
      <c r="AK56" s="440"/>
      <c r="AL56" s="440"/>
      <c r="AM56" s="440"/>
    </row>
    <row r="57" spans="1:39">
      <c r="A57" s="12"/>
      <c r="B57" s="23" t="s">
        <v>1411</v>
      </c>
      <c r="C57" s="23" t="s">
        <v>1412</v>
      </c>
      <c r="D57" s="22">
        <v>600000</v>
      </c>
      <c r="E57" s="428"/>
      <c r="F57" s="428"/>
      <c r="G57" s="428"/>
      <c r="H57" s="428"/>
      <c r="K57" s="12"/>
      <c r="L57" s="23" t="s">
        <v>1411</v>
      </c>
      <c r="M57" s="23" t="s">
        <v>1412</v>
      </c>
      <c r="N57" s="22"/>
      <c r="O57" s="431"/>
      <c r="P57" s="431"/>
      <c r="Q57" s="431"/>
      <c r="R57" s="431"/>
      <c r="U57" s="12"/>
      <c r="V57" s="23" t="s">
        <v>1411</v>
      </c>
      <c r="W57" s="23" t="s">
        <v>1412</v>
      </c>
      <c r="X57" s="22"/>
      <c r="Y57" s="435"/>
      <c r="Z57" s="435"/>
      <c r="AA57" s="435"/>
      <c r="AB57" s="435"/>
      <c r="AF57" s="12"/>
      <c r="AG57" s="23" t="s">
        <v>1411</v>
      </c>
      <c r="AH57" s="23" t="s">
        <v>1412</v>
      </c>
      <c r="AI57" s="22">
        <v>600000</v>
      </c>
      <c r="AJ57" s="440"/>
      <c r="AK57" s="440"/>
      <c r="AL57" s="440"/>
      <c r="AM57" s="440"/>
    </row>
    <row r="58" spans="1:39">
      <c r="A58" s="12"/>
      <c r="B58" s="23" t="s">
        <v>1335</v>
      </c>
      <c r="C58" s="23" t="s">
        <v>1406</v>
      </c>
      <c r="D58" s="22">
        <v>110000</v>
      </c>
      <c r="E58" s="428"/>
      <c r="F58" s="428"/>
      <c r="G58" s="428"/>
      <c r="H58" s="428"/>
      <c r="K58" s="12"/>
      <c r="L58" s="23" t="s">
        <v>1335</v>
      </c>
      <c r="M58" s="23" t="s">
        <v>1406</v>
      </c>
      <c r="N58" s="22"/>
      <c r="O58" s="431"/>
      <c r="P58" s="431"/>
      <c r="Q58" s="431"/>
      <c r="R58" s="431"/>
      <c r="U58" s="12"/>
      <c r="V58" s="23" t="s">
        <v>1335</v>
      </c>
      <c r="W58" s="23" t="s">
        <v>1406</v>
      </c>
      <c r="X58" s="22">
        <v>210000</v>
      </c>
      <c r="Y58" s="435"/>
      <c r="Z58" s="435"/>
      <c r="AA58" s="435"/>
      <c r="AB58" s="435"/>
      <c r="AF58" s="12"/>
      <c r="AG58" s="23" t="s">
        <v>1335</v>
      </c>
      <c r="AH58" s="23" t="s">
        <v>1406</v>
      </c>
      <c r="AI58" s="22">
        <v>210000</v>
      </c>
      <c r="AJ58" s="440"/>
      <c r="AK58" s="440"/>
      <c r="AL58" s="440"/>
      <c r="AM58" s="440"/>
    </row>
    <row r="59" spans="1:39">
      <c r="A59" s="12"/>
      <c r="B59" s="13"/>
      <c r="C59" s="26" t="s">
        <v>55</v>
      </c>
      <c r="D59" s="27">
        <f>SUM(D37:D58)</f>
        <v>276127909</v>
      </c>
      <c r="E59" s="27">
        <v>0</v>
      </c>
      <c r="F59" s="27">
        <v>0</v>
      </c>
      <c r="G59" s="27"/>
      <c r="H59" s="27"/>
      <c r="K59" s="12"/>
      <c r="L59" s="13"/>
      <c r="M59" s="26" t="s">
        <v>55</v>
      </c>
      <c r="N59" s="27">
        <f>SUM(N37:N58)</f>
        <v>550000</v>
      </c>
      <c r="O59" s="27">
        <v>0</v>
      </c>
      <c r="P59" s="27">
        <v>0</v>
      </c>
      <c r="Q59" s="27"/>
      <c r="R59" s="27"/>
      <c r="U59" s="12"/>
      <c r="V59" s="13"/>
      <c r="W59" s="26" t="s">
        <v>55</v>
      </c>
      <c r="X59" s="27">
        <f>SUM(X37:X58)</f>
        <v>144755000</v>
      </c>
      <c r="Y59" s="27">
        <v>0</v>
      </c>
      <c r="Z59" s="27">
        <v>0</v>
      </c>
      <c r="AA59" s="27"/>
      <c r="AB59" s="27"/>
      <c r="AF59" s="12"/>
      <c r="AG59" s="13"/>
      <c r="AH59" s="26" t="s">
        <v>55</v>
      </c>
      <c r="AI59" s="27">
        <f>SUM(AI37:AI58)</f>
        <v>149646000</v>
      </c>
      <c r="AJ59" s="27">
        <v>0</v>
      </c>
      <c r="AK59" s="27">
        <v>0</v>
      </c>
      <c r="AL59" s="27"/>
      <c r="AM59" s="27"/>
    </row>
    <row r="60" spans="1:39">
      <c r="A60" s="20"/>
      <c r="B60" s="19"/>
      <c r="C60" s="426" t="s">
        <v>21</v>
      </c>
      <c r="D60" s="10"/>
      <c r="E60" s="530">
        <f>D59</f>
        <v>276127909</v>
      </c>
      <c r="F60" s="530"/>
      <c r="G60" s="530"/>
      <c r="H60" s="530"/>
      <c r="K60" s="20"/>
      <c r="L60" s="19"/>
      <c r="M60" s="431" t="s">
        <v>21</v>
      </c>
      <c r="N60" s="10"/>
      <c r="O60" s="530">
        <f>N59</f>
        <v>550000</v>
      </c>
      <c r="P60" s="530"/>
      <c r="Q60" s="530"/>
      <c r="R60" s="530"/>
      <c r="U60" s="20"/>
      <c r="V60" s="19"/>
      <c r="W60" s="435" t="s">
        <v>21</v>
      </c>
      <c r="X60" s="10"/>
      <c r="Y60" s="530">
        <f>X59</f>
        <v>144755000</v>
      </c>
      <c r="Z60" s="530"/>
      <c r="AA60" s="530"/>
      <c r="AB60" s="530"/>
      <c r="AF60" s="20"/>
      <c r="AG60" s="19"/>
      <c r="AH60" s="440" t="s">
        <v>21</v>
      </c>
      <c r="AI60" s="10"/>
      <c r="AJ60" s="530">
        <f>AI59</f>
        <v>149646000</v>
      </c>
      <c r="AK60" s="530"/>
      <c r="AL60" s="530"/>
      <c r="AM60" s="530"/>
    </row>
    <row r="61" spans="1:39">
      <c r="A61" s="524" t="s">
        <v>1047</v>
      </c>
      <c r="B61" s="524"/>
      <c r="C61" s="524"/>
      <c r="D61" s="524"/>
      <c r="E61" s="524"/>
      <c r="F61" s="524"/>
      <c r="G61" s="524"/>
      <c r="H61" s="524"/>
      <c r="K61" s="524" t="s">
        <v>1047</v>
      </c>
      <c r="L61" s="524"/>
      <c r="M61" s="524"/>
      <c r="N61" s="524"/>
      <c r="O61" s="524"/>
      <c r="P61" s="524"/>
      <c r="Q61" s="524"/>
      <c r="R61" s="524"/>
      <c r="U61" s="524" t="s">
        <v>1047</v>
      </c>
      <c r="V61" s="524"/>
      <c r="W61" s="524"/>
      <c r="X61" s="524"/>
      <c r="Y61" s="524"/>
      <c r="Z61" s="524"/>
      <c r="AA61" s="524"/>
      <c r="AB61" s="524"/>
      <c r="AF61" s="524" t="s">
        <v>1047</v>
      </c>
      <c r="AG61" s="524"/>
      <c r="AH61" s="524"/>
      <c r="AI61" s="524"/>
      <c r="AJ61" s="524"/>
      <c r="AK61" s="524"/>
      <c r="AL61" s="524"/>
      <c r="AM61" s="524"/>
    </row>
    <row r="62" spans="1:39" hidden="1">
      <c r="A62" s="28"/>
      <c r="B62" s="19"/>
      <c r="C62" s="23"/>
      <c r="D62" s="23"/>
      <c r="E62" s="28"/>
      <c r="F62" s="28"/>
      <c r="G62" s="28"/>
      <c r="H62" s="28"/>
      <c r="K62" s="28"/>
      <c r="L62" s="19"/>
      <c r="M62" s="23"/>
      <c r="N62" s="23"/>
      <c r="O62" s="28"/>
      <c r="P62" s="28"/>
      <c r="Q62" s="28"/>
      <c r="R62" s="28"/>
      <c r="U62" s="28"/>
      <c r="V62" s="19"/>
      <c r="W62" s="23"/>
      <c r="X62" s="23"/>
      <c r="Y62" s="28"/>
      <c r="Z62" s="28"/>
      <c r="AA62" s="28"/>
      <c r="AB62" s="28"/>
      <c r="AF62" s="28"/>
      <c r="AG62" s="19"/>
      <c r="AH62" s="23"/>
      <c r="AI62" s="23"/>
      <c r="AJ62" s="28"/>
      <c r="AK62" s="28"/>
      <c r="AL62" s="28"/>
      <c r="AM62" s="28"/>
    </row>
    <row r="63" spans="1:39">
      <c r="A63" s="28"/>
      <c r="B63" s="19" t="s">
        <v>1362</v>
      </c>
      <c r="C63" s="23" t="s">
        <v>1291</v>
      </c>
      <c r="D63" s="23">
        <v>7755000</v>
      </c>
      <c r="E63" s="28"/>
      <c r="F63" s="28"/>
      <c r="G63" s="28"/>
      <c r="H63" s="28"/>
      <c r="K63" s="28"/>
      <c r="L63" s="19" t="s">
        <v>1362</v>
      </c>
      <c r="M63" s="23" t="s">
        <v>1291</v>
      </c>
      <c r="N63" s="23">
        <v>7755000</v>
      </c>
      <c r="O63" s="28"/>
      <c r="P63" s="28"/>
      <c r="Q63" s="28"/>
      <c r="R63" s="28"/>
      <c r="U63" s="28"/>
      <c r="V63" s="19"/>
      <c r="W63" s="23"/>
      <c r="X63" s="23"/>
      <c r="Y63" s="28"/>
      <c r="Z63" s="28"/>
      <c r="AA63" s="28"/>
      <c r="AB63" s="28"/>
      <c r="AF63" s="28"/>
      <c r="AG63" s="19" t="s">
        <v>1362</v>
      </c>
      <c r="AH63" s="23" t="s">
        <v>1291</v>
      </c>
      <c r="AI63" s="23">
        <v>7755000</v>
      </c>
      <c r="AJ63" s="28"/>
      <c r="AK63" s="28"/>
      <c r="AL63" s="28"/>
      <c r="AM63" s="28"/>
    </row>
    <row r="64" spans="1:39">
      <c r="A64" s="28"/>
      <c r="B64" s="19" t="s">
        <v>1362</v>
      </c>
      <c r="C64" s="23" t="s">
        <v>1175</v>
      </c>
      <c r="D64" s="23">
        <v>30000</v>
      </c>
      <c r="E64" s="28"/>
      <c r="F64" s="28"/>
      <c r="G64" s="28"/>
      <c r="H64" s="28"/>
      <c r="K64" s="28"/>
      <c r="L64" s="19" t="s">
        <v>1362</v>
      </c>
      <c r="M64" s="23" t="s">
        <v>1175</v>
      </c>
      <c r="N64" s="23">
        <v>30000</v>
      </c>
      <c r="O64" s="28"/>
      <c r="P64" s="28"/>
      <c r="Q64" s="28"/>
      <c r="R64" s="28"/>
      <c r="U64" s="28"/>
      <c r="V64" s="19"/>
      <c r="W64" s="23"/>
      <c r="X64" s="23"/>
      <c r="Y64" s="28"/>
      <c r="Z64" s="28"/>
      <c r="AA64" s="28"/>
      <c r="AB64" s="28"/>
      <c r="AF64" s="28"/>
      <c r="AG64" s="19" t="s">
        <v>1362</v>
      </c>
      <c r="AH64" s="23" t="s">
        <v>1175</v>
      </c>
      <c r="AI64" s="23">
        <v>30000</v>
      </c>
      <c r="AJ64" s="28"/>
      <c r="AK64" s="28"/>
      <c r="AL64" s="28"/>
      <c r="AM64" s="28"/>
    </row>
    <row r="65" spans="1:39">
      <c r="A65" s="28"/>
      <c r="B65" s="19" t="s">
        <v>1362</v>
      </c>
      <c r="C65" s="23" t="s">
        <v>1127</v>
      </c>
      <c r="D65" s="23">
        <f>150000*2</f>
        <v>300000</v>
      </c>
      <c r="E65" s="28"/>
      <c r="F65" s="28"/>
      <c r="G65" s="28"/>
      <c r="H65" s="28"/>
      <c r="K65" s="28"/>
      <c r="L65" s="19" t="s">
        <v>1362</v>
      </c>
      <c r="M65" s="23" t="s">
        <v>1127</v>
      </c>
      <c r="N65" s="23">
        <f>150000*2</f>
        <v>300000</v>
      </c>
      <c r="O65" s="28"/>
      <c r="P65" s="28"/>
      <c r="Q65" s="28"/>
      <c r="R65" s="28"/>
      <c r="U65" s="28"/>
      <c r="V65" s="19"/>
      <c r="W65" s="23"/>
      <c r="X65" s="23"/>
      <c r="Y65" s="28"/>
      <c r="Z65" s="28"/>
      <c r="AA65" s="28"/>
      <c r="AB65" s="28"/>
      <c r="AF65" s="28"/>
      <c r="AG65" s="19" t="s">
        <v>1362</v>
      </c>
      <c r="AH65" s="23" t="s">
        <v>1127</v>
      </c>
      <c r="AI65" s="23">
        <f>150000*2</f>
        <v>300000</v>
      </c>
      <c r="AJ65" s="28"/>
      <c r="AK65" s="28"/>
      <c r="AL65" s="28"/>
      <c r="AM65" s="28"/>
    </row>
    <row r="66" spans="1:39">
      <c r="A66" s="28"/>
      <c r="B66" s="19" t="s">
        <v>1362</v>
      </c>
      <c r="C66" s="23" t="s">
        <v>1392</v>
      </c>
      <c r="D66" s="23">
        <v>250000</v>
      </c>
      <c r="E66" s="28"/>
      <c r="F66" s="28"/>
      <c r="G66" s="28"/>
      <c r="H66" s="28"/>
      <c r="K66" s="28"/>
      <c r="L66" s="19" t="s">
        <v>1362</v>
      </c>
      <c r="M66" s="23" t="s">
        <v>1392</v>
      </c>
      <c r="N66" s="23">
        <v>250000</v>
      </c>
      <c r="O66" s="28"/>
      <c r="P66" s="28"/>
      <c r="Q66" s="28"/>
      <c r="R66" s="28"/>
      <c r="U66" s="28"/>
      <c r="V66" s="19"/>
      <c r="W66" s="23"/>
      <c r="X66" s="23"/>
      <c r="Y66" s="28"/>
      <c r="Z66" s="28"/>
      <c r="AA66" s="28"/>
      <c r="AB66" s="28"/>
      <c r="AF66" s="28"/>
      <c r="AG66" s="19" t="s">
        <v>1362</v>
      </c>
      <c r="AH66" s="23" t="s">
        <v>1392</v>
      </c>
      <c r="AI66" s="23">
        <v>250000</v>
      </c>
      <c r="AJ66" s="28"/>
      <c r="AK66" s="28"/>
      <c r="AL66" s="28"/>
      <c r="AM66" s="28"/>
    </row>
    <row r="67" spans="1:39">
      <c r="A67" s="12"/>
      <c r="B67" s="19" t="s">
        <v>1362</v>
      </c>
      <c r="C67" s="24" t="s">
        <v>1382</v>
      </c>
      <c r="D67" s="23">
        <v>600000</v>
      </c>
      <c r="E67" s="426"/>
      <c r="F67" s="426"/>
      <c r="G67" s="426"/>
      <c r="H67" s="426"/>
      <c r="K67" s="12"/>
      <c r="L67" s="19" t="s">
        <v>1362</v>
      </c>
      <c r="M67" s="24" t="s">
        <v>1382</v>
      </c>
      <c r="N67" s="23">
        <v>600000</v>
      </c>
      <c r="O67" s="431"/>
      <c r="P67" s="431"/>
      <c r="Q67" s="431"/>
      <c r="R67" s="431"/>
      <c r="U67" s="12"/>
      <c r="V67" s="19"/>
      <c r="W67" s="24"/>
      <c r="X67" s="23"/>
      <c r="Y67" s="435"/>
      <c r="Z67" s="435"/>
      <c r="AA67" s="435"/>
      <c r="AB67" s="435"/>
      <c r="AF67" s="12"/>
      <c r="AG67" s="19" t="s">
        <v>1362</v>
      </c>
      <c r="AH67" s="24" t="s">
        <v>1382</v>
      </c>
      <c r="AI67" s="23">
        <v>510000</v>
      </c>
      <c r="AJ67" s="440"/>
      <c r="AK67" s="440"/>
      <c r="AL67" s="440"/>
      <c r="AM67" s="440"/>
    </row>
    <row r="68" spans="1:39" hidden="1">
      <c r="A68" s="12"/>
      <c r="B68" s="19"/>
      <c r="C68" s="24"/>
      <c r="D68" s="23"/>
      <c r="E68" s="426"/>
      <c r="F68" s="426"/>
      <c r="G68" s="426"/>
      <c r="H68" s="426"/>
      <c r="K68" s="12"/>
      <c r="L68" s="19"/>
      <c r="M68" s="24"/>
      <c r="N68" s="23"/>
      <c r="O68" s="431"/>
      <c r="P68" s="431"/>
      <c r="Q68" s="431"/>
      <c r="R68" s="431"/>
      <c r="U68" s="12"/>
      <c r="V68" s="19"/>
      <c r="W68" s="24"/>
      <c r="X68" s="23"/>
      <c r="Y68" s="435"/>
      <c r="Z68" s="435"/>
      <c r="AA68" s="435"/>
      <c r="AB68" s="435"/>
      <c r="AF68" s="12"/>
      <c r="AG68" s="19"/>
      <c r="AH68" s="24"/>
      <c r="AI68" s="23"/>
      <c r="AJ68" s="440"/>
      <c r="AK68" s="440"/>
      <c r="AL68" s="440"/>
      <c r="AM68" s="440"/>
    </row>
    <row r="69" spans="1:39" hidden="1">
      <c r="A69" s="12"/>
      <c r="B69" s="19"/>
      <c r="C69" s="24"/>
      <c r="D69" s="23"/>
      <c r="E69" s="426"/>
      <c r="F69" s="426"/>
      <c r="G69" s="426"/>
      <c r="H69" s="426"/>
      <c r="K69" s="12"/>
      <c r="L69" s="19"/>
      <c r="M69" s="24"/>
      <c r="N69" s="23"/>
      <c r="O69" s="431"/>
      <c r="P69" s="431"/>
      <c r="Q69" s="431"/>
      <c r="R69" s="431"/>
      <c r="U69" s="12"/>
      <c r="V69" s="19"/>
      <c r="W69" s="24"/>
      <c r="X69" s="23"/>
      <c r="Y69" s="435"/>
      <c r="Z69" s="435"/>
      <c r="AA69" s="435"/>
      <c r="AB69" s="435"/>
      <c r="AF69" s="12"/>
      <c r="AG69" s="19"/>
      <c r="AH69" s="24"/>
      <c r="AI69" s="23"/>
      <c r="AJ69" s="440"/>
      <c r="AK69" s="440"/>
      <c r="AL69" s="440"/>
      <c r="AM69" s="440"/>
    </row>
    <row r="70" spans="1:39" hidden="1">
      <c r="A70" s="12"/>
      <c r="B70" s="19"/>
      <c r="C70" s="24"/>
      <c r="D70" s="23"/>
      <c r="E70" s="426"/>
      <c r="F70" s="426"/>
      <c r="G70" s="426"/>
      <c r="H70" s="426"/>
      <c r="K70" s="12"/>
      <c r="L70" s="19"/>
      <c r="M70" s="24"/>
      <c r="N70" s="23"/>
      <c r="O70" s="431"/>
      <c r="P70" s="431"/>
      <c r="Q70" s="431"/>
      <c r="R70" s="431"/>
      <c r="U70" s="12"/>
      <c r="V70" s="19"/>
      <c r="W70" s="24"/>
      <c r="X70" s="23"/>
      <c r="Y70" s="435"/>
      <c r="Z70" s="435"/>
      <c r="AA70" s="435"/>
      <c r="AB70" s="435"/>
      <c r="AF70" s="12"/>
      <c r="AG70" s="19"/>
      <c r="AH70" s="24"/>
      <c r="AI70" s="23"/>
      <c r="AJ70" s="440"/>
      <c r="AK70" s="440"/>
      <c r="AL70" s="440"/>
      <c r="AM70" s="440"/>
    </row>
    <row r="71" spans="1:39">
      <c r="A71" s="12"/>
      <c r="B71" s="13"/>
      <c r="C71" s="26" t="s">
        <v>848</v>
      </c>
      <c r="D71" s="27">
        <f>SUM(D62:D70)</f>
        <v>8935000</v>
      </c>
      <c r="E71" s="27">
        <v>0</v>
      </c>
      <c r="F71" s="27">
        <v>0</v>
      </c>
      <c r="G71" s="27"/>
      <c r="H71" s="27"/>
      <c r="K71" s="12"/>
      <c r="L71" s="13"/>
      <c r="M71" s="26" t="s">
        <v>848</v>
      </c>
      <c r="N71" s="27">
        <f>SUM(N62:N70)</f>
        <v>8935000</v>
      </c>
      <c r="O71" s="27">
        <v>0</v>
      </c>
      <c r="P71" s="27">
        <v>0</v>
      </c>
      <c r="Q71" s="27"/>
      <c r="R71" s="27"/>
      <c r="U71" s="12"/>
      <c r="V71" s="13"/>
      <c r="W71" s="26" t="s">
        <v>848</v>
      </c>
      <c r="X71" s="27">
        <f>SUM(X62:X70)</f>
        <v>0</v>
      </c>
      <c r="Y71" s="27">
        <v>0</v>
      </c>
      <c r="Z71" s="27">
        <v>0</v>
      </c>
      <c r="AA71" s="27"/>
      <c r="AB71" s="27"/>
      <c r="AF71" s="12"/>
      <c r="AG71" s="13"/>
      <c r="AH71" s="26" t="s">
        <v>848</v>
      </c>
      <c r="AI71" s="27">
        <f>SUM(AI62:AI70)</f>
        <v>8845000</v>
      </c>
      <c r="AJ71" s="27">
        <v>0</v>
      </c>
      <c r="AK71" s="27">
        <v>0</v>
      </c>
      <c r="AL71" s="27"/>
      <c r="AM71" s="27"/>
    </row>
    <row r="72" spans="1:39">
      <c r="A72" s="20"/>
      <c r="B72" s="19"/>
      <c r="C72" s="426" t="s">
        <v>21</v>
      </c>
      <c r="D72" s="10"/>
      <c r="E72" s="530">
        <f>D71</f>
        <v>8935000</v>
      </c>
      <c r="F72" s="530"/>
      <c r="G72" s="530"/>
      <c r="H72" s="530"/>
      <c r="K72" s="20"/>
      <c r="L72" s="19"/>
      <c r="M72" s="431" t="s">
        <v>21</v>
      </c>
      <c r="N72" s="10"/>
      <c r="O72" s="530">
        <f>N71</f>
        <v>8935000</v>
      </c>
      <c r="P72" s="530"/>
      <c r="Q72" s="530"/>
      <c r="R72" s="530"/>
      <c r="U72" s="20"/>
      <c r="V72" s="19"/>
      <c r="W72" s="435" t="s">
        <v>21</v>
      </c>
      <c r="X72" s="10"/>
      <c r="Y72" s="530">
        <f>X71</f>
        <v>0</v>
      </c>
      <c r="Z72" s="530"/>
      <c r="AA72" s="530"/>
      <c r="AB72" s="530"/>
      <c r="AF72" s="20"/>
      <c r="AG72" s="19"/>
      <c r="AH72" s="440" t="s">
        <v>21</v>
      </c>
      <c r="AI72" s="10"/>
      <c r="AJ72" s="530">
        <f>AI71</f>
        <v>8845000</v>
      </c>
      <c r="AK72" s="530"/>
      <c r="AL72" s="530"/>
      <c r="AM72" s="530"/>
    </row>
    <row r="73" spans="1:39">
      <c r="A73" s="527" t="s">
        <v>26</v>
      </c>
      <c r="B73" s="528"/>
      <c r="C73" s="528"/>
      <c r="D73" s="528"/>
      <c r="E73" s="528"/>
      <c r="F73" s="528"/>
      <c r="G73" s="528"/>
      <c r="H73" s="529"/>
      <c r="K73" s="527" t="s">
        <v>26</v>
      </c>
      <c r="L73" s="528"/>
      <c r="M73" s="528"/>
      <c r="N73" s="528"/>
      <c r="O73" s="528"/>
      <c r="P73" s="528"/>
      <c r="Q73" s="528"/>
      <c r="R73" s="529"/>
      <c r="U73" s="527" t="s">
        <v>26</v>
      </c>
      <c r="V73" s="528"/>
      <c r="W73" s="528"/>
      <c r="X73" s="528"/>
      <c r="Y73" s="528"/>
      <c r="Z73" s="528"/>
      <c r="AA73" s="528"/>
      <c r="AB73" s="529"/>
      <c r="AF73" s="527" t="s">
        <v>26</v>
      </c>
      <c r="AG73" s="528"/>
      <c r="AH73" s="528"/>
      <c r="AI73" s="528"/>
      <c r="AJ73" s="528"/>
      <c r="AK73" s="528"/>
      <c r="AL73" s="528"/>
      <c r="AM73" s="529"/>
    </row>
    <row r="74" spans="1:39">
      <c r="A74" s="12"/>
      <c r="B74" s="23" t="s">
        <v>1297</v>
      </c>
      <c r="C74" s="24" t="s">
        <v>1337</v>
      </c>
      <c r="D74" s="23">
        <v>3910000</v>
      </c>
      <c r="E74" s="22"/>
      <c r="F74" s="22"/>
      <c r="G74" s="16"/>
      <c r="H74" s="16"/>
      <c r="K74" s="12"/>
      <c r="L74" s="23" t="s">
        <v>1297</v>
      </c>
      <c r="M74" s="24" t="s">
        <v>1337</v>
      </c>
      <c r="N74" s="23"/>
      <c r="O74" s="22"/>
      <c r="P74" s="22"/>
      <c r="Q74" s="16"/>
      <c r="R74" s="16"/>
      <c r="U74" s="12"/>
      <c r="V74" s="23" t="s">
        <v>1297</v>
      </c>
      <c r="W74" s="24" t="s">
        <v>1337</v>
      </c>
      <c r="X74" s="23"/>
      <c r="Y74" s="22"/>
      <c r="Z74" s="22"/>
      <c r="AA74" s="16"/>
      <c r="AB74" s="16"/>
      <c r="AF74" s="12"/>
      <c r="AG74" s="23" t="s">
        <v>1297</v>
      </c>
      <c r="AH74" s="24" t="s">
        <v>1337</v>
      </c>
      <c r="AI74" s="23"/>
      <c r="AJ74" s="22"/>
      <c r="AK74" s="22"/>
      <c r="AL74" s="16"/>
      <c r="AM74" s="16"/>
    </row>
    <row r="75" spans="1:39">
      <c r="A75" s="12"/>
      <c r="B75" s="23" t="s">
        <v>1331</v>
      </c>
      <c r="C75" s="24" t="s">
        <v>1396</v>
      </c>
      <c r="D75" s="23">
        <v>167800</v>
      </c>
      <c r="E75" s="22"/>
      <c r="F75" s="22"/>
      <c r="G75" s="16"/>
      <c r="H75" s="16"/>
      <c r="K75" s="12"/>
      <c r="L75" s="23" t="s">
        <v>1331</v>
      </c>
      <c r="M75" s="24" t="s">
        <v>1396</v>
      </c>
      <c r="N75" s="23"/>
      <c r="O75" s="22"/>
      <c r="P75" s="22"/>
      <c r="Q75" s="16"/>
      <c r="R75" s="16"/>
      <c r="U75" s="12"/>
      <c r="V75" s="23" t="s">
        <v>1331</v>
      </c>
      <c r="W75" s="24" t="s">
        <v>1396</v>
      </c>
      <c r="X75" s="23"/>
      <c r="Y75" s="22"/>
      <c r="Z75" s="22"/>
      <c r="AA75" s="16"/>
      <c r="AB75" s="16"/>
      <c r="AF75" s="12"/>
      <c r="AG75" s="23" t="s">
        <v>1331</v>
      </c>
      <c r="AH75" s="24" t="s">
        <v>1396</v>
      </c>
      <c r="AI75" s="23"/>
      <c r="AJ75" s="22"/>
      <c r="AK75" s="22"/>
      <c r="AL75" s="16"/>
      <c r="AM75" s="16"/>
    </row>
    <row r="76" spans="1:39">
      <c r="A76" s="12"/>
      <c r="B76" s="23" t="s">
        <v>1362</v>
      </c>
      <c r="C76" s="24" t="s">
        <v>1351</v>
      </c>
      <c r="D76" s="23">
        <v>1173000</v>
      </c>
      <c r="E76" s="22"/>
      <c r="F76" s="22"/>
      <c r="G76" s="16"/>
      <c r="H76" s="16"/>
      <c r="K76" s="12"/>
      <c r="L76" s="23" t="s">
        <v>1362</v>
      </c>
      <c r="M76" s="24" t="s">
        <v>1351</v>
      </c>
      <c r="N76" s="23">
        <v>1173000</v>
      </c>
      <c r="O76" s="22"/>
      <c r="P76" s="22"/>
      <c r="Q76" s="16"/>
      <c r="R76" s="16"/>
      <c r="U76" s="12"/>
      <c r="V76" s="23"/>
      <c r="W76" s="24"/>
      <c r="X76" s="23"/>
      <c r="Y76" s="22"/>
      <c r="Z76" s="22"/>
      <c r="AA76" s="16"/>
      <c r="AB76" s="16"/>
      <c r="AF76" s="12"/>
      <c r="AG76" s="23" t="s">
        <v>1362</v>
      </c>
      <c r="AH76" s="24" t="s">
        <v>1351</v>
      </c>
      <c r="AI76" s="23">
        <v>1173000</v>
      </c>
      <c r="AJ76" s="22"/>
      <c r="AK76" s="22"/>
      <c r="AL76" s="16"/>
      <c r="AM76" s="16"/>
    </row>
    <row r="77" spans="1:39">
      <c r="A77" s="12"/>
      <c r="B77" s="23" t="s">
        <v>1399</v>
      </c>
      <c r="C77" s="24" t="s">
        <v>1397</v>
      </c>
      <c r="D77" s="23">
        <v>125000</v>
      </c>
      <c r="E77" s="22"/>
      <c r="F77" s="22"/>
      <c r="G77" s="16"/>
      <c r="H77" s="16"/>
      <c r="K77" s="12"/>
      <c r="L77" s="23" t="s">
        <v>1399</v>
      </c>
      <c r="M77" s="24" t="s">
        <v>1397</v>
      </c>
      <c r="N77" s="23"/>
      <c r="O77" s="22"/>
      <c r="P77" s="22"/>
      <c r="Q77" s="16"/>
      <c r="R77" s="16"/>
      <c r="U77" s="12"/>
      <c r="V77" s="23" t="s">
        <v>1399</v>
      </c>
      <c r="W77" s="24" t="s">
        <v>1397</v>
      </c>
      <c r="X77" s="23"/>
      <c r="Y77" s="22"/>
      <c r="Z77" s="22"/>
      <c r="AA77" s="16"/>
      <c r="AB77" s="16"/>
      <c r="AF77" s="12"/>
      <c r="AG77" s="23" t="s">
        <v>1399</v>
      </c>
      <c r="AH77" s="24" t="s">
        <v>1397</v>
      </c>
      <c r="AI77" s="23"/>
      <c r="AJ77" s="22"/>
      <c r="AK77" s="22"/>
      <c r="AL77" s="16"/>
      <c r="AM77" s="16"/>
    </row>
    <row r="78" spans="1:39">
      <c r="A78" s="12"/>
      <c r="B78" s="23" t="s">
        <v>1399</v>
      </c>
      <c r="C78" s="24" t="s">
        <v>1398</v>
      </c>
      <c r="D78" s="23">
        <v>3393000</v>
      </c>
      <c r="E78" s="22"/>
      <c r="F78" s="22"/>
      <c r="G78" s="16"/>
      <c r="H78" s="16"/>
      <c r="K78" s="12"/>
      <c r="L78" s="23" t="s">
        <v>1399</v>
      </c>
      <c r="M78" s="24" t="s">
        <v>1398</v>
      </c>
      <c r="N78" s="23"/>
      <c r="O78" s="22"/>
      <c r="P78" s="22"/>
      <c r="Q78" s="16"/>
      <c r="R78" s="16"/>
      <c r="U78" s="12"/>
      <c r="V78" s="23" t="s">
        <v>1399</v>
      </c>
      <c r="W78" s="24" t="s">
        <v>1398</v>
      </c>
      <c r="X78" s="23"/>
      <c r="Y78" s="22"/>
      <c r="Z78" s="22"/>
      <c r="AA78" s="16"/>
      <c r="AB78" s="16"/>
      <c r="AF78" s="12"/>
      <c r="AG78" s="23" t="s">
        <v>1399</v>
      </c>
      <c r="AH78" s="24" t="s">
        <v>1398</v>
      </c>
      <c r="AI78" s="23"/>
      <c r="AJ78" s="22"/>
      <c r="AK78" s="22"/>
      <c r="AL78" s="16"/>
      <c r="AM78" s="16"/>
    </row>
    <row r="79" spans="1:39">
      <c r="A79" s="12"/>
      <c r="B79" s="23" t="s">
        <v>1399</v>
      </c>
      <c r="C79" s="24" t="s">
        <v>1401</v>
      </c>
      <c r="D79" s="23">
        <v>4039000</v>
      </c>
      <c r="E79" s="22"/>
      <c r="F79" s="22"/>
      <c r="G79" s="16"/>
      <c r="H79" s="16"/>
      <c r="K79" s="12"/>
      <c r="L79" s="23" t="s">
        <v>1399</v>
      </c>
      <c r="M79" s="24" t="s">
        <v>1401</v>
      </c>
      <c r="N79" s="23">
        <v>4039000</v>
      </c>
      <c r="O79" s="22"/>
      <c r="P79" s="22"/>
      <c r="Q79" s="16"/>
      <c r="R79" s="16"/>
      <c r="U79" s="12"/>
      <c r="V79" s="23"/>
      <c r="W79" s="24"/>
      <c r="X79" s="23"/>
      <c r="Y79" s="22"/>
      <c r="Z79" s="22"/>
      <c r="AA79" s="16"/>
      <c r="AB79" s="16"/>
      <c r="AF79" s="12"/>
      <c r="AG79" s="23" t="s">
        <v>1399</v>
      </c>
      <c r="AH79" s="24" t="s">
        <v>1401</v>
      </c>
      <c r="AI79" s="23">
        <v>4039000</v>
      </c>
      <c r="AJ79" s="22"/>
      <c r="AK79" s="22"/>
      <c r="AL79" s="16"/>
      <c r="AM79" s="16"/>
    </row>
    <row r="80" spans="1:39">
      <c r="A80" s="12"/>
      <c r="B80" s="23" t="s">
        <v>1399</v>
      </c>
      <c r="C80" s="24" t="s">
        <v>339</v>
      </c>
      <c r="D80" s="23">
        <v>15000</v>
      </c>
      <c r="E80" s="22"/>
      <c r="F80" s="22"/>
      <c r="G80" s="16"/>
      <c r="H80" s="16"/>
      <c r="K80" s="12"/>
      <c r="L80" s="23" t="s">
        <v>1399</v>
      </c>
      <c r="M80" s="24" t="s">
        <v>339</v>
      </c>
      <c r="N80" s="23"/>
      <c r="O80" s="22"/>
      <c r="P80" s="22"/>
      <c r="Q80" s="16"/>
      <c r="R80" s="16"/>
      <c r="U80" s="12"/>
      <c r="V80" s="23" t="s">
        <v>1399</v>
      </c>
      <c r="W80" s="24" t="s">
        <v>339</v>
      </c>
      <c r="X80" s="23"/>
      <c r="Y80" s="22"/>
      <c r="Z80" s="22"/>
      <c r="AA80" s="16"/>
      <c r="AB80" s="16"/>
      <c r="AF80" s="12"/>
      <c r="AG80" s="23" t="s">
        <v>1399</v>
      </c>
      <c r="AH80" s="24" t="s">
        <v>339</v>
      </c>
      <c r="AI80" s="23">
        <v>15000</v>
      </c>
      <c r="AJ80" s="22"/>
      <c r="AK80" s="22"/>
      <c r="AL80" s="16"/>
      <c r="AM80" s="16"/>
    </row>
    <row r="81" spans="1:39">
      <c r="A81" s="12"/>
      <c r="B81" s="23" t="s">
        <v>1374</v>
      </c>
      <c r="C81" s="24" t="s">
        <v>1400</v>
      </c>
      <c r="D81" s="23">
        <v>893000</v>
      </c>
      <c r="E81" s="22"/>
      <c r="F81" s="22" t="s">
        <v>849</v>
      </c>
      <c r="G81" s="16"/>
      <c r="H81" s="16"/>
      <c r="K81" s="12"/>
      <c r="L81" s="23" t="s">
        <v>1374</v>
      </c>
      <c r="M81" s="24" t="s">
        <v>1400</v>
      </c>
      <c r="N81" s="23"/>
      <c r="O81" s="22"/>
      <c r="P81" s="22" t="s">
        <v>849</v>
      </c>
      <c r="Q81" s="16"/>
      <c r="R81" s="16"/>
      <c r="U81" s="12"/>
      <c r="V81" s="23" t="s">
        <v>1374</v>
      </c>
      <c r="W81" s="24" t="s">
        <v>1400</v>
      </c>
      <c r="X81" s="23"/>
      <c r="Y81" s="22"/>
      <c r="Z81" s="22" t="s">
        <v>849</v>
      </c>
      <c r="AA81" s="16"/>
      <c r="AB81" s="16"/>
      <c r="AF81" s="12"/>
      <c r="AG81" s="23" t="s">
        <v>1374</v>
      </c>
      <c r="AH81" s="24" t="s">
        <v>1400</v>
      </c>
      <c r="AI81" s="23"/>
      <c r="AJ81" s="22"/>
      <c r="AK81" s="22" t="s">
        <v>849</v>
      </c>
      <c r="AL81" s="16"/>
      <c r="AM81" s="16"/>
    </row>
    <row r="82" spans="1:39">
      <c r="A82" s="12"/>
      <c r="B82" s="23" t="s">
        <v>1374</v>
      </c>
      <c r="C82" s="24" t="s">
        <v>1358</v>
      </c>
      <c r="D82" s="23">
        <v>4705000</v>
      </c>
      <c r="E82" s="22"/>
      <c r="F82" s="22"/>
      <c r="G82" s="16"/>
      <c r="H82" s="16"/>
      <c r="K82" s="12"/>
      <c r="L82" s="23" t="s">
        <v>1374</v>
      </c>
      <c r="M82" s="24" t="s">
        <v>1358</v>
      </c>
      <c r="N82" s="23"/>
      <c r="O82" s="22"/>
      <c r="P82" s="22"/>
      <c r="Q82" s="16"/>
      <c r="R82" s="16"/>
      <c r="U82" s="12"/>
      <c r="V82" s="23" t="s">
        <v>1374</v>
      </c>
      <c r="W82" s="24" t="s">
        <v>1358</v>
      </c>
      <c r="X82" s="23"/>
      <c r="Y82" s="22"/>
      <c r="Z82" s="22"/>
      <c r="AA82" s="16"/>
      <c r="AB82" s="16"/>
      <c r="AF82" s="12"/>
      <c r="AG82" s="23" t="s">
        <v>1374</v>
      </c>
      <c r="AH82" s="24" t="s">
        <v>1358</v>
      </c>
      <c r="AI82" s="23"/>
      <c r="AJ82" s="22"/>
      <c r="AK82" s="22"/>
      <c r="AL82" s="16"/>
      <c r="AM82" s="16"/>
    </row>
    <row r="83" spans="1:39">
      <c r="A83" s="12"/>
      <c r="B83" s="23" t="s">
        <v>1374</v>
      </c>
      <c r="C83" s="24" t="s">
        <v>339</v>
      </c>
      <c r="D83" s="23">
        <f>10000+5000+5000</f>
        <v>20000</v>
      </c>
      <c r="E83" s="22"/>
      <c r="F83" s="22"/>
      <c r="G83" s="16"/>
      <c r="H83" s="16"/>
      <c r="K83" s="12"/>
      <c r="L83" s="23" t="s">
        <v>1374</v>
      </c>
      <c r="M83" s="24" t="s">
        <v>339</v>
      </c>
      <c r="N83" s="23"/>
      <c r="O83" s="22"/>
      <c r="P83" s="22"/>
      <c r="Q83" s="16"/>
      <c r="R83" s="16"/>
      <c r="U83" s="12"/>
      <c r="V83" s="23" t="s">
        <v>1374</v>
      </c>
      <c r="W83" s="24" t="s">
        <v>339</v>
      </c>
      <c r="X83" s="23"/>
      <c r="Y83" s="22"/>
      <c r="Z83" s="22"/>
      <c r="AA83" s="16"/>
      <c r="AB83" s="16"/>
      <c r="AF83" s="12"/>
      <c r="AG83" s="23" t="s">
        <v>1374</v>
      </c>
      <c r="AH83" s="24" t="s">
        <v>339</v>
      </c>
      <c r="AI83" s="23">
        <f>10000+5000+5000</f>
        <v>20000</v>
      </c>
      <c r="AJ83" s="22"/>
      <c r="AK83" s="22"/>
      <c r="AL83" s="16"/>
      <c r="AM83" s="16"/>
    </row>
    <row r="84" spans="1:39">
      <c r="A84" s="12"/>
      <c r="B84" s="23" t="s">
        <v>1374</v>
      </c>
      <c r="C84" s="23" t="s">
        <v>1407</v>
      </c>
      <c r="D84" s="23">
        <v>1500000</v>
      </c>
      <c r="E84" s="22"/>
      <c r="F84" s="22"/>
      <c r="G84" s="16"/>
      <c r="H84" s="16"/>
      <c r="K84" s="12"/>
      <c r="L84" s="23" t="s">
        <v>1374</v>
      </c>
      <c r="M84" s="23" t="s">
        <v>1407</v>
      </c>
      <c r="N84" s="23"/>
      <c r="O84" s="22"/>
      <c r="P84" s="22"/>
      <c r="Q84" s="16"/>
      <c r="R84" s="16"/>
      <c r="U84" s="12"/>
      <c r="V84" s="23" t="s">
        <v>1374</v>
      </c>
      <c r="W84" s="23" t="s">
        <v>1407</v>
      </c>
      <c r="X84" s="23"/>
      <c r="Y84" s="22"/>
      <c r="Z84" s="22"/>
      <c r="AA84" s="16"/>
      <c r="AB84" s="16"/>
      <c r="AF84" s="12"/>
      <c r="AG84" s="23" t="s">
        <v>1374</v>
      </c>
      <c r="AH84" s="23" t="s">
        <v>1407</v>
      </c>
      <c r="AI84" s="23"/>
      <c r="AJ84" s="22"/>
      <c r="AK84" s="22"/>
      <c r="AL84" s="16"/>
      <c r="AM84" s="16"/>
    </row>
    <row r="85" spans="1:39">
      <c r="A85" s="12"/>
      <c r="B85" s="23" t="s">
        <v>1378</v>
      </c>
      <c r="C85" s="24" t="s">
        <v>1395</v>
      </c>
      <c r="D85" s="23">
        <v>635000</v>
      </c>
      <c r="E85" s="22"/>
      <c r="F85" s="22"/>
      <c r="G85" s="16"/>
      <c r="H85" s="16"/>
      <c r="K85" s="12"/>
      <c r="L85" s="23" t="s">
        <v>1378</v>
      </c>
      <c r="M85" s="24" t="s">
        <v>1395</v>
      </c>
      <c r="N85" s="23"/>
      <c r="O85" s="22"/>
      <c r="P85" s="22"/>
      <c r="Q85" s="16"/>
      <c r="R85" s="16"/>
      <c r="U85" s="12"/>
      <c r="V85" s="23" t="s">
        <v>1378</v>
      </c>
      <c r="W85" s="24" t="s">
        <v>1395</v>
      </c>
      <c r="X85" s="23"/>
      <c r="Y85" s="22"/>
      <c r="Z85" s="22"/>
      <c r="AA85" s="16"/>
      <c r="AB85" s="16"/>
      <c r="AF85" s="12"/>
      <c r="AG85" s="23" t="s">
        <v>1378</v>
      </c>
      <c r="AH85" s="24" t="s">
        <v>1395</v>
      </c>
      <c r="AI85" s="23"/>
      <c r="AJ85" s="22"/>
      <c r="AK85" s="22"/>
      <c r="AL85" s="16"/>
      <c r="AM85" s="16"/>
    </row>
    <row r="86" spans="1:39">
      <c r="A86" s="12"/>
      <c r="B86" s="23" t="s">
        <v>1378</v>
      </c>
      <c r="C86" s="23" t="s">
        <v>339</v>
      </c>
      <c r="D86" s="23">
        <f>5000</f>
        <v>5000</v>
      </c>
      <c r="E86" s="22"/>
      <c r="F86" s="22"/>
      <c r="G86" s="16"/>
      <c r="H86" s="16"/>
      <c r="K86" s="12"/>
      <c r="L86" s="23" t="s">
        <v>1378</v>
      </c>
      <c r="M86" s="23" t="s">
        <v>339</v>
      </c>
      <c r="N86" s="23"/>
      <c r="O86" s="22"/>
      <c r="P86" s="22"/>
      <c r="Q86" s="16"/>
      <c r="R86" s="16"/>
      <c r="U86" s="12"/>
      <c r="V86" s="23" t="s">
        <v>1378</v>
      </c>
      <c r="W86" s="23" t="s">
        <v>339</v>
      </c>
      <c r="X86" s="23"/>
      <c r="Y86" s="22"/>
      <c r="Z86" s="22"/>
      <c r="AA86" s="16"/>
      <c r="AB86" s="16"/>
      <c r="AF86" s="12"/>
      <c r="AG86" s="23" t="s">
        <v>1378</v>
      </c>
      <c r="AH86" s="23" t="s">
        <v>339</v>
      </c>
      <c r="AI86" s="23">
        <f>5000</f>
        <v>5000</v>
      </c>
      <c r="AJ86" s="22"/>
      <c r="AK86" s="22"/>
      <c r="AL86" s="16"/>
      <c r="AM86" s="16"/>
    </row>
    <row r="87" spans="1:39">
      <c r="A87" s="12"/>
      <c r="B87" s="23"/>
      <c r="C87" s="23"/>
      <c r="D87" s="23"/>
      <c r="E87" s="22"/>
      <c r="F87" s="22"/>
      <c r="G87" s="16"/>
      <c r="H87" s="16"/>
      <c r="K87" s="12"/>
      <c r="L87" s="23"/>
      <c r="M87" s="23"/>
      <c r="N87" s="23"/>
      <c r="O87" s="22"/>
      <c r="P87" s="22"/>
      <c r="Q87" s="16"/>
      <c r="R87" s="16"/>
      <c r="U87" s="12"/>
      <c r="V87" s="23"/>
      <c r="W87" s="23"/>
      <c r="X87" s="23"/>
      <c r="Y87" s="22"/>
      <c r="Z87" s="22"/>
      <c r="AA87" s="16"/>
      <c r="AB87" s="16"/>
      <c r="AF87" s="12"/>
      <c r="AG87" s="23"/>
      <c r="AH87" s="23"/>
      <c r="AI87" s="23"/>
      <c r="AJ87" s="22"/>
      <c r="AK87" s="22"/>
      <c r="AL87" s="16"/>
      <c r="AM87" s="16"/>
    </row>
    <row r="88" spans="1:39">
      <c r="A88" s="25"/>
      <c r="B88" s="19"/>
      <c r="C88" s="26" t="s">
        <v>31</v>
      </c>
      <c r="D88" s="27">
        <f>SUM(D74:D87)</f>
        <v>20580800</v>
      </c>
      <c r="E88" s="27"/>
      <c r="F88" s="27"/>
      <c r="G88" s="27"/>
      <c r="H88" s="27"/>
      <c r="K88" s="25"/>
      <c r="L88" s="19"/>
      <c r="M88" s="26" t="s">
        <v>31</v>
      </c>
      <c r="N88" s="27">
        <f>SUM(N74:N87)</f>
        <v>5212000</v>
      </c>
      <c r="O88" s="27"/>
      <c r="P88" s="27"/>
      <c r="Q88" s="27"/>
      <c r="R88" s="27"/>
      <c r="U88" s="25"/>
      <c r="V88" s="19"/>
      <c r="W88" s="26" t="s">
        <v>31</v>
      </c>
      <c r="X88" s="27">
        <f>SUM(X74:X87)</f>
        <v>0</v>
      </c>
      <c r="Y88" s="27"/>
      <c r="Z88" s="27"/>
      <c r="AA88" s="27"/>
      <c r="AB88" s="27"/>
      <c r="AF88" s="25"/>
      <c r="AG88" s="19"/>
      <c r="AH88" s="26" t="s">
        <v>31</v>
      </c>
      <c r="AI88" s="27">
        <f>SUM(AI74:AI87)</f>
        <v>5252000</v>
      </c>
      <c r="AJ88" s="27"/>
      <c r="AK88" s="27"/>
      <c r="AL88" s="27"/>
      <c r="AM88" s="27"/>
    </row>
    <row r="89" spans="1:39">
      <c r="A89" s="20"/>
      <c r="B89" s="19"/>
      <c r="C89" s="426" t="s">
        <v>21</v>
      </c>
      <c r="D89" s="10"/>
      <c r="E89" s="530">
        <f>+D88</f>
        <v>20580800</v>
      </c>
      <c r="F89" s="530"/>
      <c r="G89" s="530"/>
      <c r="H89" s="530"/>
      <c r="K89" s="20"/>
      <c r="L89" s="19"/>
      <c r="M89" s="431" t="s">
        <v>21</v>
      </c>
      <c r="N89" s="10"/>
      <c r="O89" s="530">
        <f>+N88</f>
        <v>5212000</v>
      </c>
      <c r="P89" s="530"/>
      <c r="Q89" s="530"/>
      <c r="R89" s="530"/>
      <c r="U89" s="20"/>
      <c r="V89" s="19"/>
      <c r="W89" s="435" t="s">
        <v>21</v>
      </c>
      <c r="X89" s="10"/>
      <c r="Y89" s="530">
        <f>+X88</f>
        <v>0</v>
      </c>
      <c r="Z89" s="530"/>
      <c r="AA89" s="530"/>
      <c r="AB89" s="530"/>
      <c r="AF89" s="20"/>
      <c r="AG89" s="19"/>
      <c r="AH89" s="440" t="s">
        <v>21</v>
      </c>
      <c r="AI89" s="10"/>
      <c r="AJ89" s="530">
        <f>+AI88</f>
        <v>5252000</v>
      </c>
      <c r="AK89" s="530"/>
      <c r="AL89" s="530"/>
      <c r="AM89" s="530"/>
    </row>
    <row r="90" spans="1:39">
      <c r="A90" s="527" t="s">
        <v>32</v>
      </c>
      <c r="B90" s="528"/>
      <c r="C90" s="528"/>
      <c r="D90" s="528"/>
      <c r="E90" s="528"/>
      <c r="F90" s="528"/>
      <c r="G90" s="528"/>
      <c r="H90" s="529"/>
      <c r="K90" s="527" t="s">
        <v>32</v>
      </c>
      <c r="L90" s="528"/>
      <c r="M90" s="528"/>
      <c r="N90" s="528"/>
      <c r="O90" s="528"/>
      <c r="P90" s="528"/>
      <c r="Q90" s="528"/>
      <c r="R90" s="529"/>
      <c r="U90" s="527" t="s">
        <v>32</v>
      </c>
      <c r="V90" s="528"/>
      <c r="W90" s="528"/>
      <c r="X90" s="528"/>
      <c r="Y90" s="528"/>
      <c r="Z90" s="528"/>
      <c r="AA90" s="528"/>
      <c r="AB90" s="529"/>
      <c r="AF90" s="527" t="s">
        <v>32</v>
      </c>
      <c r="AG90" s="528"/>
      <c r="AH90" s="528"/>
      <c r="AI90" s="528"/>
      <c r="AJ90" s="528"/>
      <c r="AK90" s="528"/>
      <c r="AL90" s="528"/>
      <c r="AM90" s="529"/>
    </row>
    <row r="91" spans="1:39">
      <c r="A91" s="12"/>
      <c r="B91" s="13"/>
      <c r="C91" s="22"/>
      <c r="D91" s="22"/>
      <c r="E91" s="426"/>
      <c r="F91" s="426"/>
      <c r="G91" s="426"/>
      <c r="H91" s="426"/>
      <c r="K91" s="12"/>
      <c r="L91" s="13"/>
      <c r="M91" s="22"/>
      <c r="N91" s="22"/>
      <c r="O91" s="431"/>
      <c r="P91" s="431"/>
      <c r="Q91" s="431"/>
      <c r="R91" s="431"/>
      <c r="U91" s="12"/>
      <c r="V91" s="13"/>
      <c r="W91" s="22"/>
      <c r="X91" s="22"/>
      <c r="Y91" s="435"/>
      <c r="Z91" s="435"/>
      <c r="AA91" s="435"/>
      <c r="AB91" s="435"/>
      <c r="AF91" s="12"/>
      <c r="AG91" s="13"/>
      <c r="AH91" s="22" t="s">
        <v>1420</v>
      </c>
      <c r="AI91" s="22">
        <f>177300+5200</f>
        <v>182500</v>
      </c>
      <c r="AJ91" s="440"/>
      <c r="AK91" s="440"/>
      <c r="AL91" s="440"/>
      <c r="AM91" s="440"/>
    </row>
    <row r="92" spans="1:39">
      <c r="A92" s="12"/>
      <c r="B92" s="13"/>
      <c r="C92" s="22"/>
      <c r="D92" s="22"/>
      <c r="E92" s="441"/>
      <c r="F92" s="441"/>
      <c r="G92" s="441"/>
      <c r="H92" s="441"/>
      <c r="K92" s="12"/>
      <c r="L92" s="13"/>
      <c r="M92" s="22"/>
      <c r="N92" s="22"/>
      <c r="O92" s="441"/>
      <c r="P92" s="441"/>
      <c r="Q92" s="441"/>
      <c r="R92" s="441"/>
      <c r="U92" s="12"/>
      <c r="V92" s="13"/>
      <c r="W92" s="22"/>
      <c r="X92" s="22"/>
      <c r="Y92" s="441"/>
      <c r="Z92" s="441"/>
      <c r="AA92" s="441"/>
      <c r="AB92" s="441"/>
      <c r="AF92" s="12"/>
      <c r="AG92" s="13"/>
      <c r="AH92" s="23" t="s">
        <v>1421</v>
      </c>
      <c r="AI92" s="22">
        <v>342500</v>
      </c>
      <c r="AJ92" s="441"/>
      <c r="AK92" s="441"/>
      <c r="AL92" s="441"/>
      <c r="AM92" s="441"/>
    </row>
    <row r="93" spans="1:39">
      <c r="A93" s="12"/>
      <c r="B93" s="13"/>
      <c r="C93" s="22"/>
      <c r="D93" s="22"/>
      <c r="E93" s="441"/>
      <c r="F93" s="441"/>
      <c r="G93" s="441"/>
      <c r="H93" s="441"/>
      <c r="K93" s="12"/>
      <c r="L93" s="13"/>
      <c r="M93" s="22"/>
      <c r="N93" s="22"/>
      <c r="O93" s="441"/>
      <c r="P93" s="441"/>
      <c r="Q93" s="441"/>
      <c r="R93" s="441"/>
      <c r="U93" s="12"/>
      <c r="V93" s="13"/>
      <c r="W93" s="22"/>
      <c r="X93" s="22"/>
      <c r="Y93" s="441"/>
      <c r="Z93" s="441"/>
      <c r="AA93" s="441"/>
      <c r="AB93" s="441"/>
      <c r="AF93" s="12"/>
      <c r="AG93" s="13"/>
      <c r="AH93" s="446" t="s">
        <v>993</v>
      </c>
      <c r="AI93" s="447">
        <v>32000</v>
      </c>
      <c r="AJ93" s="441"/>
      <c r="AK93" s="441"/>
      <c r="AL93" s="441"/>
      <c r="AM93" s="441"/>
    </row>
    <row r="94" spans="1:39">
      <c r="A94" s="12"/>
      <c r="B94" s="13"/>
      <c r="C94" s="22"/>
      <c r="D94" s="22"/>
      <c r="E94" s="441"/>
      <c r="F94" s="441"/>
      <c r="G94" s="441"/>
      <c r="H94" s="441"/>
      <c r="K94" s="12"/>
      <c r="L94" s="13"/>
      <c r="M94" s="22"/>
      <c r="N94" s="22"/>
      <c r="O94" s="441"/>
      <c r="P94" s="441"/>
      <c r="Q94" s="441"/>
      <c r="R94" s="441"/>
      <c r="U94" s="12"/>
      <c r="V94" s="13"/>
      <c r="W94" s="22"/>
      <c r="X94" s="22"/>
      <c r="Y94" s="441"/>
      <c r="Z94" s="441"/>
      <c r="AA94" s="441"/>
      <c r="AB94" s="441"/>
      <c r="AF94" s="12"/>
      <c r="AG94" s="13"/>
      <c r="AH94" s="446" t="s">
        <v>1422</v>
      </c>
      <c r="AI94" s="22">
        <v>600000</v>
      </c>
      <c r="AJ94" s="441"/>
      <c r="AK94" s="441"/>
      <c r="AL94" s="441"/>
      <c r="AM94" s="441"/>
    </row>
    <row r="95" spans="1:39">
      <c r="A95" s="12"/>
      <c r="B95" s="13"/>
      <c r="C95" s="22"/>
      <c r="D95" s="22"/>
      <c r="E95" s="441"/>
      <c r="F95" s="441"/>
      <c r="G95" s="441"/>
      <c r="H95" s="441"/>
      <c r="K95" s="12"/>
      <c r="L95" s="13"/>
      <c r="M95" s="22"/>
      <c r="N95" s="22"/>
      <c r="O95" s="441"/>
      <c r="P95" s="441"/>
      <c r="Q95" s="441"/>
      <c r="R95" s="441"/>
      <c r="U95" s="12"/>
      <c r="V95" s="13"/>
      <c r="W95" s="22"/>
      <c r="X95" s="22"/>
      <c r="Y95" s="441"/>
      <c r="Z95" s="441"/>
      <c r="AA95" s="441"/>
      <c r="AB95" s="441"/>
      <c r="AF95" s="12"/>
      <c r="AG95" s="13"/>
      <c r="AH95" s="446" t="s">
        <v>1423</v>
      </c>
      <c r="AI95" s="447">
        <v>84000</v>
      </c>
      <c r="AJ95" s="441"/>
      <c r="AK95" s="441"/>
      <c r="AL95" s="441"/>
      <c r="AM95" s="441"/>
    </row>
    <row r="96" spans="1:39">
      <c r="A96" s="12"/>
      <c r="B96" s="22"/>
      <c r="C96" s="22"/>
      <c r="D96" s="22"/>
      <c r="E96" s="426"/>
      <c r="F96" s="426"/>
      <c r="G96" s="426"/>
      <c r="H96" s="426"/>
      <c r="K96" s="12"/>
      <c r="L96" s="22"/>
      <c r="M96" s="22"/>
      <c r="N96" s="22"/>
      <c r="O96" s="431"/>
      <c r="P96" s="431"/>
      <c r="Q96" s="431"/>
      <c r="R96" s="431"/>
      <c r="U96" s="12"/>
      <c r="V96" s="22"/>
      <c r="W96" s="22"/>
      <c r="X96" s="22"/>
      <c r="Y96" s="435"/>
      <c r="Z96" s="435"/>
      <c r="AA96" s="435"/>
      <c r="AB96" s="435"/>
      <c r="AF96" s="12"/>
      <c r="AG96" s="22"/>
      <c r="AH96" s="446" t="s">
        <v>1424</v>
      </c>
      <c r="AI96" s="447">
        <v>16000</v>
      </c>
      <c r="AJ96" s="440"/>
      <c r="AK96" s="440"/>
      <c r="AL96" s="440"/>
      <c r="AM96" s="440"/>
    </row>
    <row r="97" spans="1:39">
      <c r="A97" s="12"/>
      <c r="B97" s="13"/>
      <c r="C97" s="22"/>
      <c r="D97" s="29"/>
      <c r="E97" s="426"/>
      <c r="F97" s="426"/>
      <c r="G97" s="426"/>
      <c r="H97" s="426"/>
      <c r="K97" s="12"/>
      <c r="L97" s="13"/>
      <c r="M97" s="22"/>
      <c r="N97" s="29"/>
      <c r="O97" s="431"/>
      <c r="P97" s="431"/>
      <c r="Q97" s="431"/>
      <c r="R97" s="431"/>
      <c r="U97" s="12"/>
      <c r="V97" s="13"/>
      <c r="W97" s="22"/>
      <c r="X97" s="29"/>
      <c r="Y97" s="435"/>
      <c r="Z97" s="435"/>
      <c r="AA97" s="435"/>
      <c r="AB97" s="435"/>
      <c r="AF97" s="12"/>
      <c r="AG97" s="13"/>
      <c r="AH97" s="446" t="s">
        <v>1425</v>
      </c>
      <c r="AI97" s="447">
        <v>1715000</v>
      </c>
      <c r="AJ97" s="440"/>
      <c r="AK97" s="440"/>
      <c r="AL97" s="440"/>
      <c r="AM97" s="440"/>
    </row>
    <row r="98" spans="1:39">
      <c r="A98" s="12"/>
      <c r="B98" s="13"/>
      <c r="C98" s="26" t="s">
        <v>34</v>
      </c>
      <c r="D98" s="27">
        <f>SUM(D91:D96)</f>
        <v>0</v>
      </c>
      <c r="E98" s="27">
        <v>0</v>
      </c>
      <c r="F98" s="27">
        <v>0</v>
      </c>
      <c r="G98" s="27"/>
      <c r="H98" s="27"/>
      <c r="K98" s="12"/>
      <c r="L98" s="13"/>
      <c r="M98" s="26" t="s">
        <v>34</v>
      </c>
      <c r="N98" s="27">
        <f>SUM(N91:N96)</f>
        <v>0</v>
      </c>
      <c r="O98" s="27">
        <v>0</v>
      </c>
      <c r="P98" s="27">
        <v>0</v>
      </c>
      <c r="Q98" s="27"/>
      <c r="R98" s="27"/>
      <c r="U98" s="12"/>
      <c r="V98" s="13"/>
      <c r="W98" s="26" t="s">
        <v>34</v>
      </c>
      <c r="X98" s="27">
        <f>SUM(X91:X96)</f>
        <v>0</v>
      </c>
      <c r="Y98" s="27">
        <v>0</v>
      </c>
      <c r="Z98" s="27">
        <v>0</v>
      </c>
      <c r="AA98" s="27"/>
      <c r="AB98" s="27"/>
      <c r="AF98" s="12"/>
      <c r="AG98" s="13"/>
      <c r="AH98" s="26" t="s">
        <v>34</v>
      </c>
      <c r="AI98" s="27">
        <f>SUM(AI91:AI96)</f>
        <v>1257000</v>
      </c>
      <c r="AJ98" s="27">
        <v>0</v>
      </c>
      <c r="AK98" s="27">
        <v>0</v>
      </c>
      <c r="AL98" s="27"/>
      <c r="AM98" s="27"/>
    </row>
    <row r="99" spans="1:39">
      <c r="A99" s="20"/>
      <c r="B99" s="19"/>
      <c r="C99" s="426" t="s">
        <v>21</v>
      </c>
      <c r="D99" s="10"/>
      <c r="E99" s="531">
        <f>D98</f>
        <v>0</v>
      </c>
      <c r="F99" s="532"/>
      <c r="G99" s="532"/>
      <c r="H99" s="533"/>
      <c r="K99" s="20"/>
      <c r="L99" s="19"/>
      <c r="M99" s="431" t="s">
        <v>21</v>
      </c>
      <c r="N99" s="10"/>
      <c r="O99" s="531">
        <f>N98</f>
        <v>0</v>
      </c>
      <c r="P99" s="532"/>
      <c r="Q99" s="532"/>
      <c r="R99" s="533"/>
      <c r="U99" s="20"/>
      <c r="V99" s="19"/>
      <c r="W99" s="435" t="s">
        <v>21</v>
      </c>
      <c r="X99" s="10"/>
      <c r="Y99" s="531">
        <f>X98</f>
        <v>0</v>
      </c>
      <c r="Z99" s="532"/>
      <c r="AA99" s="532"/>
      <c r="AB99" s="533"/>
      <c r="AF99" s="20"/>
      <c r="AG99" s="19"/>
      <c r="AH99" s="440" t="s">
        <v>21</v>
      </c>
      <c r="AI99" s="10"/>
      <c r="AJ99" s="531">
        <f>AI98</f>
        <v>1257000</v>
      </c>
      <c r="AK99" s="532"/>
      <c r="AL99" s="532"/>
      <c r="AM99" s="533"/>
    </row>
    <row r="100" spans="1:39">
      <c r="A100" s="525" t="s">
        <v>35</v>
      </c>
      <c r="B100" s="525"/>
      <c r="C100" s="525"/>
      <c r="D100" s="425"/>
      <c r="E100" s="526">
        <f>+E35+E60+E72+E89+E99</f>
        <v>306048709</v>
      </c>
      <c r="F100" s="526"/>
      <c r="G100" s="526"/>
      <c r="H100" s="526"/>
      <c r="K100" s="525" t="s">
        <v>35</v>
      </c>
      <c r="L100" s="525"/>
      <c r="M100" s="525"/>
      <c r="N100" s="430"/>
      <c r="O100" s="526">
        <f>+O35+O60+O72+O89+O99</f>
        <v>15102000</v>
      </c>
      <c r="P100" s="526"/>
      <c r="Q100" s="526"/>
      <c r="R100" s="526"/>
      <c r="U100" s="525" t="s">
        <v>35</v>
      </c>
      <c r="V100" s="525"/>
      <c r="W100" s="525"/>
      <c r="X100" s="434"/>
      <c r="Y100" s="526">
        <f>+Y35+Y60+Y72+Y89+Y99</f>
        <v>144755000</v>
      </c>
      <c r="Z100" s="526"/>
      <c r="AA100" s="526"/>
      <c r="AB100" s="526"/>
      <c r="AF100" s="525" t="s">
        <v>35</v>
      </c>
      <c r="AG100" s="525"/>
      <c r="AH100" s="525"/>
      <c r="AI100" s="437"/>
      <c r="AJ100" s="526">
        <f>+AJ35+AJ60+AJ72+AJ89+AJ99</f>
        <v>165405000</v>
      </c>
      <c r="AK100" s="526"/>
      <c r="AL100" s="526"/>
      <c r="AM100" s="526"/>
    </row>
    <row r="101" spans="1:39">
      <c r="A101" s="522" t="s">
        <v>36</v>
      </c>
      <c r="B101" s="522"/>
      <c r="C101" s="522"/>
      <c r="D101" s="424"/>
      <c r="E101" s="523">
        <f>+E29+E100</f>
        <v>314310226</v>
      </c>
      <c r="F101" s="523"/>
      <c r="G101" s="523"/>
      <c r="H101" s="523"/>
      <c r="K101" s="522" t="s">
        <v>36</v>
      </c>
      <c r="L101" s="522"/>
      <c r="M101" s="522"/>
      <c r="N101" s="429"/>
      <c r="O101" s="523">
        <f>+O29+O100</f>
        <v>15148500</v>
      </c>
      <c r="P101" s="523"/>
      <c r="Q101" s="523"/>
      <c r="R101" s="523"/>
      <c r="U101" s="522" t="s">
        <v>36</v>
      </c>
      <c r="V101" s="522"/>
      <c r="W101" s="522"/>
      <c r="X101" s="433"/>
      <c r="Y101" s="523">
        <f>+Y29+Y100</f>
        <v>144855000</v>
      </c>
      <c r="Z101" s="523"/>
      <c r="AA101" s="523"/>
      <c r="AB101" s="523"/>
      <c r="AF101" s="522" t="s">
        <v>36</v>
      </c>
      <c r="AG101" s="522"/>
      <c r="AH101" s="522"/>
      <c r="AI101" s="439"/>
      <c r="AJ101" s="523">
        <f>+AJ29+AJ100</f>
        <v>167269517</v>
      </c>
      <c r="AK101" s="523"/>
      <c r="AL101" s="523"/>
      <c r="AM101" s="523"/>
    </row>
    <row r="102" spans="1:39">
      <c r="A102" s="37"/>
      <c r="B102" s="38"/>
      <c r="C102" s="39"/>
      <c r="D102" s="47"/>
      <c r="E102" s="39"/>
      <c r="F102" s="39"/>
      <c r="G102" s="39"/>
      <c r="H102" s="39"/>
      <c r="K102" s="37"/>
      <c r="L102" s="38"/>
      <c r="M102" s="39"/>
      <c r="N102" s="47"/>
      <c r="O102" s="39"/>
      <c r="P102" s="39"/>
      <c r="Q102" s="39"/>
      <c r="R102" s="39"/>
      <c r="U102" s="37"/>
      <c r="V102" s="38"/>
      <c r="W102" s="39"/>
      <c r="X102" s="47"/>
      <c r="Y102" s="39"/>
      <c r="Z102" s="39"/>
      <c r="AA102" s="39"/>
      <c r="AB102" s="39"/>
      <c r="AF102" s="37"/>
      <c r="AG102" s="38"/>
      <c r="AH102" s="39"/>
      <c r="AI102" s="47"/>
      <c r="AJ102" s="39"/>
      <c r="AK102" s="39"/>
      <c r="AL102" s="39"/>
      <c r="AM102" s="39"/>
    </row>
    <row r="103" spans="1:39">
      <c r="A103" s="519" t="s">
        <v>13</v>
      </c>
      <c r="B103" s="520"/>
      <c r="C103" s="520"/>
      <c r="D103" s="520"/>
      <c r="E103" s="521"/>
      <c r="F103" s="39"/>
      <c r="G103" s="39"/>
      <c r="H103" s="40"/>
      <c r="K103" s="519" t="s">
        <v>13</v>
      </c>
      <c r="L103" s="520"/>
      <c r="M103" s="520"/>
      <c r="N103" s="520"/>
      <c r="O103" s="521"/>
      <c r="P103" s="39"/>
      <c r="Q103" s="39"/>
      <c r="R103" s="40"/>
      <c r="U103" s="519" t="s">
        <v>13</v>
      </c>
      <c r="V103" s="520"/>
      <c r="W103" s="520"/>
      <c r="X103" s="520"/>
      <c r="Y103" s="521"/>
      <c r="Z103" s="39"/>
      <c r="AA103" s="39"/>
      <c r="AB103" s="40"/>
      <c r="AF103" s="519" t="s">
        <v>13</v>
      </c>
      <c r="AG103" s="520"/>
      <c r="AH103" s="520"/>
      <c r="AI103" s="520"/>
      <c r="AJ103" s="521"/>
      <c r="AK103" s="39"/>
      <c r="AL103" s="39"/>
      <c r="AM103" s="40"/>
    </row>
    <row r="104" spans="1:39">
      <c r="A104" s="41" t="s">
        <v>39</v>
      </c>
      <c r="B104" s="42" t="s">
        <v>40</v>
      </c>
      <c r="C104" s="43" t="s">
        <v>980</v>
      </c>
      <c r="D104" s="43" t="s">
        <v>42</v>
      </c>
      <c r="E104" s="43" t="s">
        <v>43</v>
      </c>
      <c r="F104" s="39"/>
      <c r="G104" s="39"/>
      <c r="H104" s="39"/>
      <c r="K104" s="41" t="s">
        <v>39</v>
      </c>
      <c r="L104" s="42" t="s">
        <v>40</v>
      </c>
      <c r="M104" s="43" t="s">
        <v>980</v>
      </c>
      <c r="N104" s="43" t="s">
        <v>42</v>
      </c>
      <c r="O104" s="43" t="s">
        <v>43</v>
      </c>
      <c r="P104" s="39"/>
      <c r="Q104" s="39"/>
      <c r="R104" s="39"/>
      <c r="U104" s="41" t="s">
        <v>39</v>
      </c>
      <c r="V104" s="42" t="s">
        <v>40</v>
      </c>
      <c r="W104" s="43" t="s">
        <v>980</v>
      </c>
      <c r="X104" s="43" t="s">
        <v>42</v>
      </c>
      <c r="Y104" s="43" t="s">
        <v>43</v>
      </c>
      <c r="Z104" s="39"/>
      <c r="AA104" s="39"/>
      <c r="AB104" s="39"/>
      <c r="AF104" s="41" t="s">
        <v>39</v>
      </c>
      <c r="AG104" s="42" t="s">
        <v>40</v>
      </c>
      <c r="AH104" s="43" t="s">
        <v>980</v>
      </c>
      <c r="AI104" s="43" t="s">
        <v>42</v>
      </c>
      <c r="AJ104" s="43" t="s">
        <v>43</v>
      </c>
      <c r="AK104" s="39"/>
      <c r="AL104" s="39"/>
      <c r="AM104" s="39"/>
    </row>
    <row r="105" spans="1:39">
      <c r="A105" s="41"/>
      <c r="B105" s="110"/>
      <c r="C105" s="45"/>
      <c r="D105" s="46"/>
      <c r="E105" s="46"/>
      <c r="F105" s="39"/>
      <c r="G105" s="39"/>
      <c r="H105" s="39"/>
      <c r="K105" s="41"/>
      <c r="L105" s="110"/>
      <c r="M105" s="45"/>
      <c r="N105" s="46">
        <v>20000000</v>
      </c>
      <c r="O105" s="46"/>
      <c r="P105" s="39"/>
      <c r="Q105" s="39"/>
      <c r="R105" s="39"/>
      <c r="U105" s="41"/>
      <c r="V105" s="110"/>
      <c r="W105" s="45"/>
      <c r="X105" s="46">
        <f>+N111</f>
        <v>4851500</v>
      </c>
      <c r="Y105" s="46"/>
      <c r="Z105" s="39"/>
      <c r="AA105" s="39"/>
      <c r="AB105" s="39"/>
      <c r="AF105" s="41"/>
      <c r="AG105" s="110">
        <v>46255</v>
      </c>
      <c r="AH105" s="45" t="s">
        <v>1418</v>
      </c>
      <c r="AI105" s="46">
        <v>20000000</v>
      </c>
      <c r="AJ105" s="46"/>
      <c r="AK105" s="39"/>
      <c r="AL105" s="39"/>
      <c r="AM105" s="39"/>
    </row>
    <row r="106" spans="1:39">
      <c r="A106" s="41"/>
      <c r="B106" s="44"/>
      <c r="C106" s="45"/>
      <c r="D106" s="46"/>
      <c r="E106" s="46"/>
      <c r="F106" s="39"/>
      <c r="G106" s="39"/>
      <c r="H106" s="40"/>
      <c r="K106" s="41"/>
      <c r="L106" s="44"/>
      <c r="M106" s="45"/>
      <c r="N106" s="46"/>
      <c r="O106" s="46"/>
      <c r="P106" s="39"/>
      <c r="Q106" s="39"/>
      <c r="R106" s="40"/>
      <c r="U106" s="41"/>
      <c r="V106" s="44"/>
      <c r="W106" s="45"/>
      <c r="X106" s="46">
        <v>130000000</v>
      </c>
      <c r="Y106" s="46"/>
      <c r="Z106" s="39"/>
      <c r="AA106" s="39"/>
      <c r="AB106" s="40"/>
      <c r="AF106" s="41"/>
      <c r="AG106" s="110">
        <v>46256</v>
      </c>
      <c r="AH106" s="45" t="s">
        <v>1419</v>
      </c>
      <c r="AI106" s="46">
        <v>130000000</v>
      </c>
      <c r="AJ106" s="46"/>
      <c r="AK106" s="39"/>
      <c r="AL106" s="39"/>
      <c r="AM106" s="40"/>
    </row>
    <row r="107" spans="1:39">
      <c r="A107" s="41"/>
      <c r="B107" s="44"/>
      <c r="C107" s="46"/>
      <c r="D107" s="46"/>
      <c r="E107" s="46"/>
      <c r="F107" s="39"/>
      <c r="G107" s="39"/>
      <c r="H107" s="39"/>
      <c r="K107" s="41"/>
      <c r="L107" s="44"/>
      <c r="M107" s="46"/>
      <c r="N107" s="46"/>
      <c r="O107" s="46"/>
      <c r="P107" s="39"/>
      <c r="Q107" s="39"/>
      <c r="R107" s="39"/>
      <c r="U107" s="41"/>
      <c r="V107" s="44"/>
      <c r="W107" s="46"/>
      <c r="X107" s="46"/>
      <c r="Y107" s="46"/>
      <c r="Z107" s="39"/>
      <c r="AA107" s="39"/>
      <c r="AB107" s="39"/>
      <c r="AF107" s="41"/>
      <c r="AG107" s="110">
        <v>46260</v>
      </c>
      <c r="AH107" s="46" t="s">
        <v>1418</v>
      </c>
      <c r="AI107" s="46">
        <v>10000000</v>
      </c>
      <c r="AJ107" s="46"/>
      <c r="AK107" s="39"/>
      <c r="AL107" s="39"/>
      <c r="AM107" s="39"/>
    </row>
    <row r="108" spans="1:39">
      <c r="A108" s="41"/>
      <c r="B108" s="44"/>
      <c r="C108" s="327"/>
      <c r="D108" s="46"/>
      <c r="E108" s="46"/>
      <c r="F108" s="39"/>
      <c r="G108" s="39"/>
      <c r="H108" s="39"/>
      <c r="K108" s="41"/>
      <c r="L108" s="44"/>
      <c r="M108" s="327"/>
      <c r="N108" s="46"/>
      <c r="O108" s="46"/>
      <c r="P108" s="39"/>
      <c r="Q108" s="39"/>
      <c r="R108" s="39"/>
      <c r="U108" s="41"/>
      <c r="V108" s="44"/>
      <c r="W108" s="327"/>
      <c r="X108" s="46"/>
      <c r="Y108" s="46"/>
      <c r="Z108" s="39"/>
      <c r="AA108" s="39"/>
      <c r="AB108" s="39"/>
      <c r="AF108" s="41"/>
      <c r="AG108" s="44"/>
      <c r="AH108" s="327"/>
      <c r="AI108" s="46"/>
      <c r="AJ108" s="46"/>
      <c r="AK108" s="39"/>
      <c r="AL108" s="39"/>
      <c r="AM108" s="39"/>
    </row>
    <row r="109" spans="1:39">
      <c r="A109" s="41"/>
      <c r="B109" s="44"/>
      <c r="C109" s="46"/>
      <c r="D109" s="48"/>
      <c r="E109" s="46"/>
      <c r="F109" s="39"/>
      <c r="G109" s="39"/>
      <c r="H109" s="39"/>
      <c r="K109" s="41"/>
      <c r="L109" s="44"/>
      <c r="M109" s="46"/>
      <c r="N109" s="48"/>
      <c r="O109" s="46"/>
      <c r="P109" s="39"/>
      <c r="Q109" s="39"/>
      <c r="R109" s="39"/>
      <c r="U109" s="41"/>
      <c r="V109" s="44"/>
      <c r="W109" s="46"/>
      <c r="X109" s="48"/>
      <c r="Y109" s="46"/>
      <c r="Z109" s="39"/>
      <c r="AA109" s="39"/>
      <c r="AB109" s="39"/>
      <c r="AF109" s="41"/>
      <c r="AG109" s="44"/>
      <c r="AH109" s="46"/>
      <c r="AI109" s="48"/>
      <c r="AJ109" s="46"/>
      <c r="AK109" s="39"/>
      <c r="AL109" s="39"/>
      <c r="AM109" s="39"/>
    </row>
    <row r="110" spans="1:39">
      <c r="A110" s="49"/>
      <c r="B110" s="50"/>
      <c r="C110" s="51" t="s">
        <v>44</v>
      </c>
      <c r="D110" s="51">
        <f>SUM(D105:D109)</f>
        <v>0</v>
      </c>
      <c r="E110" s="52"/>
      <c r="F110" s="39"/>
      <c r="G110" s="39"/>
      <c r="H110" s="39"/>
      <c r="K110" s="49"/>
      <c r="L110" s="50"/>
      <c r="M110" s="51" t="s">
        <v>44</v>
      </c>
      <c r="N110" s="51">
        <f>SUM(N105:N109)</f>
        <v>20000000</v>
      </c>
      <c r="O110" s="52"/>
      <c r="P110" s="39"/>
      <c r="Q110" s="39"/>
      <c r="R110" s="39"/>
      <c r="U110" s="49"/>
      <c r="V110" s="50"/>
      <c r="W110" s="51" t="s">
        <v>44</v>
      </c>
      <c r="X110" s="51">
        <f>SUM(X105:X109)</f>
        <v>134851500</v>
      </c>
      <c r="Y110" s="52"/>
      <c r="Z110" s="39"/>
      <c r="AA110" s="39"/>
      <c r="AB110" s="39"/>
      <c r="AF110" s="49"/>
      <c r="AG110" s="50"/>
      <c r="AH110" s="51" t="s">
        <v>44</v>
      </c>
      <c r="AI110" s="51">
        <f>SUM(AI105:AI109)</f>
        <v>160000000</v>
      </c>
      <c r="AJ110" s="52"/>
      <c r="AK110" s="39"/>
      <c r="AL110" s="39"/>
      <c r="AM110" s="39"/>
    </row>
    <row r="111" spans="1:39">
      <c r="A111" s="53"/>
      <c r="B111" s="54"/>
      <c r="C111" s="55" t="s">
        <v>779</v>
      </c>
      <c r="D111" s="116"/>
      <c r="E111" s="3"/>
      <c r="F111" s="39"/>
      <c r="G111" s="39"/>
      <c r="H111" s="39"/>
      <c r="K111" s="53"/>
      <c r="L111" s="54"/>
      <c r="M111" s="55" t="s">
        <v>779</v>
      </c>
      <c r="N111" s="116">
        <f>+N110-O101</f>
        <v>4851500</v>
      </c>
      <c r="O111" s="3"/>
      <c r="P111" s="39"/>
      <c r="Q111" s="39"/>
      <c r="R111" s="39"/>
      <c r="U111" s="53"/>
      <c r="V111" s="54"/>
      <c r="W111" s="55" t="s">
        <v>779</v>
      </c>
      <c r="X111" s="116">
        <f>+X110-Y101</f>
        <v>-10003500</v>
      </c>
      <c r="Y111" s="3"/>
      <c r="Z111" s="39"/>
      <c r="AA111" s="39"/>
      <c r="AB111" s="39"/>
      <c r="AF111" s="53"/>
      <c r="AG111" s="54"/>
      <c r="AH111" s="55" t="s">
        <v>779</v>
      </c>
      <c r="AI111" s="116">
        <f>+AI110-AJ101</f>
        <v>-7269517</v>
      </c>
      <c r="AJ111" s="3"/>
      <c r="AK111" s="39"/>
      <c r="AL111" s="39"/>
      <c r="AM111" s="39"/>
    </row>
    <row r="112" spans="1:39">
      <c r="AH112" t="s">
        <v>1427</v>
      </c>
    </row>
    <row r="118" spans="35:35">
      <c r="AI118">
        <v>7269517</v>
      </c>
    </row>
    <row r="122" spans="35:35">
      <c r="AI122">
        <v>5554517</v>
      </c>
    </row>
    <row r="123" spans="35:35">
      <c r="AI123" s="72">
        <f>+AI122+AI97</f>
        <v>7269517</v>
      </c>
    </row>
  </sheetData>
  <mergeCells count="100">
    <mergeCell ref="AF103:AJ103"/>
    <mergeCell ref="AF90:AM90"/>
    <mergeCell ref="AJ99:AM99"/>
    <mergeCell ref="AF100:AH100"/>
    <mergeCell ref="AJ100:AM100"/>
    <mergeCell ref="AF101:AH101"/>
    <mergeCell ref="AJ101:AM101"/>
    <mergeCell ref="AJ60:AM60"/>
    <mergeCell ref="AF61:AM61"/>
    <mergeCell ref="AJ72:AM72"/>
    <mergeCell ref="AF73:AM73"/>
    <mergeCell ref="AJ89:AM89"/>
    <mergeCell ref="AF29:AI29"/>
    <mergeCell ref="AJ29:AM29"/>
    <mergeCell ref="AF30:AM30"/>
    <mergeCell ref="AJ35:AM35"/>
    <mergeCell ref="AF36:AM36"/>
    <mergeCell ref="AF3:AM3"/>
    <mergeCell ref="AF12:AL12"/>
    <mergeCell ref="AF13:AM13"/>
    <mergeCell ref="AF14:AF15"/>
    <mergeCell ref="AG14:AG15"/>
    <mergeCell ref="AH14:AH15"/>
    <mergeCell ref="AI14:AI15"/>
    <mergeCell ref="AJ14:AM14"/>
    <mergeCell ref="A3:H3"/>
    <mergeCell ref="A12:G12"/>
    <mergeCell ref="A13:H13"/>
    <mergeCell ref="A14:A15"/>
    <mergeCell ref="B14:B15"/>
    <mergeCell ref="C14:C15"/>
    <mergeCell ref="D14:D15"/>
    <mergeCell ref="E14:H14"/>
    <mergeCell ref="E99:H99"/>
    <mergeCell ref="A29:D29"/>
    <mergeCell ref="E29:H29"/>
    <mergeCell ref="A30:H30"/>
    <mergeCell ref="E35:H35"/>
    <mergeCell ref="A36:H36"/>
    <mergeCell ref="E60:H60"/>
    <mergeCell ref="A61:H61"/>
    <mergeCell ref="E72:H72"/>
    <mergeCell ref="A73:H73"/>
    <mergeCell ref="E89:H89"/>
    <mergeCell ref="A90:H90"/>
    <mergeCell ref="A100:C100"/>
    <mergeCell ref="E100:H100"/>
    <mergeCell ref="A101:C101"/>
    <mergeCell ref="E101:H101"/>
    <mergeCell ref="A103:E103"/>
    <mergeCell ref="K3:R3"/>
    <mergeCell ref="K12:Q12"/>
    <mergeCell ref="K13:R13"/>
    <mergeCell ref="K14:K15"/>
    <mergeCell ref="L14:L15"/>
    <mergeCell ref="M14:M15"/>
    <mergeCell ref="N14:N15"/>
    <mergeCell ref="O14:R14"/>
    <mergeCell ref="K29:N29"/>
    <mergeCell ref="O29:R29"/>
    <mergeCell ref="K30:R30"/>
    <mergeCell ref="O35:R35"/>
    <mergeCell ref="K36:R36"/>
    <mergeCell ref="O60:R60"/>
    <mergeCell ref="K61:R61"/>
    <mergeCell ref="O72:R72"/>
    <mergeCell ref="K73:R73"/>
    <mergeCell ref="O89:R89"/>
    <mergeCell ref="K103:O103"/>
    <mergeCell ref="K90:R90"/>
    <mergeCell ref="O99:R99"/>
    <mergeCell ref="K100:M100"/>
    <mergeCell ref="O100:R100"/>
    <mergeCell ref="K101:M101"/>
    <mergeCell ref="O101:R101"/>
    <mergeCell ref="U3:AB3"/>
    <mergeCell ref="U12:AA12"/>
    <mergeCell ref="U13:AB13"/>
    <mergeCell ref="U14:U15"/>
    <mergeCell ref="V14:V15"/>
    <mergeCell ref="W14:W15"/>
    <mergeCell ref="X14:X15"/>
    <mergeCell ref="Y14:AB14"/>
    <mergeCell ref="U29:X29"/>
    <mergeCell ref="Y29:AB29"/>
    <mergeCell ref="U30:AB30"/>
    <mergeCell ref="Y35:AB35"/>
    <mergeCell ref="U36:AB36"/>
    <mergeCell ref="Y60:AB60"/>
    <mergeCell ref="U61:AB61"/>
    <mergeCell ref="Y72:AB72"/>
    <mergeCell ref="U73:AB73"/>
    <mergeCell ref="Y89:AB89"/>
    <mergeCell ref="U103:Y103"/>
    <mergeCell ref="U90:AB90"/>
    <mergeCell ref="Y99:AB99"/>
    <mergeCell ref="U100:W100"/>
    <mergeCell ref="Y100:AB100"/>
    <mergeCell ref="U101:W101"/>
    <mergeCell ref="Y101:AB101"/>
  </mergeCells>
  <pageMargins left="0.33" right="0.11811023622047245" top="0.35" bottom="0.74803149606299213" header="0.15748031496062992" footer="0.31496062992125984"/>
  <pageSetup paperSize="9" scale="66" orientation="portrait" r:id="rId1"/>
  <rowBreaks count="1" manualBreakCount="1">
    <brk id="72" max="16383" man="1"/>
  </rowBreaks>
  <colBreaks count="2" manualBreakCount="2">
    <brk id="8" max="106" man="1"/>
    <brk id="28" max="106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C7BF-4E69-4827-AAA2-16BB67F4025E}">
  <dimension ref="A1:O32"/>
  <sheetViews>
    <sheetView topLeftCell="D1" workbookViewId="0">
      <selection sqref="A1:L1048576"/>
    </sheetView>
  </sheetViews>
  <sheetFormatPr defaultRowHeight="15"/>
  <cols>
    <col min="1" max="1" width="45" bestFit="1" customWidth="1"/>
    <col min="2" max="2" width="12.5703125" style="77" bestFit="1" customWidth="1"/>
    <col min="3" max="3" width="26.5703125" bestFit="1" customWidth="1"/>
    <col min="4" max="4" width="10.5703125" style="77" bestFit="1" customWidth="1"/>
    <col min="5" max="5" width="32.5703125" bestFit="1" customWidth="1"/>
    <col min="6" max="6" width="11.5703125" bestFit="1" customWidth="1"/>
    <col min="7" max="7" width="35.42578125" bestFit="1" customWidth="1"/>
    <col min="8" max="8" width="12.5703125" bestFit="1" customWidth="1"/>
    <col min="12" max="12" width="12.5703125" bestFit="1" customWidth="1"/>
    <col min="15" max="15" width="12.5703125" style="77" bestFit="1" customWidth="1"/>
  </cols>
  <sheetData>
    <row r="1" spans="1:12">
      <c r="A1" t="s">
        <v>1414</v>
      </c>
    </row>
    <row r="3" spans="1:12">
      <c r="A3" s="57" t="s">
        <v>47</v>
      </c>
      <c r="B3" s="58"/>
      <c r="C3" s="58" t="s">
        <v>48</v>
      </c>
      <c r="D3" s="58"/>
      <c r="E3" s="58" t="s">
        <v>49</v>
      </c>
      <c r="F3" s="58"/>
      <c r="G3" s="540" t="s">
        <v>50</v>
      </c>
      <c r="H3" s="541"/>
      <c r="I3" s="58" t="s">
        <v>51</v>
      </c>
      <c r="J3" s="59"/>
    </row>
    <row r="4" spans="1:12">
      <c r="A4" s="22"/>
      <c r="B4" s="22"/>
      <c r="C4" s="22" t="s">
        <v>1121</v>
      </c>
      <c r="D4" s="23">
        <v>550000</v>
      </c>
      <c r="E4" s="15" t="s">
        <v>1385</v>
      </c>
      <c r="F4" s="23">
        <v>180000</v>
      </c>
      <c r="G4" s="24" t="s">
        <v>1351</v>
      </c>
      <c r="H4" s="23">
        <v>1173000</v>
      </c>
      <c r="I4" s="14"/>
      <c r="J4" s="15"/>
    </row>
    <row r="5" spans="1:12">
      <c r="A5" s="22"/>
      <c r="B5" s="22"/>
      <c r="C5" s="23" t="s">
        <v>1127</v>
      </c>
      <c r="D5" s="23">
        <v>300000</v>
      </c>
      <c r="E5" s="15" t="s">
        <v>1361</v>
      </c>
      <c r="F5" s="23">
        <v>225000</v>
      </c>
      <c r="G5" s="24" t="s">
        <v>1401</v>
      </c>
      <c r="H5" s="23">
        <v>4039000</v>
      </c>
      <c r="I5" s="14"/>
      <c r="J5" s="15"/>
    </row>
    <row r="6" spans="1:12">
      <c r="A6" s="23"/>
      <c r="B6" s="23"/>
      <c r="C6" s="23" t="s">
        <v>1392</v>
      </c>
      <c r="D6" s="23">
        <v>250000</v>
      </c>
      <c r="E6" s="23" t="s">
        <v>1291</v>
      </c>
      <c r="F6" s="23">
        <v>7755000</v>
      </c>
      <c r="G6" s="24" t="s">
        <v>1382</v>
      </c>
      <c r="H6" s="23">
        <v>600000</v>
      </c>
      <c r="I6" s="14"/>
      <c r="J6" s="15"/>
    </row>
    <row r="7" spans="1:12">
      <c r="A7" s="23"/>
      <c r="B7" s="23"/>
      <c r="C7" s="23"/>
      <c r="D7" s="23"/>
      <c r="E7" s="23" t="s">
        <v>1175</v>
      </c>
      <c r="F7" s="23">
        <v>30000</v>
      </c>
      <c r="G7" s="23"/>
      <c r="H7" s="23"/>
      <c r="I7" s="14"/>
      <c r="J7" s="15"/>
    </row>
    <row r="8" spans="1:12">
      <c r="A8" s="68"/>
      <c r="B8" s="69"/>
      <c r="C8" s="69"/>
      <c r="D8" s="69"/>
      <c r="E8" s="69"/>
      <c r="F8" s="69"/>
      <c r="G8" s="119"/>
      <c r="H8" s="120"/>
      <c r="I8" s="68"/>
      <c r="J8" s="69"/>
    </row>
    <row r="9" spans="1:12">
      <c r="A9" s="70"/>
      <c r="B9" s="71">
        <f t="shared" ref="B9:J9" si="0">SUM(B4:B7)</f>
        <v>0</v>
      </c>
      <c r="C9" s="71">
        <f t="shared" si="0"/>
        <v>0</v>
      </c>
      <c r="D9" s="71">
        <f t="shared" si="0"/>
        <v>1100000</v>
      </c>
      <c r="E9" s="71">
        <f t="shared" si="0"/>
        <v>0</v>
      </c>
      <c r="F9" s="71">
        <f t="shared" si="0"/>
        <v>8190000</v>
      </c>
      <c r="G9" s="71">
        <f t="shared" si="0"/>
        <v>0</v>
      </c>
      <c r="H9" s="71">
        <f t="shared" si="0"/>
        <v>5812000</v>
      </c>
      <c r="I9" s="71">
        <f t="shared" si="0"/>
        <v>0</v>
      </c>
      <c r="J9" s="71">
        <f t="shared" si="0"/>
        <v>0</v>
      </c>
      <c r="L9" s="72">
        <f>+D9+F9+H9</f>
        <v>15102000</v>
      </c>
    </row>
    <row r="10" spans="1:12">
      <c r="D10" s="77">
        <v>50000</v>
      </c>
      <c r="H10" s="77"/>
    </row>
    <row r="11" spans="1:12">
      <c r="D11" s="77">
        <f>+D9-D10</f>
        <v>1050000</v>
      </c>
      <c r="H11" s="77"/>
    </row>
    <row r="12" spans="1:12">
      <c r="H12" s="77"/>
    </row>
    <row r="13" spans="1:12">
      <c r="D13" s="77">
        <v>250000</v>
      </c>
    </row>
    <row r="14" spans="1:12">
      <c r="D14" s="77">
        <f>+D11-D13</f>
        <v>800000</v>
      </c>
    </row>
    <row r="15" spans="1:12">
      <c r="A15" t="s">
        <v>1415</v>
      </c>
    </row>
    <row r="17" spans="1:15">
      <c r="A17" s="57" t="s">
        <v>47</v>
      </c>
      <c r="B17" s="58"/>
      <c r="C17" s="58" t="s">
        <v>1417</v>
      </c>
      <c r="D17" s="58"/>
      <c r="E17" s="58" t="s">
        <v>49</v>
      </c>
      <c r="F17" s="58"/>
      <c r="G17" s="540" t="s">
        <v>50</v>
      </c>
      <c r="H17" s="541"/>
      <c r="I17" s="58" t="s">
        <v>51</v>
      </c>
      <c r="J17" s="59"/>
    </row>
    <row r="18" spans="1:15">
      <c r="A18" s="22" t="s">
        <v>1416</v>
      </c>
      <c r="B18" s="22">
        <v>19390000</v>
      </c>
      <c r="C18" s="22" t="s">
        <v>1274</v>
      </c>
      <c r="D18" s="22">
        <v>4895000</v>
      </c>
      <c r="E18" s="15"/>
      <c r="F18" s="23"/>
      <c r="G18" s="14" t="s">
        <v>1410</v>
      </c>
      <c r="H18" s="15">
        <v>100000</v>
      </c>
      <c r="I18" s="14"/>
      <c r="J18" s="15"/>
    </row>
    <row r="19" spans="1:15">
      <c r="A19" s="22" t="s">
        <v>1120</v>
      </c>
      <c r="B19" s="22">
        <v>1320000</v>
      </c>
      <c r="C19" s="23" t="s">
        <v>1278</v>
      </c>
      <c r="D19" s="23">
        <v>2940000</v>
      </c>
      <c r="E19" s="15"/>
      <c r="F19" s="23"/>
      <c r="G19" s="22" t="s">
        <v>1275</v>
      </c>
      <c r="H19" s="22">
        <v>50000000</v>
      </c>
      <c r="I19" s="14"/>
      <c r="J19" s="15"/>
    </row>
    <row r="20" spans="1:15">
      <c r="A20" s="23" t="s">
        <v>1387</v>
      </c>
      <c r="B20" s="23">
        <v>3000000</v>
      </c>
      <c r="C20" s="23"/>
      <c r="D20" s="23"/>
      <c r="E20" s="23"/>
      <c r="F20" s="23"/>
      <c r="G20" s="23" t="s">
        <v>1282</v>
      </c>
      <c r="H20" s="23">
        <v>10000000</v>
      </c>
      <c r="I20" s="14"/>
      <c r="J20" s="15"/>
    </row>
    <row r="21" spans="1:15">
      <c r="A21" s="23"/>
      <c r="B21" s="23"/>
      <c r="C21" s="23"/>
      <c r="D21" s="23"/>
      <c r="E21" s="23"/>
      <c r="F21" s="23"/>
      <c r="G21" s="23" t="s">
        <v>1283</v>
      </c>
      <c r="H21" s="23">
        <v>10000000</v>
      </c>
      <c r="I21" s="14"/>
      <c r="J21" s="15"/>
    </row>
    <row r="22" spans="1:15">
      <c r="A22" s="23"/>
      <c r="B22" s="23"/>
      <c r="C22" s="23"/>
      <c r="D22" s="23"/>
      <c r="E22" s="23"/>
      <c r="F22" s="23"/>
      <c r="G22" s="23" t="s">
        <v>1284</v>
      </c>
      <c r="H22" s="23">
        <v>25000000</v>
      </c>
      <c r="I22" s="14"/>
      <c r="J22" s="15"/>
    </row>
    <row r="23" spans="1:15">
      <c r="A23" s="23"/>
      <c r="B23" s="23"/>
      <c r="C23" s="23"/>
      <c r="D23" s="23"/>
      <c r="E23" s="23"/>
      <c r="F23" s="23"/>
      <c r="G23" s="23" t="s">
        <v>1405</v>
      </c>
      <c r="H23" s="22">
        <v>8000000</v>
      </c>
      <c r="I23" s="14"/>
      <c r="J23" s="15"/>
      <c r="O23" s="77">
        <v>217000000</v>
      </c>
    </row>
    <row r="24" spans="1:15">
      <c r="A24" s="23"/>
      <c r="B24" s="23"/>
      <c r="C24" s="23"/>
      <c r="D24" s="23"/>
      <c r="E24" s="23"/>
      <c r="F24" s="23"/>
      <c r="G24" s="23" t="s">
        <v>1406</v>
      </c>
      <c r="H24" s="22">
        <v>110000</v>
      </c>
      <c r="I24" s="14"/>
      <c r="J24" s="15"/>
      <c r="O24" s="77">
        <v>130000000</v>
      </c>
    </row>
    <row r="25" spans="1:15">
      <c r="A25" s="23"/>
      <c r="B25" s="23"/>
      <c r="C25" s="23"/>
      <c r="D25" s="23"/>
      <c r="E25" s="23"/>
      <c r="F25" s="23"/>
      <c r="G25" s="24"/>
      <c r="H25" s="23"/>
      <c r="I25" s="14"/>
      <c r="J25" s="15"/>
    </row>
    <row r="26" spans="1:15">
      <c r="A26" s="23"/>
      <c r="B26" s="23"/>
      <c r="C26" s="23"/>
      <c r="D26" s="23"/>
      <c r="E26" s="23"/>
      <c r="F26" s="23"/>
      <c r="G26" s="24"/>
      <c r="H26" s="23"/>
      <c r="I26" s="14"/>
      <c r="J26" s="15"/>
      <c r="O26" s="77">
        <f>+O23-O24</f>
        <v>87000000</v>
      </c>
    </row>
    <row r="27" spans="1:15">
      <c r="A27" s="23"/>
      <c r="B27" s="23"/>
      <c r="C27" s="23"/>
      <c r="D27" s="23"/>
      <c r="E27" s="23"/>
      <c r="F27" s="23"/>
      <c r="G27" s="24"/>
      <c r="H27" s="23"/>
      <c r="I27" s="14"/>
      <c r="J27" s="15"/>
    </row>
    <row r="28" spans="1:15">
      <c r="A28" s="23"/>
      <c r="B28" s="23"/>
      <c r="C28" s="23"/>
      <c r="D28" s="23"/>
      <c r="E28" s="23"/>
      <c r="F28" s="23"/>
      <c r="G28" s="23"/>
      <c r="H28" s="23"/>
      <c r="I28" s="14"/>
      <c r="J28" s="15"/>
    </row>
    <row r="29" spans="1:15">
      <c r="A29" s="68"/>
      <c r="B29" s="69"/>
      <c r="C29" s="69"/>
      <c r="D29" s="69"/>
      <c r="E29" s="69"/>
      <c r="F29" s="69"/>
      <c r="G29" s="119"/>
      <c r="H29" s="120"/>
      <c r="I29" s="68"/>
      <c r="J29" s="69"/>
    </row>
    <row r="30" spans="1:15">
      <c r="A30" s="70"/>
      <c r="B30" s="71">
        <f t="shared" ref="B30:J30" si="1">SUM(B18:B28)</f>
        <v>23710000</v>
      </c>
      <c r="C30" s="71">
        <f t="shared" si="1"/>
        <v>0</v>
      </c>
      <c r="D30" s="71">
        <f t="shared" si="1"/>
        <v>7835000</v>
      </c>
      <c r="E30" s="71">
        <f t="shared" si="1"/>
        <v>0</v>
      </c>
      <c r="F30" s="71">
        <f t="shared" si="1"/>
        <v>0</v>
      </c>
      <c r="G30" s="71">
        <f t="shared" si="1"/>
        <v>0</v>
      </c>
      <c r="H30" s="71">
        <f t="shared" si="1"/>
        <v>103210000</v>
      </c>
      <c r="I30" s="71">
        <f t="shared" si="1"/>
        <v>0</v>
      </c>
      <c r="J30" s="71">
        <f t="shared" si="1"/>
        <v>0</v>
      </c>
      <c r="L30" s="72">
        <f>B30+H30+D30</f>
        <v>134755000</v>
      </c>
    </row>
    <row r="31" spans="1:15">
      <c r="H31" s="77"/>
    </row>
    <row r="32" spans="1:15">
      <c r="H32" s="77"/>
    </row>
  </sheetData>
  <mergeCells count="2">
    <mergeCell ref="G3:H3"/>
    <mergeCell ref="G17:H17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2F98-17E5-480D-91BB-961DD6142D3D}">
  <dimension ref="A1:AI119"/>
  <sheetViews>
    <sheetView topLeftCell="P40" workbookViewId="0">
      <selection activeCell="AD63" sqref="AD63"/>
    </sheetView>
  </sheetViews>
  <sheetFormatPr defaultRowHeight="15"/>
  <cols>
    <col min="1" max="1" width="4.7109375" customWidth="1"/>
    <col min="3" max="3" width="56.5703125" customWidth="1"/>
    <col min="4" max="4" width="12" bestFit="1" customWidth="1"/>
    <col min="5" max="5" width="7.5703125" bestFit="1" customWidth="1"/>
    <col min="6" max="6" width="10" bestFit="1" customWidth="1"/>
    <col min="7" max="7" width="6" bestFit="1" customWidth="1"/>
    <col min="8" max="8" width="11" bestFit="1" customWidth="1"/>
    <col min="9" max="9" width="10.5703125" bestFit="1" customWidth="1"/>
    <col min="10" max="10" width="4.7109375" customWidth="1"/>
    <col min="11" max="11" width="10.42578125" bestFit="1" customWidth="1"/>
    <col min="12" max="12" width="56.5703125" customWidth="1"/>
    <col min="13" max="13" width="12" bestFit="1" customWidth="1"/>
    <col min="14" max="14" width="7.5703125" bestFit="1" customWidth="1"/>
    <col min="15" max="15" width="6.28515625" bestFit="1" customWidth="1"/>
    <col min="16" max="16" width="6" bestFit="1" customWidth="1"/>
    <col min="17" max="17" width="11" bestFit="1" customWidth="1"/>
    <col min="19" max="19" width="4.7109375" customWidth="1"/>
    <col min="20" max="20" width="10.42578125" bestFit="1" customWidth="1"/>
    <col min="21" max="21" width="56.5703125" customWidth="1"/>
    <col min="22" max="22" width="12" bestFit="1" customWidth="1"/>
    <col min="23" max="23" width="7.5703125" bestFit="1" customWidth="1"/>
    <col min="24" max="24" width="6.28515625" bestFit="1" customWidth="1"/>
    <col min="25" max="25" width="6" bestFit="1" customWidth="1"/>
    <col min="26" max="26" width="11" bestFit="1" customWidth="1"/>
    <col min="28" max="28" width="4.7109375" customWidth="1"/>
    <col min="29" max="29" width="10.42578125" bestFit="1" customWidth="1"/>
    <col min="30" max="30" width="56.5703125" customWidth="1"/>
    <col min="31" max="31" width="12" bestFit="1" customWidth="1"/>
    <col min="32" max="32" width="7.5703125" bestFit="1" customWidth="1"/>
    <col min="33" max="33" width="6.28515625" bestFit="1" customWidth="1"/>
    <col min="34" max="34" width="6" bestFit="1" customWidth="1"/>
    <col min="35" max="35" width="11" bestFit="1" customWidth="1"/>
  </cols>
  <sheetData>
    <row r="1" spans="1:35" ht="15.75">
      <c r="A1" s="347" t="s">
        <v>0</v>
      </c>
      <c r="B1" s="2"/>
      <c r="C1" s="3"/>
      <c r="D1" s="3"/>
      <c r="E1" s="3"/>
      <c r="F1" s="3"/>
      <c r="G1" s="3"/>
      <c r="H1" s="3"/>
      <c r="J1" s="347" t="s">
        <v>0</v>
      </c>
      <c r="K1" s="2"/>
      <c r="L1" s="3"/>
      <c r="M1" s="3"/>
      <c r="N1" s="3"/>
      <c r="O1" s="3"/>
      <c r="P1" s="3"/>
      <c r="Q1" s="3"/>
      <c r="S1" s="347" t="s">
        <v>0</v>
      </c>
      <c r="T1" s="2"/>
      <c r="U1" s="3"/>
      <c r="V1" s="3"/>
      <c r="W1" s="3"/>
      <c r="X1" s="3"/>
      <c r="Y1" s="3"/>
      <c r="Z1" s="3"/>
      <c r="AB1" s="347" t="s">
        <v>0</v>
      </c>
      <c r="AC1" s="2"/>
      <c r="AD1" s="3"/>
      <c r="AE1" s="3"/>
      <c r="AF1" s="3"/>
      <c r="AG1" s="3"/>
      <c r="AH1" s="3"/>
      <c r="AI1" s="3"/>
    </row>
    <row r="2" spans="1:35" ht="15.75">
      <c r="A2" s="347" t="s">
        <v>1462</v>
      </c>
      <c r="B2" s="2"/>
      <c r="C2" s="3"/>
      <c r="D2" s="3"/>
      <c r="E2" s="3"/>
      <c r="F2" s="3"/>
      <c r="G2" s="3"/>
      <c r="H2" s="3"/>
      <c r="J2" s="347" t="s">
        <v>1462</v>
      </c>
      <c r="K2" s="2"/>
      <c r="L2" s="3"/>
      <c r="M2" s="3"/>
      <c r="N2" s="3"/>
      <c r="O2" s="3"/>
      <c r="P2" s="3"/>
      <c r="Q2" s="3"/>
      <c r="S2" s="347" t="s">
        <v>1479</v>
      </c>
      <c r="T2" s="2"/>
      <c r="U2" s="3"/>
      <c r="V2" s="3"/>
      <c r="W2" s="3"/>
      <c r="X2" s="3"/>
      <c r="Y2" s="3"/>
      <c r="Z2" s="3"/>
      <c r="AB2" s="347" t="s">
        <v>1480</v>
      </c>
      <c r="AC2" s="2"/>
      <c r="AD2" s="3"/>
      <c r="AE2" s="3"/>
      <c r="AF2" s="3"/>
      <c r="AG2" s="3"/>
      <c r="AH2" s="3"/>
      <c r="AI2" s="3"/>
    </row>
    <row r="3" spans="1:35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  <c r="S3" s="534" t="s">
        <v>1</v>
      </c>
      <c r="T3" s="534"/>
      <c r="U3" s="534"/>
      <c r="V3" s="534"/>
      <c r="W3" s="534"/>
      <c r="X3" s="534"/>
      <c r="Y3" s="534"/>
      <c r="Z3" s="534"/>
      <c r="AB3" s="534" t="s">
        <v>1</v>
      </c>
      <c r="AC3" s="534"/>
      <c r="AD3" s="534"/>
      <c r="AE3" s="534"/>
      <c r="AF3" s="534"/>
      <c r="AG3" s="534"/>
      <c r="AH3" s="534"/>
      <c r="AI3" s="534"/>
    </row>
    <row r="4" spans="1:35">
      <c r="A4" s="4"/>
      <c r="B4" s="5"/>
      <c r="C4" s="6" t="s">
        <v>2</v>
      </c>
      <c r="D4" s="77">
        <v>0</v>
      </c>
      <c r="E4" s="6"/>
      <c r="F4" s="6"/>
      <c r="G4" s="6"/>
      <c r="H4" s="6"/>
      <c r="J4" s="4"/>
      <c r="K4" s="5"/>
      <c r="L4" s="6" t="s">
        <v>2</v>
      </c>
      <c r="M4" s="77">
        <v>0</v>
      </c>
      <c r="N4" s="6"/>
      <c r="O4" s="6"/>
      <c r="P4" s="6"/>
      <c r="Q4" s="6"/>
      <c r="S4" s="4"/>
      <c r="T4" s="5"/>
      <c r="U4" s="6" t="s">
        <v>2</v>
      </c>
      <c r="V4" s="77">
        <v>0</v>
      </c>
      <c r="W4" s="6"/>
      <c r="X4" s="6"/>
      <c r="Y4" s="6"/>
      <c r="Z4" s="6"/>
      <c r="AB4" s="4"/>
      <c r="AC4" s="5"/>
      <c r="AD4" s="6" t="s">
        <v>2</v>
      </c>
      <c r="AE4" s="77">
        <v>0</v>
      </c>
      <c r="AF4" s="6"/>
      <c r="AG4" s="6"/>
      <c r="AH4" s="6"/>
      <c r="AI4" s="6"/>
    </row>
    <row r="5" spans="1:35">
      <c r="A5" s="4"/>
      <c r="B5" s="5"/>
      <c r="C5" s="6" t="s">
        <v>590</v>
      </c>
      <c r="D5" s="7">
        <v>0</v>
      </c>
      <c r="E5" s="6"/>
      <c r="F5" s="6"/>
      <c r="G5" s="6"/>
      <c r="H5" s="6"/>
      <c r="J5" s="4"/>
      <c r="K5" s="5"/>
      <c r="L5" s="6" t="s">
        <v>590</v>
      </c>
      <c r="M5" s="7">
        <v>0</v>
      </c>
      <c r="N5" s="6"/>
      <c r="O5" s="6"/>
      <c r="P5" s="6"/>
      <c r="Q5" s="6"/>
      <c r="S5" s="4"/>
      <c r="T5" s="5"/>
      <c r="U5" s="6" t="s">
        <v>590</v>
      </c>
      <c r="V5" s="7">
        <v>0</v>
      </c>
      <c r="W5" s="6"/>
      <c r="X5" s="6"/>
      <c r="Y5" s="6"/>
      <c r="Z5" s="6"/>
      <c r="AB5" s="4"/>
      <c r="AC5" s="5"/>
      <c r="AD5" s="6" t="s">
        <v>590</v>
      </c>
      <c r="AE5" s="7">
        <v>0</v>
      </c>
      <c r="AF5" s="6"/>
      <c r="AG5" s="6"/>
      <c r="AH5" s="6"/>
      <c r="AI5" s="6"/>
    </row>
    <row r="6" spans="1:35">
      <c r="A6" s="4"/>
      <c r="B6" s="5"/>
      <c r="C6" s="6" t="s">
        <v>3</v>
      </c>
      <c r="D6" s="8">
        <v>33490815</v>
      </c>
      <c r="E6" s="6"/>
      <c r="F6" s="6"/>
      <c r="G6" s="6"/>
      <c r="H6" s="6"/>
      <c r="J6" s="4"/>
      <c r="K6" s="5"/>
      <c r="L6" s="6" t="s">
        <v>3</v>
      </c>
      <c r="M6" s="8">
        <v>33490815</v>
      </c>
      <c r="N6" s="6"/>
      <c r="O6" s="6"/>
      <c r="P6" s="6"/>
      <c r="Q6" s="6"/>
      <c r="S6" s="4"/>
      <c r="T6" s="5"/>
      <c r="U6" s="6" t="s">
        <v>3</v>
      </c>
      <c r="V6" s="8">
        <v>33490815</v>
      </c>
      <c r="W6" s="6"/>
      <c r="X6" s="6"/>
      <c r="Y6" s="6"/>
      <c r="Z6" s="6"/>
      <c r="AB6" s="4"/>
      <c r="AC6" s="5"/>
      <c r="AD6" s="6" t="s">
        <v>3</v>
      </c>
      <c r="AE6" s="8">
        <v>33490815</v>
      </c>
      <c r="AF6" s="6"/>
      <c r="AG6" s="6"/>
      <c r="AH6" s="6"/>
      <c r="AI6" s="6"/>
    </row>
    <row r="7" spans="1:35">
      <c r="A7" s="4"/>
      <c r="B7" s="5"/>
      <c r="C7" s="6" t="s">
        <v>4</v>
      </c>
      <c r="D7" s="115">
        <v>1139810</v>
      </c>
      <c r="E7" s="6"/>
      <c r="F7" s="6"/>
      <c r="G7" s="6"/>
      <c r="H7" s="6"/>
      <c r="J7" s="4"/>
      <c r="K7" s="5"/>
      <c r="L7" s="6" t="s">
        <v>4</v>
      </c>
      <c r="M7" s="115">
        <v>1139810</v>
      </c>
      <c r="N7" s="6"/>
      <c r="O7" s="6"/>
      <c r="P7" s="6"/>
      <c r="Q7" s="6"/>
      <c r="S7" s="4"/>
      <c r="T7" s="5"/>
      <c r="U7" s="6" t="s">
        <v>4</v>
      </c>
      <c r="V7" s="115">
        <v>1139810</v>
      </c>
      <c r="W7" s="6"/>
      <c r="X7" s="6"/>
      <c r="Y7" s="6"/>
      <c r="Z7" s="6"/>
      <c r="AB7" s="4"/>
      <c r="AC7" s="5"/>
      <c r="AD7" s="6" t="s">
        <v>4</v>
      </c>
      <c r="AE7" s="115">
        <v>1139810</v>
      </c>
      <c r="AF7" s="6"/>
      <c r="AG7" s="6"/>
      <c r="AH7" s="6"/>
      <c r="AI7" s="6"/>
    </row>
    <row r="8" spans="1:35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  <c r="S8" s="4"/>
      <c r="T8" s="5"/>
      <c r="U8" s="6" t="s">
        <v>5</v>
      </c>
      <c r="V8" s="6">
        <v>1146153</v>
      </c>
      <c r="W8" s="6"/>
      <c r="X8" s="6"/>
      <c r="Y8" s="6"/>
      <c r="Z8" s="6"/>
      <c r="AB8" s="4"/>
      <c r="AC8" s="5"/>
      <c r="AD8" s="6" t="s">
        <v>5</v>
      </c>
      <c r="AE8" s="6">
        <v>1146153</v>
      </c>
      <c r="AF8" s="6"/>
      <c r="AG8" s="6"/>
      <c r="AH8" s="6"/>
      <c r="AI8" s="6"/>
    </row>
    <row r="9" spans="1:35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  <c r="S9" s="4"/>
      <c r="T9" s="5"/>
      <c r="U9" s="6" t="s">
        <v>6</v>
      </c>
      <c r="V9" s="6">
        <v>3297735.5133333281</v>
      </c>
      <c r="W9" s="6"/>
      <c r="X9" s="6"/>
      <c r="Y9" s="6"/>
      <c r="Z9" s="6"/>
      <c r="AB9" s="4"/>
      <c r="AC9" s="5"/>
      <c r="AD9" s="6" t="s">
        <v>6</v>
      </c>
      <c r="AE9" s="6">
        <v>3297735.5133333281</v>
      </c>
      <c r="AF9" s="6"/>
      <c r="AG9" s="6"/>
      <c r="AH9" s="6"/>
      <c r="AI9" s="6"/>
    </row>
    <row r="10" spans="1:35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J10" s="4"/>
      <c r="K10" s="5"/>
      <c r="L10" s="6" t="s">
        <v>7</v>
      </c>
      <c r="M10" s="6">
        <v>2363662</v>
      </c>
      <c r="N10" s="6"/>
      <c r="O10" s="6"/>
      <c r="P10" s="6"/>
      <c r="Q10" s="6"/>
      <c r="S10" s="4"/>
      <c r="T10" s="5"/>
      <c r="U10" s="6" t="s">
        <v>7</v>
      </c>
      <c r="V10" s="6">
        <v>2363662</v>
      </c>
      <c r="W10" s="6"/>
      <c r="X10" s="6"/>
      <c r="Y10" s="6"/>
      <c r="Z10" s="6"/>
      <c r="AB10" s="4"/>
      <c r="AC10" s="5"/>
      <c r="AD10" s="6" t="s">
        <v>7</v>
      </c>
      <c r="AE10" s="6">
        <v>2363662</v>
      </c>
      <c r="AF10" s="6"/>
      <c r="AG10" s="6"/>
      <c r="AH10" s="6"/>
      <c r="AI10" s="6"/>
    </row>
    <row r="11" spans="1:35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  <c r="S11" s="4"/>
      <c r="T11" s="5"/>
      <c r="U11" s="6"/>
      <c r="V11" s="6"/>
      <c r="W11" s="6"/>
      <c r="X11" s="6"/>
      <c r="Y11" s="6"/>
      <c r="Z11" s="6"/>
      <c r="AB11" s="4"/>
      <c r="AC11" s="5"/>
      <c r="AD11" s="6"/>
      <c r="AE11" s="6"/>
      <c r="AF11" s="6"/>
      <c r="AG11" s="6"/>
      <c r="AH11" s="6"/>
      <c r="AI11" s="6"/>
    </row>
    <row r="12" spans="1:35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41438175.513333328</v>
      </c>
      <c r="J12" s="531" t="s">
        <v>1071</v>
      </c>
      <c r="K12" s="532"/>
      <c r="L12" s="532"/>
      <c r="M12" s="532"/>
      <c r="N12" s="532"/>
      <c r="O12" s="532"/>
      <c r="P12" s="533"/>
      <c r="Q12" s="10">
        <f>SUM(M4:M10)</f>
        <v>41438175.513333328</v>
      </c>
      <c r="S12" s="531" t="s">
        <v>1071</v>
      </c>
      <c r="T12" s="532"/>
      <c r="U12" s="532"/>
      <c r="V12" s="532"/>
      <c r="W12" s="532"/>
      <c r="X12" s="532"/>
      <c r="Y12" s="533"/>
      <c r="Z12" s="10">
        <f>SUM(V4:V10)</f>
        <v>41438175.513333328</v>
      </c>
      <c r="AB12" s="531" t="s">
        <v>1071</v>
      </c>
      <c r="AC12" s="532"/>
      <c r="AD12" s="532"/>
      <c r="AE12" s="532"/>
      <c r="AF12" s="532"/>
      <c r="AG12" s="532"/>
      <c r="AH12" s="533"/>
      <c r="AI12" s="10">
        <f>SUM(AE4:AE10)</f>
        <v>41438175.513333328</v>
      </c>
    </row>
    <row r="13" spans="1:35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  <c r="S13" s="535" t="s">
        <v>8</v>
      </c>
      <c r="T13" s="535"/>
      <c r="U13" s="535"/>
      <c r="V13" s="535"/>
      <c r="W13" s="535"/>
      <c r="X13" s="535"/>
      <c r="Y13" s="535"/>
      <c r="Z13" s="535"/>
      <c r="AB13" s="535" t="s">
        <v>8</v>
      </c>
      <c r="AC13" s="535"/>
      <c r="AD13" s="535"/>
      <c r="AE13" s="535"/>
      <c r="AF13" s="535"/>
      <c r="AG13" s="535"/>
      <c r="AH13" s="535"/>
      <c r="AI13" s="535"/>
    </row>
    <row r="14" spans="1:35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  <c r="S14" s="536" t="s">
        <v>9</v>
      </c>
      <c r="T14" s="537" t="s">
        <v>10</v>
      </c>
      <c r="U14" s="538" t="s">
        <v>11</v>
      </c>
      <c r="V14" s="538" t="s">
        <v>12</v>
      </c>
      <c r="W14" s="530" t="s">
        <v>13</v>
      </c>
      <c r="X14" s="530"/>
      <c r="Y14" s="530"/>
      <c r="Z14" s="530"/>
      <c r="AB14" s="536" t="s">
        <v>9</v>
      </c>
      <c r="AC14" s="537" t="s">
        <v>10</v>
      </c>
      <c r="AD14" s="538" t="s">
        <v>11</v>
      </c>
      <c r="AE14" s="538" t="s">
        <v>12</v>
      </c>
      <c r="AF14" s="530" t="s">
        <v>13</v>
      </c>
      <c r="AG14" s="530"/>
      <c r="AH14" s="530"/>
      <c r="AI14" s="530"/>
    </row>
    <row r="15" spans="1:35">
      <c r="A15" s="536"/>
      <c r="B15" s="537"/>
      <c r="C15" s="538"/>
      <c r="D15" s="538"/>
      <c r="E15" s="444" t="s">
        <v>14</v>
      </c>
      <c r="F15" s="444" t="s">
        <v>15</v>
      </c>
      <c r="G15" s="444" t="s">
        <v>16</v>
      </c>
      <c r="H15" s="444" t="s">
        <v>17</v>
      </c>
      <c r="J15" s="536"/>
      <c r="K15" s="537"/>
      <c r="L15" s="538"/>
      <c r="M15" s="538"/>
      <c r="N15" s="451" t="s">
        <v>14</v>
      </c>
      <c r="O15" s="451" t="s">
        <v>15</v>
      </c>
      <c r="P15" s="451" t="s">
        <v>16</v>
      </c>
      <c r="Q15" s="451" t="s">
        <v>17</v>
      </c>
      <c r="S15" s="536"/>
      <c r="T15" s="537"/>
      <c r="U15" s="538"/>
      <c r="V15" s="538"/>
      <c r="W15" s="451" t="s">
        <v>14</v>
      </c>
      <c r="X15" s="451" t="s">
        <v>15</v>
      </c>
      <c r="Y15" s="451" t="s">
        <v>16</v>
      </c>
      <c r="Z15" s="451" t="s">
        <v>17</v>
      </c>
      <c r="AB15" s="536"/>
      <c r="AC15" s="537"/>
      <c r="AD15" s="538"/>
      <c r="AE15" s="538"/>
      <c r="AF15" s="451" t="s">
        <v>14</v>
      </c>
      <c r="AG15" s="451" t="s">
        <v>15</v>
      </c>
      <c r="AH15" s="451" t="s">
        <v>16</v>
      </c>
      <c r="AI15" s="451" t="s">
        <v>17</v>
      </c>
    </row>
    <row r="16" spans="1:35">
      <c r="A16" s="12"/>
      <c r="B16" s="19" t="s">
        <v>1214</v>
      </c>
      <c r="C16" s="14" t="s">
        <v>1215</v>
      </c>
      <c r="D16" s="15">
        <v>1600000</v>
      </c>
      <c r="E16" s="16"/>
      <c r="F16" s="16"/>
      <c r="G16" s="16"/>
      <c r="H16" s="16"/>
      <c r="J16" s="12"/>
      <c r="K16" s="19" t="s">
        <v>1214</v>
      </c>
      <c r="L16" s="14" t="s">
        <v>1215</v>
      </c>
      <c r="M16" s="15">
        <v>1600000</v>
      </c>
      <c r="N16" s="16"/>
      <c r="O16" s="16"/>
      <c r="P16" s="16"/>
      <c r="Q16" s="16"/>
      <c r="S16" s="12"/>
      <c r="T16" s="19" t="s">
        <v>1214</v>
      </c>
      <c r="U16" s="14" t="s">
        <v>1215</v>
      </c>
      <c r="V16" s="15"/>
      <c r="W16" s="16"/>
      <c r="X16" s="16"/>
      <c r="Y16" s="16"/>
      <c r="Z16" s="16"/>
      <c r="AB16" s="12"/>
      <c r="AC16" s="19" t="s">
        <v>1214</v>
      </c>
      <c r="AD16" s="14" t="s">
        <v>1215</v>
      </c>
      <c r="AE16" s="15">
        <v>1600000</v>
      </c>
      <c r="AF16" s="16"/>
      <c r="AG16" s="16"/>
      <c r="AH16" s="16"/>
      <c r="AI16" s="16"/>
    </row>
    <row r="17" spans="1:35">
      <c r="A17" s="12"/>
      <c r="B17" s="19" t="s">
        <v>1214</v>
      </c>
      <c r="C17" s="14" t="s">
        <v>1242</v>
      </c>
      <c r="D17" s="15">
        <v>1250000</v>
      </c>
      <c r="E17" s="16"/>
      <c r="F17" s="16"/>
      <c r="G17" s="16"/>
      <c r="H17" s="16"/>
      <c r="J17" s="12"/>
      <c r="K17" s="19" t="s">
        <v>1214</v>
      </c>
      <c r="L17" s="14" t="s">
        <v>1242</v>
      </c>
      <c r="M17" s="15">
        <v>1250000</v>
      </c>
      <c r="N17" s="16"/>
      <c r="O17" s="16"/>
      <c r="P17" s="16"/>
      <c r="Q17" s="16"/>
      <c r="S17" s="12"/>
      <c r="T17" s="19" t="s">
        <v>1214</v>
      </c>
      <c r="U17" s="14" t="s">
        <v>1242</v>
      </c>
      <c r="V17" s="15"/>
      <c r="W17" s="16"/>
      <c r="X17" s="16"/>
      <c r="Y17" s="16"/>
      <c r="Z17" s="16"/>
      <c r="AB17" s="12"/>
      <c r="AC17" s="19" t="s">
        <v>1214</v>
      </c>
      <c r="AD17" s="14" t="s">
        <v>1242</v>
      </c>
      <c r="AE17" s="15">
        <v>1250000</v>
      </c>
      <c r="AF17" s="16"/>
      <c r="AG17" s="16"/>
      <c r="AH17" s="16"/>
      <c r="AI17" s="16"/>
    </row>
    <row r="18" spans="1:35">
      <c r="A18" s="12"/>
      <c r="B18" s="19" t="s">
        <v>1347</v>
      </c>
      <c r="C18" s="14" t="s">
        <v>1349</v>
      </c>
      <c r="D18" s="15">
        <f>60000*7</f>
        <v>420000</v>
      </c>
      <c r="E18" s="16"/>
      <c r="F18" s="16"/>
      <c r="G18" s="16"/>
      <c r="H18" s="16"/>
      <c r="J18" s="12"/>
      <c r="K18" s="19" t="s">
        <v>1347</v>
      </c>
      <c r="L18" s="14" t="s">
        <v>1349</v>
      </c>
      <c r="M18" s="15">
        <f>60000*7</f>
        <v>420000</v>
      </c>
      <c r="N18" s="16"/>
      <c r="O18" s="16"/>
      <c r="P18" s="16"/>
      <c r="Q18" s="16"/>
      <c r="S18" s="12"/>
      <c r="T18" s="19" t="s">
        <v>1347</v>
      </c>
      <c r="U18" s="14" t="s">
        <v>1349</v>
      </c>
      <c r="V18" s="15"/>
      <c r="W18" s="16"/>
      <c r="X18" s="16"/>
      <c r="Y18" s="16"/>
      <c r="Z18" s="16"/>
      <c r="AB18" s="12"/>
      <c r="AC18" s="19" t="s">
        <v>1347</v>
      </c>
      <c r="AD18" s="14" t="s">
        <v>1349</v>
      </c>
      <c r="AE18" s="15">
        <f>60000*7</f>
        <v>420000</v>
      </c>
      <c r="AF18" s="16"/>
      <c r="AG18" s="16"/>
      <c r="AH18" s="16"/>
      <c r="AI18" s="16"/>
    </row>
    <row r="19" spans="1:35">
      <c r="A19" s="12"/>
      <c r="B19" s="19" t="s">
        <v>1347</v>
      </c>
      <c r="C19" s="14" t="s">
        <v>1348</v>
      </c>
      <c r="D19" s="15">
        <f>300000*7</f>
        <v>2100000</v>
      </c>
      <c r="E19" s="16"/>
      <c r="F19" s="16"/>
      <c r="G19" s="16"/>
      <c r="H19" s="16"/>
      <c r="J19" s="12"/>
      <c r="K19" s="19" t="s">
        <v>1347</v>
      </c>
      <c r="L19" s="14" t="s">
        <v>1348</v>
      </c>
      <c r="M19" s="15">
        <f>300000*7</f>
        <v>2100000</v>
      </c>
      <c r="N19" s="16"/>
      <c r="O19" s="16"/>
      <c r="P19" s="16"/>
      <c r="Q19" s="16"/>
      <c r="S19" s="12"/>
      <c r="T19" s="19" t="s">
        <v>1347</v>
      </c>
      <c r="U19" s="14" t="s">
        <v>1348</v>
      </c>
      <c r="V19" s="15"/>
      <c r="W19" s="16"/>
      <c r="X19" s="16"/>
      <c r="Y19" s="16"/>
      <c r="Z19" s="16"/>
      <c r="AB19" s="12"/>
      <c r="AC19" s="19" t="s">
        <v>1347</v>
      </c>
      <c r="AD19" s="14" t="s">
        <v>1348</v>
      </c>
      <c r="AE19" s="15">
        <f>300000*7</f>
        <v>2100000</v>
      </c>
      <c r="AF19" s="16"/>
      <c r="AG19" s="16"/>
      <c r="AH19" s="16"/>
      <c r="AI19" s="16"/>
    </row>
    <row r="20" spans="1:35">
      <c r="A20" s="12"/>
      <c r="B20" s="19" t="s">
        <v>1379</v>
      </c>
      <c r="C20" s="14" t="s">
        <v>1380</v>
      </c>
      <c r="D20" s="15">
        <v>175000</v>
      </c>
      <c r="E20" s="16"/>
      <c r="F20" s="16"/>
      <c r="G20" s="16"/>
      <c r="H20" s="16"/>
      <c r="J20" s="12"/>
      <c r="K20" s="19" t="s">
        <v>1379</v>
      </c>
      <c r="L20" s="14" t="s">
        <v>1380</v>
      </c>
      <c r="M20" s="15">
        <v>175000</v>
      </c>
      <c r="N20" s="16"/>
      <c r="O20" s="16"/>
      <c r="P20" s="16"/>
      <c r="Q20" s="16"/>
      <c r="S20" s="12"/>
      <c r="T20" s="19" t="s">
        <v>1379</v>
      </c>
      <c r="U20" s="14" t="s">
        <v>1380</v>
      </c>
      <c r="V20" s="15"/>
      <c r="W20" s="16"/>
      <c r="X20" s="16"/>
      <c r="Y20" s="16"/>
      <c r="Z20" s="16"/>
      <c r="AB20" s="12"/>
      <c r="AC20" s="19" t="s">
        <v>1379</v>
      </c>
      <c r="AD20" s="14" t="s">
        <v>1380</v>
      </c>
      <c r="AE20" s="15">
        <v>175000</v>
      </c>
      <c r="AF20" s="16"/>
      <c r="AG20" s="16"/>
      <c r="AH20" s="16"/>
      <c r="AI20" s="16"/>
    </row>
    <row r="21" spans="1:35">
      <c r="A21" s="12"/>
      <c r="B21" s="19" t="s">
        <v>1379</v>
      </c>
      <c r="C21" s="14" t="s">
        <v>1408</v>
      </c>
      <c r="D21" s="15">
        <v>500000</v>
      </c>
      <c r="E21" s="16"/>
      <c r="F21" s="16"/>
      <c r="G21" s="16"/>
      <c r="H21" s="16"/>
      <c r="J21" s="12"/>
      <c r="K21" s="19" t="s">
        <v>1379</v>
      </c>
      <c r="L21" s="14" t="s">
        <v>1408</v>
      </c>
      <c r="M21" s="15">
        <v>500000</v>
      </c>
      <c r="N21" s="16"/>
      <c r="O21" s="16"/>
      <c r="P21" s="16"/>
      <c r="Q21" s="16"/>
      <c r="S21" s="12"/>
      <c r="T21" s="19" t="s">
        <v>1379</v>
      </c>
      <c r="U21" s="14" t="s">
        <v>1408</v>
      </c>
      <c r="V21" s="15"/>
      <c r="W21" s="16"/>
      <c r="X21" s="16"/>
      <c r="Y21" s="16"/>
      <c r="Z21" s="16"/>
      <c r="AB21" s="12"/>
      <c r="AC21" s="19" t="s">
        <v>1379</v>
      </c>
      <c r="AD21" s="14" t="s">
        <v>1408</v>
      </c>
      <c r="AE21" s="15">
        <v>500000</v>
      </c>
      <c r="AF21" s="16"/>
      <c r="AG21" s="16"/>
      <c r="AH21" s="16"/>
      <c r="AI21" s="16"/>
    </row>
    <row r="22" spans="1:35">
      <c r="A22" s="12"/>
      <c r="B22" s="19" t="s">
        <v>1379</v>
      </c>
      <c r="C22" s="14" t="s">
        <v>1404</v>
      </c>
      <c r="D22" s="15">
        <v>300000</v>
      </c>
      <c r="E22" s="16"/>
      <c r="F22" s="16"/>
      <c r="G22" s="16"/>
      <c r="H22" s="16"/>
      <c r="J22" s="12"/>
      <c r="K22" s="19" t="s">
        <v>1379</v>
      </c>
      <c r="L22" s="14" t="s">
        <v>1404</v>
      </c>
      <c r="M22" s="15">
        <v>300000</v>
      </c>
      <c r="N22" s="16"/>
      <c r="O22" s="16"/>
      <c r="P22" s="16"/>
      <c r="Q22" s="16"/>
      <c r="S22" s="12"/>
      <c r="T22" s="19" t="s">
        <v>1379</v>
      </c>
      <c r="U22" s="14" t="s">
        <v>1404</v>
      </c>
      <c r="V22" s="15"/>
      <c r="W22" s="16"/>
      <c r="X22" s="16"/>
      <c r="Y22" s="16"/>
      <c r="Z22" s="16"/>
      <c r="AB22" s="12"/>
      <c r="AC22" s="19" t="s">
        <v>1379</v>
      </c>
      <c r="AD22" s="14" t="s">
        <v>1404</v>
      </c>
      <c r="AE22" s="15">
        <v>300000</v>
      </c>
      <c r="AF22" s="16"/>
      <c r="AG22" s="16"/>
      <c r="AH22" s="16"/>
      <c r="AI22" s="16"/>
    </row>
    <row r="23" spans="1:35">
      <c r="A23" s="12"/>
      <c r="B23" s="19" t="s">
        <v>1428</v>
      </c>
      <c r="C23" s="14" t="s">
        <v>686</v>
      </c>
      <c r="D23" s="15">
        <v>450000</v>
      </c>
      <c r="E23" s="16"/>
      <c r="F23" s="16"/>
      <c r="G23" s="16"/>
      <c r="H23" s="16"/>
      <c r="J23" s="12"/>
      <c r="K23" s="19" t="s">
        <v>1428</v>
      </c>
      <c r="L23" s="14" t="s">
        <v>686</v>
      </c>
      <c r="M23" s="15">
        <v>450000</v>
      </c>
      <c r="N23" s="16"/>
      <c r="O23" s="16"/>
      <c r="P23" s="16"/>
      <c r="Q23" s="16"/>
      <c r="S23" s="12"/>
      <c r="T23" s="19" t="s">
        <v>1428</v>
      </c>
      <c r="U23" s="14" t="s">
        <v>686</v>
      </c>
      <c r="V23" s="15"/>
      <c r="W23" s="16"/>
      <c r="X23" s="16"/>
      <c r="Y23" s="16"/>
      <c r="Z23" s="16"/>
      <c r="AB23" s="12"/>
      <c r="AC23" s="19" t="s">
        <v>1428</v>
      </c>
      <c r="AD23" s="14" t="s">
        <v>686</v>
      </c>
      <c r="AE23" s="15">
        <v>450000</v>
      </c>
      <c r="AF23" s="16"/>
      <c r="AG23" s="16"/>
      <c r="AH23" s="16"/>
      <c r="AI23" s="16"/>
    </row>
    <row r="24" spans="1:35">
      <c r="A24" s="12"/>
      <c r="B24" s="19" t="s">
        <v>1428</v>
      </c>
      <c r="C24" s="14" t="s">
        <v>1311</v>
      </c>
      <c r="D24" s="15">
        <v>150000</v>
      </c>
      <c r="E24" s="16"/>
      <c r="F24" s="16"/>
      <c r="G24" s="16"/>
      <c r="H24" s="16"/>
      <c r="J24" s="12"/>
      <c r="K24" s="19" t="s">
        <v>1428</v>
      </c>
      <c r="L24" s="14" t="s">
        <v>1311</v>
      </c>
      <c r="M24" s="15">
        <v>150000</v>
      </c>
      <c r="N24" s="16"/>
      <c r="O24" s="16"/>
      <c r="P24" s="16"/>
      <c r="Q24" s="16"/>
      <c r="S24" s="12"/>
      <c r="T24" s="19" t="s">
        <v>1428</v>
      </c>
      <c r="U24" s="14" t="s">
        <v>1311</v>
      </c>
      <c r="V24" s="15"/>
      <c r="W24" s="16"/>
      <c r="X24" s="16"/>
      <c r="Y24" s="16"/>
      <c r="Z24" s="16"/>
      <c r="AB24" s="12"/>
      <c r="AC24" s="19" t="s">
        <v>1428</v>
      </c>
      <c r="AD24" s="14" t="s">
        <v>1311</v>
      </c>
      <c r="AE24" s="15">
        <v>150000</v>
      </c>
      <c r="AF24" s="16"/>
      <c r="AG24" s="16"/>
      <c r="AH24" s="16"/>
      <c r="AI24" s="16"/>
    </row>
    <row r="25" spans="1:35">
      <c r="A25" s="12"/>
      <c r="B25" s="19" t="s">
        <v>1428</v>
      </c>
      <c r="C25" s="14" t="s">
        <v>802</v>
      </c>
      <c r="D25" s="15">
        <v>185000</v>
      </c>
      <c r="E25" s="16"/>
      <c r="F25" s="16"/>
      <c r="G25" s="16"/>
      <c r="H25" s="16"/>
      <c r="J25" s="12"/>
      <c r="K25" s="19" t="s">
        <v>1428</v>
      </c>
      <c r="L25" s="14" t="s">
        <v>802</v>
      </c>
      <c r="M25" s="15">
        <v>185000</v>
      </c>
      <c r="N25" s="16"/>
      <c r="O25" s="16"/>
      <c r="P25" s="16"/>
      <c r="Q25" s="16"/>
      <c r="S25" s="12"/>
      <c r="T25" s="19" t="s">
        <v>1428</v>
      </c>
      <c r="U25" s="14" t="s">
        <v>802</v>
      </c>
      <c r="V25" s="15"/>
      <c r="W25" s="16"/>
      <c r="X25" s="16"/>
      <c r="Y25" s="16"/>
      <c r="Z25" s="16"/>
      <c r="AB25" s="12"/>
      <c r="AC25" s="19" t="s">
        <v>1428</v>
      </c>
      <c r="AD25" s="14" t="s">
        <v>802</v>
      </c>
      <c r="AE25" s="15">
        <v>185000</v>
      </c>
      <c r="AF25" s="16"/>
      <c r="AG25" s="16"/>
      <c r="AH25" s="16"/>
      <c r="AI25" s="16"/>
    </row>
    <row r="26" spans="1:35">
      <c r="A26" s="12"/>
      <c r="B26" s="19" t="s">
        <v>1428</v>
      </c>
      <c r="C26" s="14" t="s">
        <v>1429</v>
      </c>
      <c r="D26" s="15">
        <v>1194000</v>
      </c>
      <c r="E26" s="16"/>
      <c r="F26" s="16"/>
      <c r="G26" s="16"/>
      <c r="H26" s="16"/>
      <c r="J26" s="12"/>
      <c r="K26" s="19" t="s">
        <v>1428</v>
      </c>
      <c r="L26" s="14" t="s">
        <v>1429</v>
      </c>
      <c r="M26" s="15">
        <v>1194000</v>
      </c>
      <c r="N26" s="16"/>
      <c r="O26" s="16"/>
      <c r="P26" s="16"/>
      <c r="Q26" s="16"/>
      <c r="S26" s="12"/>
      <c r="T26" s="19" t="s">
        <v>1428</v>
      </c>
      <c r="U26" s="14" t="s">
        <v>1429</v>
      </c>
      <c r="V26" s="15"/>
      <c r="W26" s="16"/>
      <c r="X26" s="16"/>
      <c r="Y26" s="16"/>
      <c r="Z26" s="16"/>
      <c r="AB26" s="12"/>
      <c r="AC26" s="19" t="s">
        <v>1428</v>
      </c>
      <c r="AD26" s="14" t="s">
        <v>1429</v>
      </c>
      <c r="AE26" s="15">
        <v>1194000</v>
      </c>
      <c r="AF26" s="16"/>
      <c r="AG26" s="16"/>
      <c r="AH26" s="16"/>
      <c r="AI26" s="16"/>
    </row>
    <row r="27" spans="1:35">
      <c r="A27" s="12"/>
      <c r="B27" s="19" t="s">
        <v>1428</v>
      </c>
      <c r="C27" s="14" t="s">
        <v>1005</v>
      </c>
      <c r="D27" s="15">
        <v>202500</v>
      </c>
      <c r="E27" s="16"/>
      <c r="F27" s="16"/>
      <c r="G27" s="16"/>
      <c r="H27" s="16"/>
      <c r="J27" s="12"/>
      <c r="K27" s="19" t="s">
        <v>1428</v>
      </c>
      <c r="L27" s="14" t="s">
        <v>1005</v>
      </c>
      <c r="M27" s="15">
        <v>202500</v>
      </c>
      <c r="N27" s="16"/>
      <c r="O27" s="16"/>
      <c r="P27" s="16"/>
      <c r="Q27" s="16"/>
      <c r="S27" s="12"/>
      <c r="T27" s="19" t="s">
        <v>1428</v>
      </c>
      <c r="U27" s="14" t="s">
        <v>1005</v>
      </c>
      <c r="V27" s="15"/>
      <c r="W27" s="16"/>
      <c r="X27" s="16"/>
      <c r="Y27" s="16"/>
      <c r="Z27" s="16"/>
      <c r="AB27" s="12"/>
      <c r="AC27" s="19" t="s">
        <v>1428</v>
      </c>
      <c r="AD27" s="14" t="s">
        <v>1005</v>
      </c>
      <c r="AE27" s="15">
        <v>202500</v>
      </c>
      <c r="AF27" s="16"/>
      <c r="AG27" s="16"/>
      <c r="AH27" s="16"/>
      <c r="AI27" s="16"/>
    </row>
    <row r="28" spans="1:35">
      <c r="A28" s="12"/>
      <c r="B28" s="19" t="s">
        <v>1428</v>
      </c>
      <c r="C28" s="14" t="s">
        <v>1003</v>
      </c>
      <c r="D28" s="15">
        <v>450500</v>
      </c>
      <c r="E28" s="16"/>
      <c r="F28" s="16"/>
      <c r="G28" s="16"/>
      <c r="H28" s="16"/>
      <c r="J28" s="12"/>
      <c r="K28" s="19" t="s">
        <v>1428</v>
      </c>
      <c r="L28" s="14" t="s">
        <v>1003</v>
      </c>
      <c r="M28" s="15">
        <v>450500</v>
      </c>
      <c r="N28" s="16"/>
      <c r="O28" s="16"/>
      <c r="P28" s="16"/>
      <c r="Q28" s="16"/>
      <c r="S28" s="12"/>
      <c r="T28" s="19" t="s">
        <v>1428</v>
      </c>
      <c r="U28" s="14" t="s">
        <v>1003</v>
      </c>
      <c r="V28" s="15"/>
      <c r="W28" s="16"/>
      <c r="X28" s="16"/>
      <c r="Y28" s="16"/>
      <c r="Z28" s="16"/>
      <c r="AB28" s="12"/>
      <c r="AC28" s="19" t="s">
        <v>1428</v>
      </c>
      <c r="AD28" s="14" t="s">
        <v>1003</v>
      </c>
      <c r="AE28" s="15">
        <v>450500</v>
      </c>
      <c r="AF28" s="16"/>
      <c r="AG28" s="16"/>
      <c r="AH28" s="16"/>
      <c r="AI28" s="16"/>
    </row>
    <row r="29" spans="1:35">
      <c r="A29" s="12"/>
      <c r="B29" s="19" t="s">
        <v>1428</v>
      </c>
      <c r="C29" s="14" t="s">
        <v>1430</v>
      </c>
      <c r="D29" s="15">
        <v>503500</v>
      </c>
      <c r="E29" s="16"/>
      <c r="F29" s="16"/>
      <c r="G29" s="16"/>
      <c r="H29" s="16"/>
      <c r="J29" s="12"/>
      <c r="K29" s="19" t="s">
        <v>1428</v>
      </c>
      <c r="L29" s="14" t="s">
        <v>1430</v>
      </c>
      <c r="M29" s="15">
        <v>503500</v>
      </c>
      <c r="N29" s="16"/>
      <c r="O29" s="16"/>
      <c r="P29" s="16"/>
      <c r="Q29" s="16"/>
      <c r="S29" s="12"/>
      <c r="T29" s="19" t="s">
        <v>1428</v>
      </c>
      <c r="U29" s="14" t="s">
        <v>1430</v>
      </c>
      <c r="V29" s="15"/>
      <c r="W29" s="16"/>
      <c r="X29" s="16"/>
      <c r="Y29" s="16"/>
      <c r="Z29" s="16"/>
      <c r="AB29" s="12"/>
      <c r="AC29" s="19" t="s">
        <v>1428</v>
      </c>
      <c r="AD29" s="14" t="s">
        <v>1430</v>
      </c>
      <c r="AE29" s="15">
        <v>503500</v>
      </c>
      <c r="AF29" s="16"/>
      <c r="AG29" s="16"/>
      <c r="AH29" s="16"/>
      <c r="AI29" s="16"/>
    </row>
    <row r="30" spans="1:35">
      <c r="A30" s="12"/>
      <c r="B30" s="19" t="s">
        <v>1428</v>
      </c>
      <c r="C30" s="14" t="s">
        <v>1431</v>
      </c>
      <c r="D30" s="15">
        <v>600000</v>
      </c>
      <c r="E30" s="16"/>
      <c r="F30" s="16"/>
      <c r="G30" s="16"/>
      <c r="H30" s="16"/>
      <c r="J30" s="12"/>
      <c r="K30" s="19" t="s">
        <v>1428</v>
      </c>
      <c r="L30" s="14" t="s">
        <v>1431</v>
      </c>
      <c r="M30" s="15">
        <v>600000</v>
      </c>
      <c r="N30" s="16"/>
      <c r="O30" s="16"/>
      <c r="P30" s="16"/>
      <c r="Q30" s="16"/>
      <c r="S30" s="12"/>
      <c r="T30" s="19" t="s">
        <v>1428</v>
      </c>
      <c r="U30" s="14" t="s">
        <v>1431</v>
      </c>
      <c r="V30" s="15"/>
      <c r="W30" s="16"/>
      <c r="X30" s="16"/>
      <c r="Y30" s="16"/>
      <c r="Z30" s="16"/>
      <c r="AB30" s="12"/>
      <c r="AC30" s="19" t="s">
        <v>1428</v>
      </c>
      <c r="AD30" s="14" t="s">
        <v>1431</v>
      </c>
      <c r="AE30" s="15">
        <v>600000</v>
      </c>
      <c r="AF30" s="16"/>
      <c r="AG30" s="16"/>
      <c r="AH30" s="16"/>
      <c r="AI30" s="16"/>
    </row>
    <row r="31" spans="1:35">
      <c r="A31" s="12"/>
      <c r="B31" s="19" t="s">
        <v>1432</v>
      </c>
      <c r="C31" s="14" t="s">
        <v>1433</v>
      </c>
      <c r="D31" s="15">
        <v>504000</v>
      </c>
      <c r="E31" s="16"/>
      <c r="F31" s="16"/>
      <c r="G31" s="16"/>
      <c r="H31" s="16"/>
      <c r="J31" s="12"/>
      <c r="K31" s="19" t="s">
        <v>1432</v>
      </c>
      <c r="L31" s="14" t="s">
        <v>1433</v>
      </c>
      <c r="M31" s="15">
        <v>504000</v>
      </c>
      <c r="N31" s="16"/>
      <c r="O31" s="16"/>
      <c r="P31" s="16"/>
      <c r="Q31" s="16"/>
      <c r="S31" s="12"/>
      <c r="T31" s="19" t="s">
        <v>1432</v>
      </c>
      <c r="U31" s="14" t="s">
        <v>1433</v>
      </c>
      <c r="V31" s="15"/>
      <c r="W31" s="16"/>
      <c r="X31" s="16"/>
      <c r="Y31" s="16"/>
      <c r="Z31" s="16"/>
      <c r="AB31" s="12"/>
      <c r="AC31" s="19" t="s">
        <v>1432</v>
      </c>
      <c r="AD31" s="14" t="s">
        <v>1433</v>
      </c>
      <c r="AE31" s="15">
        <v>504000</v>
      </c>
      <c r="AF31" s="16"/>
      <c r="AG31" s="16"/>
      <c r="AH31" s="16"/>
      <c r="AI31" s="16"/>
    </row>
    <row r="32" spans="1:35">
      <c r="A32" s="12"/>
      <c r="B32" s="19" t="s">
        <v>1444</v>
      </c>
      <c r="C32" s="14" t="s">
        <v>1465</v>
      </c>
      <c r="D32" s="15">
        <v>2000000</v>
      </c>
      <c r="E32" s="16"/>
      <c r="F32" s="16"/>
      <c r="G32" s="16"/>
      <c r="H32" s="16"/>
      <c r="J32" s="12"/>
      <c r="K32" s="19" t="s">
        <v>1444</v>
      </c>
      <c r="L32" s="14" t="s">
        <v>1465</v>
      </c>
      <c r="M32" s="15">
        <v>2000000</v>
      </c>
      <c r="N32" s="16"/>
      <c r="O32" s="16"/>
      <c r="P32" s="16"/>
      <c r="Q32" s="16"/>
      <c r="S32" s="12"/>
      <c r="T32" s="19" t="s">
        <v>1444</v>
      </c>
      <c r="U32" s="14" t="s">
        <v>1465</v>
      </c>
      <c r="V32" s="15"/>
      <c r="W32" s="16"/>
      <c r="X32" s="16"/>
      <c r="Y32" s="16"/>
      <c r="Z32" s="16"/>
      <c r="AB32" s="12"/>
      <c r="AC32" s="19" t="s">
        <v>1444</v>
      </c>
      <c r="AD32" s="14" t="s">
        <v>1465</v>
      </c>
      <c r="AE32" s="15">
        <v>2000000</v>
      </c>
      <c r="AF32" s="16"/>
      <c r="AG32" s="16"/>
      <c r="AH32" s="16"/>
      <c r="AI32" s="16"/>
    </row>
    <row r="33" spans="1:35">
      <c r="A33" s="12"/>
      <c r="B33" s="19"/>
      <c r="C33" s="14"/>
      <c r="D33" s="15"/>
      <c r="E33" s="16"/>
      <c r="F33" s="16"/>
      <c r="G33" s="16"/>
      <c r="H33" s="16"/>
      <c r="J33" s="12"/>
      <c r="K33" s="19"/>
      <c r="L33" s="14"/>
      <c r="M33" s="15"/>
      <c r="N33" s="16"/>
      <c r="O33" s="16"/>
      <c r="P33" s="16"/>
      <c r="Q33" s="16"/>
      <c r="S33" s="12"/>
      <c r="T33" s="19"/>
      <c r="U33" s="14"/>
      <c r="V33" s="15"/>
      <c r="W33" s="16"/>
      <c r="X33" s="16"/>
      <c r="Y33" s="16"/>
      <c r="Z33" s="16"/>
      <c r="AB33" s="12"/>
      <c r="AC33" s="19"/>
      <c r="AD33" s="14"/>
      <c r="AE33" s="15"/>
      <c r="AF33" s="16"/>
      <c r="AG33" s="16"/>
      <c r="AH33" s="16"/>
      <c r="AI33" s="16"/>
    </row>
    <row r="34" spans="1:35">
      <c r="A34" s="18"/>
      <c r="B34" s="19"/>
      <c r="C34" s="444" t="s">
        <v>20</v>
      </c>
      <c r="D34" s="10">
        <f>SUM(D16:D33)</f>
        <v>12584500</v>
      </c>
      <c r="E34" s="10"/>
      <c r="F34" s="10"/>
      <c r="G34" s="10"/>
      <c r="H34" s="10"/>
      <c r="J34" s="18"/>
      <c r="K34" s="19"/>
      <c r="L34" s="451" t="s">
        <v>20</v>
      </c>
      <c r="M34" s="10">
        <f>SUM(M16:M33)</f>
        <v>12584500</v>
      </c>
      <c r="N34" s="10"/>
      <c r="O34" s="10"/>
      <c r="P34" s="10"/>
      <c r="Q34" s="10"/>
      <c r="S34" s="18"/>
      <c r="T34" s="19"/>
      <c r="U34" s="451" t="s">
        <v>20</v>
      </c>
      <c r="V34" s="10">
        <f>SUM(V16:V33)</f>
        <v>0</v>
      </c>
      <c r="W34" s="10"/>
      <c r="X34" s="10"/>
      <c r="Y34" s="10"/>
      <c r="Z34" s="10"/>
      <c r="AB34" s="18"/>
      <c r="AC34" s="19"/>
      <c r="AD34" s="451" t="s">
        <v>20</v>
      </c>
      <c r="AE34" s="10">
        <f>SUM(AE16:AE33)</f>
        <v>12584500</v>
      </c>
      <c r="AF34" s="10"/>
      <c r="AG34" s="10"/>
      <c r="AH34" s="10"/>
      <c r="AI34" s="10"/>
    </row>
    <row r="35" spans="1:35">
      <c r="A35" s="20"/>
      <c r="B35" s="445"/>
      <c r="C35" s="152" t="s">
        <v>21</v>
      </c>
      <c r="D35" s="150"/>
      <c r="E35" s="150"/>
      <c r="F35" s="150"/>
      <c r="G35" s="151"/>
      <c r="H35" s="21">
        <f>+D34</f>
        <v>12584500</v>
      </c>
      <c r="J35" s="20"/>
      <c r="K35" s="449"/>
      <c r="L35" s="152" t="s">
        <v>21</v>
      </c>
      <c r="M35" s="150"/>
      <c r="N35" s="150"/>
      <c r="O35" s="150"/>
      <c r="P35" s="151"/>
      <c r="Q35" s="21">
        <f>+M34</f>
        <v>12584500</v>
      </c>
      <c r="S35" s="20"/>
      <c r="T35" s="449"/>
      <c r="U35" s="152" t="s">
        <v>21</v>
      </c>
      <c r="V35" s="150"/>
      <c r="W35" s="150"/>
      <c r="X35" s="150"/>
      <c r="Y35" s="151"/>
      <c r="Z35" s="21">
        <f>+V34</f>
        <v>0</v>
      </c>
      <c r="AB35" s="20"/>
      <c r="AC35" s="449"/>
      <c r="AD35" s="152" t="s">
        <v>21</v>
      </c>
      <c r="AE35" s="150"/>
      <c r="AF35" s="150"/>
      <c r="AG35" s="150"/>
      <c r="AH35" s="151"/>
      <c r="AI35" s="21">
        <f>+AE34</f>
        <v>12584500</v>
      </c>
    </row>
    <row r="36" spans="1:35">
      <c r="A36" s="526" t="s">
        <v>22</v>
      </c>
      <c r="B36" s="526"/>
      <c r="C36" s="526"/>
      <c r="D36" s="526"/>
      <c r="E36" s="526">
        <f>+H35</f>
        <v>12584500</v>
      </c>
      <c r="F36" s="526"/>
      <c r="G36" s="526"/>
      <c r="H36" s="526"/>
      <c r="J36" s="526" t="s">
        <v>22</v>
      </c>
      <c r="K36" s="526"/>
      <c r="L36" s="526"/>
      <c r="M36" s="526"/>
      <c r="N36" s="526">
        <f>+Q35</f>
        <v>12584500</v>
      </c>
      <c r="O36" s="526"/>
      <c r="P36" s="526"/>
      <c r="Q36" s="526"/>
      <c r="S36" s="526" t="s">
        <v>22</v>
      </c>
      <c r="T36" s="526"/>
      <c r="U36" s="526"/>
      <c r="V36" s="526"/>
      <c r="W36" s="526">
        <f>+Z35</f>
        <v>0</v>
      </c>
      <c r="X36" s="526"/>
      <c r="Y36" s="526"/>
      <c r="Z36" s="526"/>
      <c r="AB36" s="526" t="s">
        <v>22</v>
      </c>
      <c r="AC36" s="526"/>
      <c r="AD36" s="526"/>
      <c r="AE36" s="526"/>
      <c r="AF36" s="526">
        <f>+AI35</f>
        <v>12584500</v>
      </c>
      <c r="AG36" s="526"/>
      <c r="AH36" s="526"/>
      <c r="AI36" s="526"/>
    </row>
    <row r="37" spans="1:35">
      <c r="A37" s="524" t="s">
        <v>23</v>
      </c>
      <c r="B37" s="524"/>
      <c r="C37" s="524"/>
      <c r="D37" s="524"/>
      <c r="E37" s="524"/>
      <c r="F37" s="524"/>
      <c r="G37" s="524"/>
      <c r="H37" s="524"/>
      <c r="J37" s="524" t="s">
        <v>23</v>
      </c>
      <c r="K37" s="524"/>
      <c r="L37" s="524"/>
      <c r="M37" s="524"/>
      <c r="N37" s="524"/>
      <c r="O37" s="524"/>
      <c r="P37" s="524"/>
      <c r="Q37" s="524"/>
      <c r="S37" s="524" t="s">
        <v>23</v>
      </c>
      <c r="T37" s="524"/>
      <c r="U37" s="524"/>
      <c r="V37" s="524"/>
      <c r="W37" s="524"/>
      <c r="X37" s="524"/>
      <c r="Y37" s="524"/>
      <c r="Z37" s="524"/>
      <c r="AB37" s="524" t="s">
        <v>23</v>
      </c>
      <c r="AC37" s="524"/>
      <c r="AD37" s="524"/>
      <c r="AE37" s="524"/>
      <c r="AF37" s="524"/>
      <c r="AG37" s="524"/>
      <c r="AH37" s="524"/>
      <c r="AI37" s="524"/>
    </row>
    <row r="38" spans="1:35">
      <c r="A38" s="12"/>
      <c r="B38" s="13" t="s">
        <v>1447</v>
      </c>
      <c r="C38" s="15" t="s">
        <v>1049</v>
      </c>
      <c r="D38" s="23">
        <v>695000</v>
      </c>
      <c r="E38" s="22"/>
      <c r="F38" s="22"/>
      <c r="G38" s="16"/>
      <c r="H38" s="16"/>
      <c r="J38" s="12"/>
      <c r="K38" s="13" t="s">
        <v>1447</v>
      </c>
      <c r="L38" s="15" t="s">
        <v>1049</v>
      </c>
      <c r="M38" s="23">
        <v>695000</v>
      </c>
      <c r="N38" s="22"/>
      <c r="O38" s="22"/>
      <c r="P38" s="16"/>
      <c r="Q38" s="16"/>
      <c r="S38" s="12"/>
      <c r="T38" s="13" t="s">
        <v>1447</v>
      </c>
      <c r="U38" s="15" t="s">
        <v>1469</v>
      </c>
      <c r="V38" s="23">
        <v>695000</v>
      </c>
      <c r="W38" s="22"/>
      <c r="X38" s="22"/>
      <c r="Y38" s="16"/>
      <c r="Z38" s="16"/>
      <c r="AB38" s="12"/>
      <c r="AC38" s="13" t="s">
        <v>1447</v>
      </c>
      <c r="AD38" s="15" t="s">
        <v>1049</v>
      </c>
      <c r="AE38" s="23"/>
      <c r="AF38" s="22"/>
      <c r="AG38" s="22"/>
      <c r="AH38" s="16"/>
      <c r="AI38" s="16"/>
    </row>
    <row r="39" spans="1:35">
      <c r="A39" s="12"/>
      <c r="B39" s="13" t="s">
        <v>1447</v>
      </c>
      <c r="C39" s="15" t="s">
        <v>1448</v>
      </c>
      <c r="D39" s="23">
        <v>225000</v>
      </c>
      <c r="E39" s="22"/>
      <c r="F39" s="22"/>
      <c r="G39" s="16"/>
      <c r="H39" s="16"/>
      <c r="J39" s="12"/>
      <c r="K39" s="13" t="s">
        <v>1447</v>
      </c>
      <c r="L39" s="15" t="s">
        <v>1448</v>
      </c>
      <c r="M39" s="23">
        <v>225000</v>
      </c>
      <c r="N39" s="22"/>
      <c r="O39" s="22"/>
      <c r="P39" s="16"/>
      <c r="Q39" s="16"/>
      <c r="S39" s="12"/>
      <c r="T39" s="13" t="s">
        <v>1447</v>
      </c>
      <c r="U39" s="15" t="s">
        <v>1470</v>
      </c>
      <c r="V39" s="23">
        <v>225000</v>
      </c>
      <c r="W39" s="22"/>
      <c r="X39" s="22"/>
      <c r="Y39" s="16"/>
      <c r="Z39" s="16"/>
      <c r="AB39" s="12"/>
      <c r="AC39" s="13" t="s">
        <v>1447</v>
      </c>
      <c r="AD39" s="15" t="s">
        <v>1448</v>
      </c>
      <c r="AE39" s="23"/>
      <c r="AF39" s="22"/>
      <c r="AG39" s="22"/>
      <c r="AH39" s="16"/>
      <c r="AI39" s="16"/>
    </row>
    <row r="40" spans="1:35">
      <c r="A40" s="12"/>
      <c r="B40" s="13" t="s">
        <v>1447</v>
      </c>
      <c r="C40" s="15" t="s">
        <v>1449</v>
      </c>
      <c r="D40" s="23">
        <v>100000</v>
      </c>
      <c r="E40" s="22"/>
      <c r="F40" s="22"/>
      <c r="G40" s="16"/>
      <c r="H40" s="16"/>
      <c r="J40" s="12"/>
      <c r="K40" s="13" t="s">
        <v>1447</v>
      </c>
      <c r="L40" s="15" t="s">
        <v>1449</v>
      </c>
      <c r="M40" s="23">
        <v>100000</v>
      </c>
      <c r="N40" s="22"/>
      <c r="O40" s="22"/>
      <c r="P40" s="16"/>
      <c r="Q40" s="16"/>
      <c r="S40" s="12"/>
      <c r="T40" s="13" t="s">
        <v>1447</v>
      </c>
      <c r="U40" s="15" t="s">
        <v>1449</v>
      </c>
      <c r="V40" s="23">
        <v>100000</v>
      </c>
      <c r="W40" s="22"/>
      <c r="X40" s="22"/>
      <c r="Y40" s="16"/>
      <c r="Z40" s="16"/>
      <c r="AB40" s="12"/>
      <c r="AC40" s="13" t="s">
        <v>1447</v>
      </c>
      <c r="AD40" s="15" t="s">
        <v>1449</v>
      </c>
      <c r="AE40" s="23"/>
      <c r="AF40" s="22"/>
      <c r="AG40" s="22"/>
      <c r="AH40" s="16"/>
      <c r="AI40" s="16"/>
    </row>
    <row r="41" spans="1:35">
      <c r="A41" s="12"/>
      <c r="B41" s="13" t="s">
        <v>1450</v>
      </c>
      <c r="C41" s="15" t="s">
        <v>1023</v>
      </c>
      <c r="D41" s="23">
        <v>611000</v>
      </c>
      <c r="E41" s="22"/>
      <c r="F41" s="22"/>
      <c r="G41" s="16"/>
      <c r="H41" s="16"/>
      <c r="J41" s="12"/>
      <c r="K41" s="13" t="s">
        <v>1450</v>
      </c>
      <c r="L41" s="15" t="s">
        <v>1023</v>
      </c>
      <c r="M41" s="23">
        <v>611000</v>
      </c>
      <c r="N41" s="22"/>
      <c r="O41" s="22"/>
      <c r="P41" s="16"/>
      <c r="Q41" s="16"/>
      <c r="S41" s="12"/>
      <c r="T41" s="13" t="s">
        <v>1450</v>
      </c>
      <c r="U41" s="15" t="s">
        <v>1023</v>
      </c>
      <c r="V41" s="23">
        <v>611000</v>
      </c>
      <c r="W41" s="22"/>
      <c r="X41" s="22"/>
      <c r="Y41" s="16"/>
      <c r="Z41" s="16"/>
      <c r="AB41" s="12"/>
      <c r="AC41" s="13" t="s">
        <v>1450</v>
      </c>
      <c r="AD41" s="15" t="s">
        <v>1023</v>
      </c>
      <c r="AE41" s="23"/>
      <c r="AF41" s="22"/>
      <c r="AG41" s="22"/>
      <c r="AH41" s="16"/>
      <c r="AI41" s="16"/>
    </row>
    <row r="42" spans="1:35">
      <c r="A42" s="12"/>
      <c r="B42" s="13" t="s">
        <v>1450</v>
      </c>
      <c r="C42" s="15" t="s">
        <v>961</v>
      </c>
      <c r="D42" s="23">
        <v>150000</v>
      </c>
      <c r="E42" s="22"/>
      <c r="F42" s="22"/>
      <c r="G42" s="16"/>
      <c r="H42" s="16"/>
      <c r="J42" s="12"/>
      <c r="K42" s="13" t="s">
        <v>1450</v>
      </c>
      <c r="L42" s="15" t="s">
        <v>961</v>
      </c>
      <c r="M42" s="23">
        <v>150000</v>
      </c>
      <c r="N42" s="22"/>
      <c r="O42" s="22"/>
      <c r="P42" s="16"/>
      <c r="Q42" s="16"/>
      <c r="S42" s="12"/>
      <c r="T42" s="13" t="s">
        <v>1450</v>
      </c>
      <c r="U42" s="15" t="s">
        <v>961</v>
      </c>
      <c r="V42" s="23">
        <v>150000</v>
      </c>
      <c r="W42" s="22"/>
      <c r="X42" s="22"/>
      <c r="Y42" s="16"/>
      <c r="Z42" s="16"/>
      <c r="AB42" s="12"/>
      <c r="AC42" s="13" t="s">
        <v>1450</v>
      </c>
      <c r="AD42" s="15" t="s">
        <v>961</v>
      </c>
      <c r="AE42" s="23"/>
      <c r="AF42" s="22"/>
      <c r="AG42" s="22"/>
      <c r="AH42" s="16"/>
      <c r="AI42" s="16"/>
    </row>
    <row r="43" spans="1:35">
      <c r="A43" s="12"/>
      <c r="B43" s="23" t="s">
        <v>1331</v>
      </c>
      <c r="C43" s="24" t="s">
        <v>1396</v>
      </c>
      <c r="D43" s="23">
        <v>167800</v>
      </c>
      <c r="E43" s="22"/>
      <c r="F43" s="22"/>
      <c r="G43" s="16"/>
      <c r="H43" s="16"/>
      <c r="J43" s="12"/>
      <c r="K43" s="23" t="s">
        <v>1331</v>
      </c>
      <c r="L43" s="24" t="s">
        <v>1396</v>
      </c>
      <c r="M43" s="23">
        <v>167800</v>
      </c>
      <c r="N43" s="22"/>
      <c r="O43" s="22"/>
      <c r="P43" s="16"/>
      <c r="Q43" s="16"/>
      <c r="S43" s="12"/>
      <c r="T43" s="23" t="s">
        <v>1331</v>
      </c>
      <c r="U43" s="24" t="s">
        <v>1396</v>
      </c>
      <c r="V43" s="23">
        <v>167800</v>
      </c>
      <c r="W43" s="22"/>
      <c r="X43" s="22"/>
      <c r="Y43" s="16"/>
      <c r="Z43" s="16"/>
      <c r="AB43" s="12"/>
      <c r="AC43" s="23" t="s">
        <v>1331</v>
      </c>
      <c r="AD43" s="24" t="s">
        <v>1396</v>
      </c>
      <c r="AE43" s="23"/>
      <c r="AF43" s="22"/>
      <c r="AG43" s="22"/>
      <c r="AH43" s="16"/>
      <c r="AI43" s="16"/>
    </row>
    <row r="44" spans="1:35">
      <c r="A44" s="12"/>
      <c r="B44" s="23" t="s">
        <v>1378</v>
      </c>
      <c r="C44" s="24" t="s">
        <v>1395</v>
      </c>
      <c r="D44" s="23">
        <v>635000</v>
      </c>
      <c r="E44" s="22"/>
      <c r="F44" s="22"/>
      <c r="G44" s="16"/>
      <c r="H44" s="16"/>
      <c r="J44" s="12"/>
      <c r="K44" s="23" t="s">
        <v>1378</v>
      </c>
      <c r="L44" s="24" t="s">
        <v>1395</v>
      </c>
      <c r="M44" s="23">
        <v>635000</v>
      </c>
      <c r="N44" s="22"/>
      <c r="O44" s="22"/>
      <c r="P44" s="16"/>
      <c r="Q44" s="16"/>
      <c r="S44" s="12"/>
      <c r="T44" s="23" t="s">
        <v>1378</v>
      </c>
      <c r="U44" s="24" t="s">
        <v>1395</v>
      </c>
      <c r="V44" s="23">
        <v>635000</v>
      </c>
      <c r="W44" s="22"/>
      <c r="X44" s="22"/>
      <c r="Y44" s="16"/>
      <c r="Z44" s="16"/>
      <c r="AB44" s="12"/>
      <c r="AC44" s="23" t="s">
        <v>1378</v>
      </c>
      <c r="AD44" s="24" t="s">
        <v>1395</v>
      </c>
      <c r="AE44" s="23"/>
      <c r="AF44" s="22"/>
      <c r="AG44" s="22"/>
      <c r="AH44" s="16"/>
      <c r="AI44" s="16"/>
    </row>
    <row r="45" spans="1:35">
      <c r="A45" s="12"/>
      <c r="B45" s="13"/>
      <c r="C45" s="15"/>
      <c r="D45" s="23"/>
      <c r="E45" s="22"/>
      <c r="F45" s="22"/>
      <c r="G45" s="16"/>
      <c r="H45" s="16"/>
      <c r="J45" s="12"/>
      <c r="K45" s="13"/>
      <c r="L45" s="15"/>
      <c r="M45" s="23"/>
      <c r="N45" s="22"/>
      <c r="O45" s="22"/>
      <c r="P45" s="16"/>
      <c r="Q45" s="16"/>
      <c r="S45" s="12"/>
      <c r="T45" s="13"/>
      <c r="U45" s="15"/>
      <c r="V45" s="23"/>
      <c r="W45" s="22"/>
      <c r="X45" s="22"/>
      <c r="Y45" s="16"/>
      <c r="Z45" s="16"/>
      <c r="AB45" s="12"/>
      <c r="AC45" s="13"/>
      <c r="AD45" s="15"/>
      <c r="AE45" s="23"/>
      <c r="AF45" s="22"/>
      <c r="AG45" s="22"/>
      <c r="AH45" s="16"/>
      <c r="AI45" s="16"/>
    </row>
    <row r="46" spans="1:35">
      <c r="A46" s="25"/>
      <c r="B46" s="19"/>
      <c r="C46" s="26" t="s">
        <v>24</v>
      </c>
      <c r="D46" s="27">
        <f>SUM(D38:D45)</f>
        <v>2583800</v>
      </c>
      <c r="E46" s="27"/>
      <c r="F46" s="27"/>
      <c r="G46" s="27"/>
      <c r="H46" s="27"/>
      <c r="J46" s="25"/>
      <c r="K46" s="19"/>
      <c r="L46" s="26" t="s">
        <v>24</v>
      </c>
      <c r="M46" s="27">
        <f>SUM(M38:M45)</f>
        <v>2583800</v>
      </c>
      <c r="N46" s="27"/>
      <c r="O46" s="27"/>
      <c r="P46" s="27"/>
      <c r="Q46" s="27"/>
      <c r="S46" s="25"/>
      <c r="T46" s="19"/>
      <c r="U46" s="26" t="s">
        <v>24</v>
      </c>
      <c r="V46" s="27">
        <f>SUM(V38:V45)</f>
        <v>2583800</v>
      </c>
      <c r="W46" s="27"/>
      <c r="X46" s="27"/>
      <c r="Y46" s="27"/>
      <c r="Z46" s="27"/>
      <c r="AB46" s="25"/>
      <c r="AC46" s="19"/>
      <c r="AD46" s="26" t="s">
        <v>24</v>
      </c>
      <c r="AE46" s="27">
        <f>SUM(AE38:AE45)</f>
        <v>0</v>
      </c>
      <c r="AF46" s="27"/>
      <c r="AG46" s="27"/>
      <c r="AH46" s="27"/>
      <c r="AI46" s="27"/>
    </row>
    <row r="47" spans="1:35">
      <c r="A47" s="20"/>
      <c r="B47" s="19"/>
      <c r="C47" s="444" t="s">
        <v>21</v>
      </c>
      <c r="D47" s="10"/>
      <c r="E47" s="530">
        <f>D46</f>
        <v>2583800</v>
      </c>
      <c r="F47" s="530"/>
      <c r="G47" s="530"/>
      <c r="H47" s="530"/>
      <c r="J47" s="20"/>
      <c r="K47" s="19"/>
      <c r="L47" s="451" t="s">
        <v>21</v>
      </c>
      <c r="M47" s="10"/>
      <c r="N47" s="530">
        <f>M46</f>
        <v>2583800</v>
      </c>
      <c r="O47" s="530"/>
      <c r="P47" s="530"/>
      <c r="Q47" s="530"/>
      <c r="S47" s="20"/>
      <c r="T47" s="19"/>
      <c r="U47" s="451" t="s">
        <v>21</v>
      </c>
      <c r="V47" s="10"/>
      <c r="W47" s="530">
        <f>V46</f>
        <v>2583800</v>
      </c>
      <c r="X47" s="530"/>
      <c r="Y47" s="530"/>
      <c r="Z47" s="530"/>
      <c r="AB47" s="20"/>
      <c r="AC47" s="19"/>
      <c r="AD47" s="451" t="s">
        <v>21</v>
      </c>
      <c r="AE47" s="10"/>
      <c r="AF47" s="530">
        <f>AE46</f>
        <v>0</v>
      </c>
      <c r="AG47" s="530"/>
      <c r="AH47" s="530"/>
      <c r="AI47" s="530"/>
    </row>
    <row r="48" spans="1:35">
      <c r="A48" s="524" t="s">
        <v>1280</v>
      </c>
      <c r="B48" s="524"/>
      <c r="C48" s="524"/>
      <c r="D48" s="524"/>
      <c r="E48" s="524"/>
      <c r="F48" s="524"/>
      <c r="G48" s="524"/>
      <c r="H48" s="524"/>
      <c r="J48" s="524" t="s">
        <v>1280</v>
      </c>
      <c r="K48" s="524"/>
      <c r="L48" s="524"/>
      <c r="M48" s="524"/>
      <c r="N48" s="524"/>
      <c r="O48" s="524"/>
      <c r="P48" s="524"/>
      <c r="Q48" s="524"/>
      <c r="S48" s="524" t="s">
        <v>1280</v>
      </c>
      <c r="T48" s="524"/>
      <c r="U48" s="524"/>
      <c r="V48" s="524"/>
      <c r="W48" s="524"/>
      <c r="X48" s="524"/>
      <c r="Y48" s="524"/>
      <c r="Z48" s="524"/>
      <c r="AB48" s="524" t="s">
        <v>1280</v>
      </c>
      <c r="AC48" s="524"/>
      <c r="AD48" s="524"/>
      <c r="AE48" s="524"/>
      <c r="AF48" s="524"/>
      <c r="AG48" s="524"/>
      <c r="AH48" s="524"/>
      <c r="AI48" s="524"/>
    </row>
    <row r="49" spans="1:35">
      <c r="A49" s="12"/>
      <c r="B49" s="23" t="s">
        <v>1393</v>
      </c>
      <c r="C49" s="22" t="s">
        <v>1383</v>
      </c>
      <c r="D49" s="22">
        <v>2249000</v>
      </c>
      <c r="E49" s="444"/>
      <c r="F49" s="444"/>
      <c r="G49" s="444"/>
      <c r="H49" s="444"/>
      <c r="J49" s="12"/>
      <c r="K49" s="23" t="s">
        <v>1393</v>
      </c>
      <c r="L49" s="22" t="s">
        <v>1383</v>
      </c>
      <c r="M49" s="22">
        <v>2249000</v>
      </c>
      <c r="N49" s="451"/>
      <c r="O49" s="451"/>
      <c r="P49" s="451"/>
      <c r="Q49" s="451"/>
      <c r="S49" s="12"/>
      <c r="T49" s="23" t="s">
        <v>1393</v>
      </c>
      <c r="U49" s="22" t="s">
        <v>1383</v>
      </c>
      <c r="V49" s="22"/>
      <c r="W49" s="451"/>
      <c r="X49" s="451"/>
      <c r="Y49" s="451"/>
      <c r="Z49" s="451"/>
      <c r="AB49" s="12"/>
      <c r="AC49" s="23" t="s">
        <v>1393</v>
      </c>
      <c r="AD49" s="22" t="s">
        <v>1383</v>
      </c>
      <c r="AE49" s="22">
        <v>2249000</v>
      </c>
      <c r="AF49" s="451"/>
      <c r="AG49" s="451"/>
      <c r="AH49" s="451"/>
      <c r="AI49" s="451"/>
    </row>
    <row r="50" spans="1:35">
      <c r="A50" s="12"/>
      <c r="B50" s="23" t="s">
        <v>1393</v>
      </c>
      <c r="C50" s="22" t="s">
        <v>1384</v>
      </c>
      <c r="D50" s="22">
        <v>9220000</v>
      </c>
      <c r="E50" s="444"/>
      <c r="F50" s="444"/>
      <c r="G50" s="444"/>
      <c r="H50" s="444"/>
      <c r="J50" s="12"/>
      <c r="K50" s="23" t="s">
        <v>1393</v>
      </c>
      <c r="L50" s="22" t="s">
        <v>1384</v>
      </c>
      <c r="M50" s="22">
        <v>9220000</v>
      </c>
      <c r="N50" s="451"/>
      <c r="O50" s="451"/>
      <c r="P50" s="451"/>
      <c r="Q50" s="451"/>
      <c r="S50" s="12"/>
      <c r="T50" s="23" t="s">
        <v>1393</v>
      </c>
      <c r="U50" s="22" t="s">
        <v>1384</v>
      </c>
      <c r="V50" s="22"/>
      <c r="W50" s="451"/>
      <c r="X50" s="451"/>
      <c r="Y50" s="451"/>
      <c r="Z50" s="451"/>
      <c r="AB50" s="12"/>
      <c r="AC50" s="23" t="s">
        <v>1393</v>
      </c>
      <c r="AD50" s="22" t="s">
        <v>1384</v>
      </c>
      <c r="AE50" s="22">
        <v>9220000</v>
      </c>
      <c r="AF50" s="451"/>
      <c r="AG50" s="451"/>
      <c r="AH50" s="451"/>
      <c r="AI50" s="451"/>
    </row>
    <row r="51" spans="1:35">
      <c r="A51" s="12"/>
      <c r="B51" s="23" t="s">
        <v>1391</v>
      </c>
      <c r="C51" s="22" t="s">
        <v>1434</v>
      </c>
      <c r="D51" s="22">
        <v>300000</v>
      </c>
      <c r="E51" s="444"/>
      <c r="F51" s="444"/>
      <c r="G51" s="444"/>
      <c r="H51" s="444"/>
      <c r="J51" s="12"/>
      <c r="K51" s="23" t="s">
        <v>1391</v>
      </c>
      <c r="L51" s="22" t="s">
        <v>1434</v>
      </c>
      <c r="M51" s="22">
        <v>300000</v>
      </c>
      <c r="N51" s="451"/>
      <c r="O51" s="451"/>
      <c r="P51" s="451"/>
      <c r="Q51" s="451"/>
      <c r="S51" s="12"/>
      <c r="T51" s="23" t="s">
        <v>1391</v>
      </c>
      <c r="U51" s="22" t="s">
        <v>1434</v>
      </c>
      <c r="V51" s="22"/>
      <c r="W51" s="451"/>
      <c r="X51" s="451"/>
      <c r="Y51" s="451"/>
      <c r="Z51" s="451"/>
      <c r="AB51" s="12"/>
      <c r="AC51" s="23" t="s">
        <v>1391</v>
      </c>
      <c r="AD51" s="22" t="s">
        <v>1434</v>
      </c>
      <c r="AE51" s="22">
        <v>300000</v>
      </c>
      <c r="AF51" s="451"/>
      <c r="AG51" s="451"/>
      <c r="AH51" s="451"/>
      <c r="AI51" s="451"/>
    </row>
    <row r="52" spans="1:35">
      <c r="A52" s="12"/>
      <c r="B52" s="23" t="s">
        <v>1391</v>
      </c>
      <c r="C52" s="22" t="s">
        <v>1386</v>
      </c>
      <c r="D52" s="22">
        <v>500000</v>
      </c>
      <c r="E52" s="444"/>
      <c r="F52" s="444"/>
      <c r="G52" s="444"/>
      <c r="H52" s="444"/>
      <c r="J52" s="12"/>
      <c r="K52" s="23" t="s">
        <v>1391</v>
      </c>
      <c r="L52" s="22" t="s">
        <v>1386</v>
      </c>
      <c r="M52" s="22">
        <v>500000</v>
      </c>
      <c r="N52" s="451"/>
      <c r="O52" s="451"/>
      <c r="P52" s="451"/>
      <c r="Q52" s="451"/>
      <c r="S52" s="12"/>
      <c r="T52" s="23" t="s">
        <v>1391</v>
      </c>
      <c r="U52" s="22" t="s">
        <v>1386</v>
      </c>
      <c r="V52" s="22"/>
      <c r="W52" s="451"/>
      <c r="X52" s="451"/>
      <c r="Y52" s="451"/>
      <c r="Z52" s="451"/>
      <c r="AB52" s="12"/>
      <c r="AC52" s="23" t="s">
        <v>1391</v>
      </c>
      <c r="AD52" s="22" t="s">
        <v>1386</v>
      </c>
      <c r="AE52" s="22">
        <v>500000</v>
      </c>
      <c r="AF52" s="451"/>
      <c r="AG52" s="451"/>
      <c r="AH52" s="451"/>
      <c r="AI52" s="451"/>
    </row>
    <row r="53" spans="1:35">
      <c r="A53" s="12"/>
      <c r="B53" s="23" t="s">
        <v>1391</v>
      </c>
      <c r="C53" s="22" t="s">
        <v>1388</v>
      </c>
      <c r="D53" s="22">
        <v>500000</v>
      </c>
      <c r="E53" s="444"/>
      <c r="F53" s="444"/>
      <c r="G53" s="444"/>
      <c r="H53" s="444"/>
      <c r="J53" s="12"/>
      <c r="K53" s="23" t="s">
        <v>1391</v>
      </c>
      <c r="L53" s="22" t="s">
        <v>1388</v>
      </c>
      <c r="M53" s="22"/>
      <c r="N53" s="451"/>
      <c r="O53" s="451"/>
      <c r="P53" s="451"/>
      <c r="Q53" s="451"/>
      <c r="S53" s="12"/>
      <c r="T53" s="23" t="s">
        <v>1391</v>
      </c>
      <c r="U53" s="22" t="s">
        <v>1388</v>
      </c>
      <c r="V53" s="22"/>
      <c r="W53" s="451"/>
      <c r="X53" s="451"/>
      <c r="Y53" s="451"/>
      <c r="Z53" s="451"/>
      <c r="AB53" s="12"/>
      <c r="AC53" s="23" t="s">
        <v>1391</v>
      </c>
      <c r="AD53" s="22" t="s">
        <v>1388</v>
      </c>
      <c r="AE53" s="22"/>
      <c r="AF53" s="451"/>
      <c r="AG53" s="451"/>
      <c r="AH53" s="451"/>
      <c r="AI53" s="451"/>
    </row>
    <row r="54" spans="1:35">
      <c r="A54" s="12"/>
      <c r="B54" s="23" t="s">
        <v>1391</v>
      </c>
      <c r="C54" s="22" t="s">
        <v>1435</v>
      </c>
      <c r="D54" s="22">
        <v>1500000</v>
      </c>
      <c r="E54" s="444"/>
      <c r="F54" s="444"/>
      <c r="G54" s="444"/>
      <c r="H54" s="444"/>
      <c r="J54" s="12"/>
      <c r="K54" s="23" t="s">
        <v>1391</v>
      </c>
      <c r="L54" s="22" t="s">
        <v>1435</v>
      </c>
      <c r="M54" s="22"/>
      <c r="N54" s="451"/>
      <c r="O54" s="451"/>
      <c r="P54" s="451"/>
      <c r="Q54" s="451"/>
      <c r="S54" s="12"/>
      <c r="T54" s="23" t="s">
        <v>1391</v>
      </c>
      <c r="U54" s="22" t="s">
        <v>1435</v>
      </c>
      <c r="V54" s="22"/>
      <c r="W54" s="451"/>
      <c r="X54" s="451"/>
      <c r="Y54" s="451"/>
      <c r="Z54" s="451"/>
      <c r="AB54" s="12"/>
      <c r="AC54" s="23" t="s">
        <v>1391</v>
      </c>
      <c r="AD54" s="22" t="s">
        <v>1435</v>
      </c>
      <c r="AE54" s="22"/>
      <c r="AF54" s="451"/>
      <c r="AG54" s="451"/>
      <c r="AH54" s="451"/>
      <c r="AI54" s="451"/>
    </row>
    <row r="55" spans="1:35">
      <c r="A55" s="12"/>
      <c r="B55" s="23" t="s">
        <v>1391</v>
      </c>
      <c r="C55" s="22" t="s">
        <v>414</v>
      </c>
      <c r="D55" s="22">
        <v>231000</v>
      </c>
      <c r="E55" s="444"/>
      <c r="F55" s="444"/>
      <c r="G55" s="444"/>
      <c r="H55" s="444"/>
      <c r="J55" s="12"/>
      <c r="K55" s="23" t="s">
        <v>1391</v>
      </c>
      <c r="L55" s="22" t="s">
        <v>414</v>
      </c>
      <c r="M55" s="22">
        <v>231000</v>
      </c>
      <c r="N55" s="451"/>
      <c r="O55" s="451"/>
      <c r="P55" s="451"/>
      <c r="Q55" s="451"/>
      <c r="S55" s="12"/>
      <c r="T55" s="23" t="s">
        <v>1391</v>
      </c>
      <c r="U55" s="22" t="s">
        <v>414</v>
      </c>
      <c r="V55" s="22"/>
      <c r="W55" s="451"/>
      <c r="X55" s="451"/>
      <c r="Y55" s="451"/>
      <c r="Z55" s="451"/>
      <c r="AB55" s="12"/>
      <c r="AC55" s="23" t="s">
        <v>1391</v>
      </c>
      <c r="AD55" s="22" t="s">
        <v>414</v>
      </c>
      <c r="AE55" s="22">
        <v>231000</v>
      </c>
      <c r="AF55" s="451"/>
      <c r="AG55" s="451"/>
      <c r="AH55" s="451"/>
      <c r="AI55" s="451"/>
    </row>
    <row r="56" spans="1:35">
      <c r="A56" s="12"/>
      <c r="B56" s="23" t="s">
        <v>1394</v>
      </c>
      <c r="C56" s="23" t="s">
        <v>1409</v>
      </c>
      <c r="D56" s="23">
        <v>1600000</v>
      </c>
      <c r="E56" s="444"/>
      <c r="F56" s="444"/>
      <c r="G56" s="444"/>
      <c r="H56" s="444"/>
      <c r="J56" s="12"/>
      <c r="K56" s="23" t="s">
        <v>1394</v>
      </c>
      <c r="L56" s="23" t="s">
        <v>1409</v>
      </c>
      <c r="M56" s="23">
        <v>1600000</v>
      </c>
      <c r="N56" s="451"/>
      <c r="O56" s="451"/>
      <c r="P56" s="451"/>
      <c r="Q56" s="451"/>
      <c r="S56" s="12"/>
      <c r="T56" s="23" t="s">
        <v>1394</v>
      </c>
      <c r="U56" s="23" t="s">
        <v>1409</v>
      </c>
      <c r="V56" s="23"/>
      <c r="W56" s="451"/>
      <c r="X56" s="451"/>
      <c r="Y56" s="451"/>
      <c r="Z56" s="451"/>
      <c r="AB56" s="12"/>
      <c r="AC56" s="23" t="s">
        <v>1394</v>
      </c>
      <c r="AD56" s="23" t="s">
        <v>1409</v>
      </c>
      <c r="AE56" s="23">
        <v>1600000</v>
      </c>
      <c r="AF56" s="451"/>
      <c r="AG56" s="451"/>
      <c r="AH56" s="451"/>
      <c r="AI56" s="451"/>
    </row>
    <row r="57" spans="1:35">
      <c r="A57" s="12"/>
      <c r="B57" s="23" t="s">
        <v>1437</v>
      </c>
      <c r="C57" s="22" t="s">
        <v>1274</v>
      </c>
      <c r="D57" s="22">
        <v>5615000</v>
      </c>
      <c r="E57" s="444"/>
      <c r="F57" s="444"/>
      <c r="G57" s="444"/>
      <c r="H57" s="444"/>
      <c r="J57" s="12"/>
      <c r="K57" s="23" t="s">
        <v>1437</v>
      </c>
      <c r="L57" s="22" t="s">
        <v>1274</v>
      </c>
      <c r="M57" s="22">
        <v>5615000</v>
      </c>
      <c r="N57" s="451"/>
      <c r="O57" s="451"/>
      <c r="P57" s="451"/>
      <c r="Q57" s="451"/>
      <c r="S57" s="12"/>
      <c r="T57" s="23" t="s">
        <v>1437</v>
      </c>
      <c r="U57" s="22" t="s">
        <v>1274</v>
      </c>
      <c r="V57" s="22"/>
      <c r="W57" s="451"/>
      <c r="X57" s="451"/>
      <c r="Y57" s="451"/>
      <c r="Z57" s="451"/>
      <c r="AB57" s="12"/>
      <c r="AC57" s="23" t="s">
        <v>1437</v>
      </c>
      <c r="AD57" s="22" t="s">
        <v>1274</v>
      </c>
      <c r="AE57" s="22">
        <v>5615000</v>
      </c>
      <c r="AF57" s="451"/>
      <c r="AG57" s="451"/>
      <c r="AH57" s="451"/>
      <c r="AI57" s="451"/>
    </row>
    <row r="58" spans="1:35">
      <c r="A58" s="12"/>
      <c r="B58" s="23" t="s">
        <v>1437</v>
      </c>
      <c r="C58" s="22" t="s">
        <v>1275</v>
      </c>
      <c r="D58" s="22">
        <v>40000000</v>
      </c>
      <c r="E58" s="444"/>
      <c r="F58" s="444"/>
      <c r="G58" s="444"/>
      <c r="H58" s="444"/>
      <c r="J58" s="12"/>
      <c r="K58" s="23" t="s">
        <v>1437</v>
      </c>
      <c r="L58" s="22" t="s">
        <v>1275</v>
      </c>
      <c r="M58" s="22">
        <v>40000000</v>
      </c>
      <c r="N58" s="451"/>
      <c r="O58" s="451"/>
      <c r="P58" s="451"/>
      <c r="Q58" s="451"/>
      <c r="S58" s="12"/>
      <c r="T58" s="23" t="s">
        <v>1437</v>
      </c>
      <c r="U58" s="22" t="s">
        <v>1275</v>
      </c>
      <c r="V58" s="22"/>
      <c r="W58" s="451"/>
      <c r="X58" s="451"/>
      <c r="Y58" s="451"/>
      <c r="Z58" s="451"/>
      <c r="AB58" s="12"/>
      <c r="AC58" s="23" t="s">
        <v>1437</v>
      </c>
      <c r="AD58" s="22" t="s">
        <v>1275</v>
      </c>
      <c r="AE58" s="22">
        <v>40000000</v>
      </c>
      <c r="AF58" s="451"/>
      <c r="AG58" s="451"/>
      <c r="AH58" s="451"/>
      <c r="AI58" s="451"/>
    </row>
    <row r="59" spans="1:35">
      <c r="A59" s="12"/>
      <c r="B59" s="23" t="s">
        <v>1437</v>
      </c>
      <c r="C59" s="22" t="s">
        <v>1120</v>
      </c>
      <c r="D59" s="22">
        <v>1320000</v>
      </c>
      <c r="E59" s="444"/>
      <c r="F59" s="444"/>
      <c r="G59" s="444"/>
      <c r="H59" s="444"/>
      <c r="J59" s="12"/>
      <c r="K59" s="23" t="s">
        <v>1437</v>
      </c>
      <c r="L59" s="22" t="s">
        <v>1120</v>
      </c>
      <c r="M59" s="22">
        <v>1320000</v>
      </c>
      <c r="N59" s="451"/>
      <c r="O59" s="451"/>
      <c r="P59" s="451"/>
      <c r="Q59" s="451"/>
      <c r="S59" s="12"/>
      <c r="T59" s="23" t="s">
        <v>1437</v>
      </c>
      <c r="U59" s="22" t="s">
        <v>1120</v>
      </c>
      <c r="V59" s="22"/>
      <c r="W59" s="451"/>
      <c r="X59" s="451"/>
      <c r="Y59" s="451"/>
      <c r="Z59" s="451"/>
      <c r="AB59" s="12"/>
      <c r="AC59" s="23" t="s">
        <v>1437</v>
      </c>
      <c r="AD59" s="22" t="s">
        <v>1120</v>
      </c>
      <c r="AE59" s="22">
        <v>1320000</v>
      </c>
      <c r="AF59" s="451"/>
      <c r="AG59" s="451"/>
      <c r="AH59" s="451"/>
      <c r="AI59" s="451"/>
    </row>
    <row r="60" spans="1:35">
      <c r="A60" s="12"/>
      <c r="B60" s="23" t="s">
        <v>1437</v>
      </c>
      <c r="C60" s="22" t="s">
        <v>1121</v>
      </c>
      <c r="D60" s="23">
        <v>450000</v>
      </c>
      <c r="E60" s="444"/>
      <c r="F60" s="444"/>
      <c r="G60" s="444"/>
      <c r="H60" s="444"/>
      <c r="J60" s="12"/>
      <c r="K60" s="23" t="s">
        <v>1437</v>
      </c>
      <c r="L60" s="22" t="s">
        <v>1121</v>
      </c>
      <c r="M60" s="23">
        <v>450000</v>
      </c>
      <c r="N60" s="451"/>
      <c r="O60" s="451"/>
      <c r="P60" s="451"/>
      <c r="Q60" s="451"/>
      <c r="S60" s="12"/>
      <c r="T60" s="23" t="s">
        <v>1437</v>
      </c>
      <c r="U60" s="22" t="s">
        <v>1121</v>
      </c>
      <c r="V60" s="23">
        <v>450000</v>
      </c>
      <c r="W60" s="451"/>
      <c r="X60" s="451"/>
      <c r="Y60" s="451"/>
      <c r="Z60" s="451"/>
      <c r="AB60" s="12"/>
      <c r="AC60" s="23" t="s">
        <v>1437</v>
      </c>
      <c r="AD60" s="22" t="s">
        <v>1121</v>
      </c>
      <c r="AE60" s="23"/>
      <c r="AF60" s="451"/>
      <c r="AG60" s="451"/>
      <c r="AH60" s="451"/>
      <c r="AI60" s="451"/>
    </row>
    <row r="61" spans="1:35">
      <c r="A61" s="12"/>
      <c r="B61" s="23" t="s">
        <v>1437</v>
      </c>
      <c r="C61" s="23" t="s">
        <v>1279</v>
      </c>
      <c r="D61" s="23">
        <v>300000</v>
      </c>
      <c r="E61" s="444"/>
      <c r="F61" s="444"/>
      <c r="G61" s="444"/>
      <c r="H61" s="444"/>
      <c r="J61" s="12"/>
      <c r="K61" s="23" t="s">
        <v>1437</v>
      </c>
      <c r="L61" s="23" t="s">
        <v>1279</v>
      </c>
      <c r="M61" s="23"/>
      <c r="N61" s="451"/>
      <c r="O61" s="451"/>
      <c r="P61" s="451"/>
      <c r="Q61" s="451"/>
      <c r="S61" s="12"/>
      <c r="T61" s="23" t="s">
        <v>1437</v>
      </c>
      <c r="U61" s="23" t="s">
        <v>1279</v>
      </c>
      <c r="V61" s="23"/>
      <c r="W61" s="451"/>
      <c r="X61" s="451"/>
      <c r="Y61" s="451"/>
      <c r="Z61" s="451"/>
      <c r="AB61" s="12"/>
      <c r="AC61" s="23" t="s">
        <v>1437</v>
      </c>
      <c r="AD61" s="23" t="s">
        <v>1279</v>
      </c>
      <c r="AE61" s="23"/>
      <c r="AF61" s="451"/>
      <c r="AG61" s="451"/>
      <c r="AH61" s="451"/>
      <c r="AI61" s="451"/>
    </row>
    <row r="62" spans="1:35">
      <c r="A62" s="12"/>
      <c r="B62" s="23" t="s">
        <v>1437</v>
      </c>
      <c r="C62" s="23" t="s">
        <v>1278</v>
      </c>
      <c r="D62" s="23">
        <v>4020000</v>
      </c>
      <c r="E62" s="444"/>
      <c r="F62" s="444"/>
      <c r="G62" s="444"/>
      <c r="H62" s="444"/>
      <c r="J62" s="12"/>
      <c r="K62" s="23" t="s">
        <v>1437</v>
      </c>
      <c r="L62" s="23" t="s">
        <v>1278</v>
      </c>
      <c r="M62" s="23">
        <v>4020000</v>
      </c>
      <c r="N62" s="451"/>
      <c r="O62" s="451"/>
      <c r="P62" s="451"/>
      <c r="Q62" s="451"/>
      <c r="S62" s="12"/>
      <c r="T62" s="23" t="s">
        <v>1437</v>
      </c>
      <c r="U62" s="23" t="s">
        <v>1278</v>
      </c>
      <c r="V62" s="23"/>
      <c r="W62" s="451"/>
      <c r="X62" s="451"/>
      <c r="Y62" s="451"/>
      <c r="Z62" s="451"/>
      <c r="AB62" s="12"/>
      <c r="AC62" s="23" t="s">
        <v>1437</v>
      </c>
      <c r="AD62" s="23" t="s">
        <v>1278</v>
      </c>
      <c r="AE62" s="23">
        <v>4020000</v>
      </c>
      <c r="AF62" s="451"/>
      <c r="AG62" s="451"/>
      <c r="AH62" s="451"/>
      <c r="AI62" s="451"/>
    </row>
    <row r="63" spans="1:35">
      <c r="A63" s="12"/>
      <c r="B63" s="23" t="s">
        <v>1437</v>
      </c>
      <c r="C63" s="22" t="s">
        <v>1436</v>
      </c>
      <c r="D63" s="22">
        <v>363000</v>
      </c>
      <c r="E63" s="444"/>
      <c r="F63" s="444"/>
      <c r="G63" s="444"/>
      <c r="H63" s="444"/>
      <c r="J63" s="12"/>
      <c r="K63" s="23" t="s">
        <v>1437</v>
      </c>
      <c r="L63" s="22" t="s">
        <v>1436</v>
      </c>
      <c r="M63" s="22">
        <v>363000</v>
      </c>
      <c r="N63" s="451"/>
      <c r="O63" s="451"/>
      <c r="P63" s="451"/>
      <c r="Q63" s="451"/>
      <c r="S63" s="12"/>
      <c r="T63" s="23" t="s">
        <v>1437</v>
      </c>
      <c r="U63" s="22" t="s">
        <v>1436</v>
      </c>
      <c r="V63" s="22"/>
      <c r="W63" s="451"/>
      <c r="X63" s="451"/>
      <c r="Y63" s="451"/>
      <c r="Z63" s="451"/>
      <c r="AB63" s="12"/>
      <c r="AC63" s="23" t="s">
        <v>1437</v>
      </c>
      <c r="AD63" s="22" t="s">
        <v>1436</v>
      </c>
      <c r="AE63" s="22">
        <v>363000</v>
      </c>
      <c r="AF63" s="451"/>
      <c r="AG63" s="451"/>
      <c r="AH63" s="451"/>
      <c r="AI63" s="451"/>
    </row>
    <row r="64" spans="1:35">
      <c r="A64" s="12"/>
      <c r="B64" s="23" t="s">
        <v>1438</v>
      </c>
      <c r="C64" s="22" t="s">
        <v>1276</v>
      </c>
      <c r="D64" s="22">
        <v>25000000</v>
      </c>
      <c r="E64" s="444"/>
      <c r="F64" s="444"/>
      <c r="G64" s="444"/>
      <c r="H64" s="444"/>
      <c r="J64" s="12"/>
      <c r="K64" s="23" t="s">
        <v>1438</v>
      </c>
      <c r="L64" s="22" t="s">
        <v>1276</v>
      </c>
      <c r="M64" s="22">
        <v>10000000</v>
      </c>
      <c r="N64" s="451"/>
      <c r="O64" s="451"/>
      <c r="P64" s="451"/>
      <c r="Q64" s="451"/>
      <c r="S64" s="12"/>
      <c r="T64" s="23" t="s">
        <v>1438</v>
      </c>
      <c r="U64" s="22" t="s">
        <v>1276</v>
      </c>
      <c r="V64" s="22"/>
      <c r="W64" s="451"/>
      <c r="X64" s="451"/>
      <c r="Y64" s="451"/>
      <c r="Z64" s="451"/>
      <c r="AB64" s="12"/>
      <c r="AC64" s="23" t="s">
        <v>1438</v>
      </c>
      <c r="AD64" s="22" t="s">
        <v>1276</v>
      </c>
      <c r="AE64" s="22">
        <v>10000000</v>
      </c>
      <c r="AF64" s="451"/>
      <c r="AG64" s="451"/>
      <c r="AH64" s="451"/>
      <c r="AI64" s="451"/>
    </row>
    <row r="65" spans="1:35">
      <c r="A65" s="12"/>
      <c r="B65" s="23" t="s">
        <v>1438</v>
      </c>
      <c r="C65" s="23" t="s">
        <v>1282</v>
      </c>
      <c r="D65" s="23">
        <v>10000000</v>
      </c>
      <c r="E65" s="444"/>
      <c r="F65" s="444"/>
      <c r="G65" s="444"/>
      <c r="H65" s="444"/>
      <c r="J65" s="12"/>
      <c r="K65" s="23" t="s">
        <v>1438</v>
      </c>
      <c r="L65" s="23" t="s">
        <v>1282</v>
      </c>
      <c r="M65" s="23">
        <v>10000000</v>
      </c>
      <c r="N65" s="451"/>
      <c r="O65" s="451"/>
      <c r="P65" s="451"/>
      <c r="Q65" s="451"/>
      <c r="S65" s="12"/>
      <c r="T65" s="23" t="s">
        <v>1438</v>
      </c>
      <c r="U65" s="23" t="s">
        <v>1282</v>
      </c>
      <c r="V65" s="23"/>
      <c r="W65" s="451"/>
      <c r="X65" s="451"/>
      <c r="Y65" s="451"/>
      <c r="Z65" s="451"/>
      <c r="AB65" s="12"/>
      <c r="AC65" s="23" t="s">
        <v>1438</v>
      </c>
      <c r="AD65" s="23" t="s">
        <v>1282</v>
      </c>
      <c r="AE65" s="23">
        <v>10000000</v>
      </c>
      <c r="AF65" s="451"/>
      <c r="AG65" s="451"/>
      <c r="AH65" s="451"/>
      <c r="AI65" s="451"/>
    </row>
    <row r="66" spans="1:35">
      <c r="A66" s="12"/>
      <c r="B66" s="23" t="s">
        <v>1438</v>
      </c>
      <c r="C66" s="23" t="s">
        <v>1283</v>
      </c>
      <c r="D66" s="23">
        <v>5800000</v>
      </c>
      <c r="E66" s="444"/>
      <c r="F66" s="444"/>
      <c r="G66" s="444"/>
      <c r="H66" s="444"/>
      <c r="J66" s="12"/>
      <c r="K66" s="23" t="s">
        <v>1438</v>
      </c>
      <c r="L66" s="23" t="s">
        <v>1283</v>
      </c>
      <c r="M66" s="23"/>
      <c r="N66" s="451"/>
      <c r="O66" s="451"/>
      <c r="P66" s="451"/>
      <c r="Q66" s="451"/>
      <c r="S66" s="12"/>
      <c r="T66" s="23" t="s">
        <v>1438</v>
      </c>
      <c r="U66" s="23" t="s">
        <v>1283</v>
      </c>
      <c r="V66" s="23"/>
      <c r="W66" s="451"/>
      <c r="X66" s="451"/>
      <c r="Y66" s="451"/>
      <c r="Z66" s="451"/>
      <c r="AB66" s="12"/>
      <c r="AC66" s="23" t="s">
        <v>1438</v>
      </c>
      <c r="AD66" s="23" t="s">
        <v>1283</v>
      </c>
      <c r="AE66" s="23"/>
      <c r="AF66" s="451"/>
      <c r="AG66" s="451"/>
      <c r="AH66" s="451"/>
      <c r="AI66" s="451"/>
    </row>
    <row r="67" spans="1:35">
      <c r="A67" s="12"/>
      <c r="B67" s="23" t="s">
        <v>1438</v>
      </c>
      <c r="C67" s="23" t="s">
        <v>1284</v>
      </c>
      <c r="D67" s="23">
        <v>20000000</v>
      </c>
      <c r="E67" s="444"/>
      <c r="F67" s="444"/>
      <c r="G67" s="444"/>
      <c r="H67" s="444"/>
      <c r="J67" s="12"/>
      <c r="K67" s="23" t="s">
        <v>1438</v>
      </c>
      <c r="L67" s="23" t="s">
        <v>1284</v>
      </c>
      <c r="M67" s="23">
        <v>20000000</v>
      </c>
      <c r="N67" s="451"/>
      <c r="O67" s="451"/>
      <c r="P67" s="451"/>
      <c r="Q67" s="451"/>
      <c r="S67" s="12"/>
      <c r="T67" s="23" t="s">
        <v>1438</v>
      </c>
      <c r="U67" s="23" t="s">
        <v>1284</v>
      </c>
      <c r="V67" s="23"/>
      <c r="W67" s="451"/>
      <c r="X67" s="451"/>
      <c r="Y67" s="451"/>
      <c r="Z67" s="451"/>
      <c r="AB67" s="12"/>
      <c r="AC67" s="23" t="s">
        <v>1438</v>
      </c>
      <c r="AD67" s="23" t="s">
        <v>1284</v>
      </c>
      <c r="AE67" s="23">
        <v>20000000</v>
      </c>
      <c r="AF67" s="451"/>
      <c r="AG67" s="451"/>
      <c r="AH67" s="451"/>
      <c r="AI67" s="451"/>
    </row>
    <row r="68" spans="1:35">
      <c r="A68" s="12"/>
      <c r="B68" s="23" t="s">
        <v>1438</v>
      </c>
      <c r="C68" s="23" t="s">
        <v>1405</v>
      </c>
      <c r="D68" s="22">
        <v>5000000</v>
      </c>
      <c r="E68" s="444"/>
      <c r="F68" s="444"/>
      <c r="G68" s="444"/>
      <c r="H68" s="444"/>
      <c r="J68" s="12"/>
      <c r="K68" s="23" t="s">
        <v>1438</v>
      </c>
      <c r="L68" s="23" t="s">
        <v>1405</v>
      </c>
      <c r="M68" s="22">
        <v>10000000</v>
      </c>
      <c r="N68" s="451"/>
      <c r="O68" s="451"/>
      <c r="P68" s="451"/>
      <c r="Q68" s="451"/>
      <c r="S68" s="12"/>
      <c r="T68" s="23" t="s">
        <v>1438</v>
      </c>
      <c r="U68" s="23" t="s">
        <v>1405</v>
      </c>
      <c r="V68" s="22"/>
      <c r="W68" s="451"/>
      <c r="X68" s="451"/>
      <c r="Y68" s="451"/>
      <c r="Z68" s="451"/>
      <c r="AB68" s="12"/>
      <c r="AC68" s="23" t="s">
        <v>1438</v>
      </c>
      <c r="AD68" s="23" t="s">
        <v>1405</v>
      </c>
      <c r="AE68" s="22">
        <v>10000000</v>
      </c>
      <c r="AF68" s="451"/>
      <c r="AG68" s="451"/>
      <c r="AH68" s="451"/>
      <c r="AI68" s="451"/>
    </row>
    <row r="69" spans="1:35">
      <c r="A69" s="12"/>
      <c r="B69" s="23" t="s">
        <v>1399</v>
      </c>
      <c r="C69" s="24" t="s">
        <v>1397</v>
      </c>
      <c r="D69" s="23">
        <v>125000</v>
      </c>
      <c r="E69" s="22"/>
      <c r="F69" s="22"/>
      <c r="G69" s="16"/>
      <c r="H69" s="16"/>
      <c r="J69" s="12"/>
      <c r="K69" s="23" t="s">
        <v>1399</v>
      </c>
      <c r="L69" s="24" t="s">
        <v>1397</v>
      </c>
      <c r="M69" s="23">
        <v>125000</v>
      </c>
      <c r="N69" s="22"/>
      <c r="O69" s="22"/>
      <c r="P69" s="16"/>
      <c r="Q69" s="16"/>
      <c r="S69" s="12"/>
      <c r="T69" s="23" t="s">
        <v>1399</v>
      </c>
      <c r="U69" s="24" t="s">
        <v>1397</v>
      </c>
      <c r="V69" s="23"/>
      <c r="W69" s="22"/>
      <c r="X69" s="22"/>
      <c r="Y69" s="16"/>
      <c r="Z69" s="16"/>
      <c r="AB69" s="12"/>
      <c r="AC69" s="23" t="s">
        <v>1399</v>
      </c>
      <c r="AD69" s="24" t="s">
        <v>1397</v>
      </c>
      <c r="AE69" s="23">
        <v>125000</v>
      </c>
      <c r="AF69" s="22"/>
      <c r="AG69" s="22"/>
      <c r="AH69" s="16"/>
      <c r="AI69" s="16"/>
    </row>
    <row r="70" spans="1:35">
      <c r="A70" s="12"/>
      <c r="B70" s="23" t="s">
        <v>1399</v>
      </c>
      <c r="C70" s="24" t="s">
        <v>1398</v>
      </c>
      <c r="D70" s="23">
        <v>3393000</v>
      </c>
      <c r="E70" s="22"/>
      <c r="F70" s="22"/>
      <c r="G70" s="16"/>
      <c r="H70" s="16"/>
      <c r="J70" s="12"/>
      <c r="K70" s="23" t="s">
        <v>1399</v>
      </c>
      <c r="L70" s="24" t="s">
        <v>1398</v>
      </c>
      <c r="M70" s="23">
        <v>3393000</v>
      </c>
      <c r="N70" s="22"/>
      <c r="O70" s="22"/>
      <c r="P70" s="16"/>
      <c r="Q70" s="16"/>
      <c r="S70" s="12"/>
      <c r="T70" s="23" t="s">
        <v>1399</v>
      </c>
      <c r="U70" s="24" t="s">
        <v>1398</v>
      </c>
      <c r="V70" s="23"/>
      <c r="W70" s="22"/>
      <c r="X70" s="22"/>
      <c r="Y70" s="16"/>
      <c r="Z70" s="16"/>
      <c r="AB70" s="12"/>
      <c r="AC70" s="23" t="s">
        <v>1399</v>
      </c>
      <c r="AD70" s="24" t="s">
        <v>1398</v>
      </c>
      <c r="AE70" s="23">
        <v>3393000</v>
      </c>
      <c r="AF70" s="22"/>
      <c r="AG70" s="22"/>
      <c r="AH70" s="16"/>
      <c r="AI70" s="16"/>
    </row>
    <row r="71" spans="1:35">
      <c r="A71" s="12"/>
      <c r="B71" s="23" t="s">
        <v>1439</v>
      </c>
      <c r="C71" s="24" t="s">
        <v>1440</v>
      </c>
      <c r="D71" s="23">
        <v>292500</v>
      </c>
      <c r="E71" s="22"/>
      <c r="F71" s="22"/>
      <c r="G71" s="16"/>
      <c r="H71" s="16"/>
      <c r="J71" s="12"/>
      <c r="K71" s="23" t="s">
        <v>1439</v>
      </c>
      <c r="L71" s="24" t="s">
        <v>1440</v>
      </c>
      <c r="M71" s="23">
        <v>292500</v>
      </c>
      <c r="N71" s="22"/>
      <c r="O71" s="22"/>
      <c r="P71" s="16"/>
      <c r="Q71" s="16"/>
      <c r="S71" s="12"/>
      <c r="T71" s="23" t="s">
        <v>1439</v>
      </c>
      <c r="U71" s="24" t="s">
        <v>1440</v>
      </c>
      <c r="V71" s="23"/>
      <c r="W71" s="22"/>
      <c r="X71" s="22"/>
      <c r="Y71" s="16"/>
      <c r="Z71" s="16"/>
      <c r="AB71" s="12"/>
      <c r="AC71" s="23" t="s">
        <v>1439</v>
      </c>
      <c r="AD71" s="24" t="s">
        <v>1440</v>
      </c>
      <c r="AE71" s="23">
        <v>292500</v>
      </c>
      <c r="AF71" s="22"/>
      <c r="AG71" s="22"/>
      <c r="AH71" s="16"/>
      <c r="AI71" s="16"/>
    </row>
    <row r="72" spans="1:35">
      <c r="A72" s="12"/>
      <c r="B72" s="23" t="s">
        <v>1441</v>
      </c>
      <c r="C72" s="24" t="s">
        <v>1296</v>
      </c>
      <c r="D72" s="23">
        <v>5000</v>
      </c>
      <c r="E72" s="22"/>
      <c r="F72" s="22"/>
      <c r="G72" s="16"/>
      <c r="H72" s="16"/>
      <c r="J72" s="12"/>
      <c r="K72" s="23" t="s">
        <v>1441</v>
      </c>
      <c r="L72" s="24" t="s">
        <v>1296</v>
      </c>
      <c r="M72" s="23">
        <v>5000</v>
      </c>
      <c r="N72" s="22"/>
      <c r="O72" s="22"/>
      <c r="P72" s="16"/>
      <c r="Q72" s="16"/>
      <c r="S72" s="12"/>
      <c r="T72" s="23" t="s">
        <v>1441</v>
      </c>
      <c r="U72" s="24" t="s">
        <v>1296</v>
      </c>
      <c r="V72" s="23"/>
      <c r="W72" s="22"/>
      <c r="X72" s="22"/>
      <c r="Y72" s="16"/>
      <c r="Z72" s="16"/>
      <c r="AB72" s="12"/>
      <c r="AC72" s="23" t="s">
        <v>1441</v>
      </c>
      <c r="AD72" s="24" t="s">
        <v>1296</v>
      </c>
      <c r="AE72" s="23">
        <v>5000</v>
      </c>
      <c r="AF72" s="22"/>
      <c r="AG72" s="22"/>
      <c r="AH72" s="16"/>
      <c r="AI72" s="16"/>
    </row>
    <row r="73" spans="1:35">
      <c r="A73" s="12"/>
      <c r="B73" s="13" t="s">
        <v>1456</v>
      </c>
      <c r="C73" s="22" t="s">
        <v>1451</v>
      </c>
      <c r="D73" s="22">
        <v>572900</v>
      </c>
      <c r="E73" s="444"/>
      <c r="F73" s="444"/>
      <c r="G73" s="444"/>
      <c r="H73" s="444"/>
      <c r="J73" s="12"/>
      <c r="K73" s="13" t="s">
        <v>1456</v>
      </c>
      <c r="L73" s="22" t="s">
        <v>1451</v>
      </c>
      <c r="M73" s="22">
        <v>572900</v>
      </c>
      <c r="N73" s="451"/>
      <c r="O73" s="451"/>
      <c r="P73" s="451"/>
      <c r="Q73" s="451"/>
      <c r="S73" s="12"/>
      <c r="T73" s="13" t="s">
        <v>1456</v>
      </c>
      <c r="U73" s="22" t="s">
        <v>1451</v>
      </c>
      <c r="V73" s="22"/>
      <c r="W73" s="451"/>
      <c r="X73" s="451"/>
      <c r="Y73" s="451"/>
      <c r="Z73" s="451"/>
      <c r="AB73" s="12"/>
      <c r="AC73" s="13" t="s">
        <v>1456</v>
      </c>
      <c r="AD73" s="22" t="s">
        <v>1451</v>
      </c>
      <c r="AE73" s="22">
        <v>572900</v>
      </c>
      <c r="AF73" s="451"/>
      <c r="AG73" s="451"/>
      <c r="AH73" s="451"/>
      <c r="AI73" s="451"/>
    </row>
    <row r="74" spans="1:35">
      <c r="A74" s="12"/>
      <c r="B74" s="13" t="s">
        <v>1455</v>
      </c>
      <c r="C74" s="22" t="s">
        <v>1452</v>
      </c>
      <c r="D74" s="22">
        <v>957540</v>
      </c>
      <c r="E74" s="444"/>
      <c r="F74" s="444"/>
      <c r="G74" s="444"/>
      <c r="H74" s="444"/>
      <c r="J74" s="12"/>
      <c r="K74" s="13" t="s">
        <v>1455</v>
      </c>
      <c r="L74" s="22" t="s">
        <v>1452</v>
      </c>
      <c r="M74" s="22">
        <v>957540</v>
      </c>
      <c r="N74" s="451"/>
      <c r="O74" s="451"/>
      <c r="P74" s="451"/>
      <c r="Q74" s="451"/>
      <c r="S74" s="12"/>
      <c r="T74" s="13" t="s">
        <v>1455</v>
      </c>
      <c r="U74" s="22" t="s">
        <v>1452</v>
      </c>
      <c r="V74" s="22"/>
      <c r="W74" s="451"/>
      <c r="X74" s="451"/>
      <c r="Y74" s="451"/>
      <c r="Z74" s="451"/>
      <c r="AB74" s="12"/>
      <c r="AC74" s="13" t="s">
        <v>1455</v>
      </c>
      <c r="AD74" s="22" t="s">
        <v>1452</v>
      </c>
      <c r="AE74" s="22">
        <v>957540</v>
      </c>
      <c r="AF74" s="451"/>
      <c r="AG74" s="451"/>
      <c r="AH74" s="451"/>
      <c r="AI74" s="451"/>
    </row>
    <row r="75" spans="1:35">
      <c r="A75" s="12"/>
      <c r="B75" s="13" t="s">
        <v>1454</v>
      </c>
      <c r="C75" s="22" t="s">
        <v>1453</v>
      </c>
      <c r="D75" s="22">
        <f>6725000-1715000</f>
        <v>5010000</v>
      </c>
      <c r="E75" s="444"/>
      <c r="F75" s="444"/>
      <c r="G75" s="444"/>
      <c r="H75" s="444"/>
      <c r="I75" s="72"/>
      <c r="J75" s="12"/>
      <c r="K75" s="13" t="s">
        <v>1454</v>
      </c>
      <c r="L75" s="22" t="s">
        <v>1453</v>
      </c>
      <c r="M75" s="22">
        <f>6725000-1715000</f>
        <v>5010000</v>
      </c>
      <c r="N75" s="451"/>
      <c r="O75" s="451"/>
      <c r="P75" s="451"/>
      <c r="Q75" s="451"/>
      <c r="S75" s="12"/>
      <c r="T75" s="13" t="s">
        <v>1454</v>
      </c>
      <c r="U75" s="22" t="s">
        <v>1453</v>
      </c>
      <c r="V75" s="22"/>
      <c r="W75" s="451"/>
      <c r="X75" s="451"/>
      <c r="Y75" s="451"/>
      <c r="Z75" s="451"/>
      <c r="AB75" s="12"/>
      <c r="AC75" s="13" t="s">
        <v>1454</v>
      </c>
      <c r="AD75" s="22" t="s">
        <v>1453</v>
      </c>
      <c r="AE75" s="22">
        <f>6725000-1715000</f>
        <v>5010000</v>
      </c>
      <c r="AF75" s="451"/>
      <c r="AG75" s="451"/>
      <c r="AH75" s="451"/>
      <c r="AI75" s="451"/>
    </row>
    <row r="76" spans="1:35" s="452" customFormat="1">
      <c r="A76" s="33"/>
      <c r="B76" s="13" t="s">
        <v>1454</v>
      </c>
      <c r="C76" s="156" t="s">
        <v>1457</v>
      </c>
      <c r="D76" s="156">
        <v>1715000</v>
      </c>
      <c r="E76" s="26"/>
      <c r="F76" s="26">
        <f>+D76+D78</f>
        <v>7269517</v>
      </c>
      <c r="G76" s="26"/>
      <c r="H76" s="26"/>
      <c r="J76" s="33"/>
      <c r="K76" s="13" t="s">
        <v>1454</v>
      </c>
      <c r="L76" s="22" t="s">
        <v>1457</v>
      </c>
      <c r="M76" s="22">
        <v>1715000</v>
      </c>
      <c r="N76" s="26"/>
      <c r="O76" s="26"/>
      <c r="P76" s="26"/>
      <c r="Q76" s="26"/>
      <c r="S76" s="33"/>
      <c r="T76" s="13" t="s">
        <v>1454</v>
      </c>
      <c r="U76" s="22" t="s">
        <v>1457</v>
      </c>
      <c r="V76" s="22"/>
      <c r="W76" s="26"/>
      <c r="X76" s="26"/>
      <c r="Y76" s="26"/>
      <c r="Z76" s="26"/>
      <c r="AB76" s="33"/>
      <c r="AC76" s="13" t="s">
        <v>1454</v>
      </c>
      <c r="AD76" s="22" t="s">
        <v>1457</v>
      </c>
      <c r="AE76" s="22">
        <v>1715000</v>
      </c>
      <c r="AF76" s="26"/>
      <c r="AG76" s="26"/>
      <c r="AH76" s="26"/>
      <c r="AI76" s="26"/>
    </row>
    <row r="77" spans="1:35">
      <c r="A77" s="12"/>
      <c r="B77" s="13" t="s">
        <v>1393</v>
      </c>
      <c r="C77" s="22" t="s">
        <v>1458</v>
      </c>
      <c r="D77" s="22">
        <v>11474000</v>
      </c>
      <c r="E77" s="444"/>
      <c r="F77" s="444"/>
      <c r="G77" s="444"/>
      <c r="H77" s="444"/>
      <c r="I77" s="72"/>
      <c r="J77" s="12"/>
      <c r="K77" s="13" t="s">
        <v>1393</v>
      </c>
      <c r="L77" s="22" t="s">
        <v>1458</v>
      </c>
      <c r="M77" s="22">
        <v>11474000</v>
      </c>
      <c r="N77" s="451"/>
      <c r="O77" s="451"/>
      <c r="P77" s="451"/>
      <c r="Q77" s="451"/>
      <c r="S77" s="12"/>
      <c r="T77" s="13" t="s">
        <v>1393</v>
      </c>
      <c r="U77" s="22" t="s">
        <v>1458</v>
      </c>
      <c r="V77" s="22"/>
      <c r="W77" s="451"/>
      <c r="X77" s="451"/>
      <c r="Y77" s="451"/>
      <c r="Z77" s="451"/>
      <c r="AB77" s="12"/>
      <c r="AC77" s="13" t="s">
        <v>1393</v>
      </c>
      <c r="AD77" s="22" t="s">
        <v>1458</v>
      </c>
      <c r="AE77" s="22">
        <v>11474000</v>
      </c>
      <c r="AF77" s="451"/>
      <c r="AG77" s="451"/>
      <c r="AH77" s="451"/>
      <c r="AI77" s="451"/>
    </row>
    <row r="78" spans="1:35" s="452" customFormat="1">
      <c r="A78" s="33"/>
      <c r="B78" s="13"/>
      <c r="C78" s="156" t="s">
        <v>1463</v>
      </c>
      <c r="D78" s="462">
        <f>7269517-D76</f>
        <v>5554517</v>
      </c>
      <c r="E78" s="26"/>
      <c r="F78" s="26"/>
      <c r="G78" s="26"/>
      <c r="H78" s="26"/>
      <c r="J78" s="33"/>
      <c r="K78" s="13"/>
      <c r="L78" s="22" t="s">
        <v>1463</v>
      </c>
      <c r="M78" s="453">
        <f>7269517-M76</f>
        <v>5554517</v>
      </c>
      <c r="N78" s="26"/>
      <c r="O78" s="26"/>
      <c r="P78" s="26"/>
      <c r="Q78" s="26"/>
      <c r="S78" s="33"/>
      <c r="T78" s="13"/>
      <c r="U78" s="22" t="s">
        <v>1463</v>
      </c>
      <c r="V78" s="453"/>
      <c r="W78" s="26"/>
      <c r="X78" s="26"/>
      <c r="Y78" s="26"/>
      <c r="Z78" s="26"/>
      <c r="AB78" s="33"/>
      <c r="AC78" s="13"/>
      <c r="AD78" s="22" t="s">
        <v>1463</v>
      </c>
      <c r="AE78" s="453">
        <f>7269517-AE76</f>
        <v>5554517</v>
      </c>
      <c r="AF78" s="26"/>
      <c r="AG78" s="26"/>
      <c r="AH78" s="26"/>
      <c r="AI78" s="26"/>
    </row>
    <row r="79" spans="1:35">
      <c r="A79" s="12"/>
      <c r="B79" s="13"/>
      <c r="C79" s="22" t="s">
        <v>1461</v>
      </c>
      <c r="D79" s="22"/>
      <c r="E79" s="444"/>
      <c r="F79" s="444"/>
      <c r="G79" s="444"/>
      <c r="H79" s="444"/>
      <c r="J79" s="12"/>
      <c r="K79" s="13"/>
      <c r="L79" s="22" t="s">
        <v>1461</v>
      </c>
      <c r="M79" s="22"/>
      <c r="N79" s="451"/>
      <c r="O79" s="451"/>
      <c r="P79" s="451"/>
      <c r="Q79" s="451"/>
      <c r="S79" s="12"/>
      <c r="T79" s="13"/>
      <c r="U79" s="22" t="s">
        <v>1461</v>
      </c>
      <c r="V79" s="22"/>
      <c r="W79" s="451"/>
      <c r="X79" s="451"/>
      <c r="Y79" s="451"/>
      <c r="Z79" s="451"/>
      <c r="AB79" s="12"/>
      <c r="AC79" s="13"/>
      <c r="AD79" s="22" t="s">
        <v>1461</v>
      </c>
      <c r="AE79" s="22"/>
      <c r="AF79" s="451"/>
      <c r="AG79" s="451"/>
      <c r="AH79" s="451"/>
      <c r="AI79" s="451"/>
    </row>
    <row r="80" spans="1:35">
      <c r="A80" s="12"/>
      <c r="B80" s="13"/>
      <c r="C80" s="26" t="s">
        <v>55</v>
      </c>
      <c r="D80" s="27">
        <f>SUM(D49:D79)</f>
        <v>163067457</v>
      </c>
      <c r="E80" s="27">
        <v>0</v>
      </c>
      <c r="F80" s="27">
        <v>0</v>
      </c>
      <c r="G80" s="27"/>
      <c r="H80" s="27"/>
      <c r="J80" s="12"/>
      <c r="K80" s="13"/>
      <c r="L80" s="26" t="s">
        <v>55</v>
      </c>
      <c r="M80" s="27">
        <f>SUM(M49:M79)</f>
        <v>144967457</v>
      </c>
      <c r="N80" s="27">
        <v>0</v>
      </c>
      <c r="O80" s="27">
        <v>0</v>
      </c>
      <c r="P80" s="27"/>
      <c r="Q80" s="27"/>
      <c r="S80" s="12"/>
      <c r="T80" s="13"/>
      <c r="U80" s="26" t="s">
        <v>55</v>
      </c>
      <c r="V80" s="27">
        <f>SUM(V49:V79)</f>
        <v>450000</v>
      </c>
      <c r="W80" s="27">
        <v>0</v>
      </c>
      <c r="X80" s="27">
        <v>0</v>
      </c>
      <c r="Y80" s="27"/>
      <c r="Z80" s="27"/>
      <c r="AB80" s="12"/>
      <c r="AC80" s="13"/>
      <c r="AD80" s="26" t="s">
        <v>55</v>
      </c>
      <c r="AE80" s="27">
        <f>SUM(AE49:AE79)</f>
        <v>144517457</v>
      </c>
      <c r="AF80" s="27">
        <v>0</v>
      </c>
      <c r="AG80" s="27">
        <v>0</v>
      </c>
      <c r="AH80" s="27"/>
      <c r="AI80" s="27"/>
    </row>
    <row r="81" spans="1:35">
      <c r="A81" s="20"/>
      <c r="B81" s="19"/>
      <c r="C81" s="444" t="s">
        <v>21</v>
      </c>
      <c r="D81" s="10"/>
      <c r="E81" s="530">
        <f>D80</f>
        <v>163067457</v>
      </c>
      <c r="F81" s="530"/>
      <c r="G81" s="530"/>
      <c r="H81" s="530"/>
      <c r="J81" s="20"/>
      <c r="K81" s="19"/>
      <c r="L81" s="451" t="s">
        <v>21</v>
      </c>
      <c r="M81" s="10"/>
      <c r="N81" s="530">
        <f>M80</f>
        <v>144967457</v>
      </c>
      <c r="O81" s="530"/>
      <c r="P81" s="530"/>
      <c r="Q81" s="530"/>
      <c r="S81" s="20"/>
      <c r="T81" s="19"/>
      <c r="U81" s="451" t="s">
        <v>21</v>
      </c>
      <c r="V81" s="10"/>
      <c r="W81" s="530">
        <f>V80</f>
        <v>450000</v>
      </c>
      <c r="X81" s="530"/>
      <c r="Y81" s="530"/>
      <c r="Z81" s="530"/>
      <c r="AB81" s="20"/>
      <c r="AC81" s="19"/>
      <c r="AD81" s="451" t="s">
        <v>21</v>
      </c>
      <c r="AE81" s="10"/>
      <c r="AF81" s="530">
        <f>AE80</f>
        <v>144517457</v>
      </c>
      <c r="AG81" s="530"/>
      <c r="AH81" s="530"/>
      <c r="AI81" s="530"/>
    </row>
    <row r="82" spans="1:35">
      <c r="A82" s="524" t="s">
        <v>1047</v>
      </c>
      <c r="B82" s="524"/>
      <c r="C82" s="524"/>
      <c r="D82" s="524"/>
      <c r="E82" s="524"/>
      <c r="F82" s="524"/>
      <c r="G82" s="524"/>
      <c r="H82" s="524"/>
      <c r="J82" s="524" t="s">
        <v>1047</v>
      </c>
      <c r="K82" s="524"/>
      <c r="L82" s="524"/>
      <c r="M82" s="524"/>
      <c r="N82" s="524"/>
      <c r="O82" s="524"/>
      <c r="P82" s="524"/>
      <c r="Q82" s="524"/>
      <c r="S82" s="524" t="s">
        <v>1047</v>
      </c>
      <c r="T82" s="524"/>
      <c r="U82" s="524"/>
      <c r="V82" s="524"/>
      <c r="W82" s="524"/>
      <c r="X82" s="524"/>
      <c r="Y82" s="524"/>
      <c r="Z82" s="524"/>
      <c r="AB82" s="524" t="s">
        <v>1047</v>
      </c>
      <c r="AC82" s="524"/>
      <c r="AD82" s="524"/>
      <c r="AE82" s="524"/>
      <c r="AF82" s="524"/>
      <c r="AG82" s="524"/>
      <c r="AH82" s="524"/>
      <c r="AI82" s="524"/>
    </row>
    <row r="83" spans="1:35">
      <c r="A83" s="28"/>
      <c r="B83" s="19" t="s">
        <v>1460</v>
      </c>
      <c r="C83" s="23" t="s">
        <v>1459</v>
      </c>
      <c r="D83" s="23">
        <v>6280000</v>
      </c>
      <c r="E83" s="28"/>
      <c r="F83" s="28"/>
      <c r="G83" s="28"/>
      <c r="H83" s="28"/>
      <c r="J83" s="28"/>
      <c r="K83" s="19" t="s">
        <v>1460</v>
      </c>
      <c r="L83" s="23" t="s">
        <v>1459</v>
      </c>
      <c r="M83" s="23">
        <v>6280000</v>
      </c>
      <c r="N83" s="28"/>
      <c r="O83" s="28"/>
      <c r="P83" s="28"/>
      <c r="Q83" s="28"/>
      <c r="S83" s="28"/>
      <c r="T83" s="19" t="s">
        <v>1460</v>
      </c>
      <c r="U83" s="23" t="s">
        <v>1459</v>
      </c>
      <c r="V83" s="23">
        <v>6280000</v>
      </c>
      <c r="W83" s="28"/>
      <c r="X83" s="28"/>
      <c r="Y83" s="28"/>
      <c r="Z83" s="28"/>
      <c r="AB83" s="28"/>
      <c r="AC83" s="19" t="s">
        <v>1460</v>
      </c>
      <c r="AD83" s="23" t="s">
        <v>1459</v>
      </c>
      <c r="AE83" s="23"/>
      <c r="AF83" s="28"/>
      <c r="AG83" s="28"/>
      <c r="AH83" s="28"/>
      <c r="AI83" s="28"/>
    </row>
    <row r="84" spans="1:35">
      <c r="A84" s="28"/>
      <c r="B84" s="19" t="s">
        <v>1460</v>
      </c>
      <c r="C84" s="23" t="s">
        <v>1291</v>
      </c>
      <c r="D84" s="23">
        <v>8713000</v>
      </c>
      <c r="E84" s="28"/>
      <c r="F84" s="28"/>
      <c r="G84" s="28"/>
      <c r="H84" s="28"/>
      <c r="J84" s="28"/>
      <c r="K84" s="19" t="s">
        <v>1460</v>
      </c>
      <c r="L84" s="23" t="s">
        <v>1291</v>
      </c>
      <c r="M84" s="23">
        <v>8713000</v>
      </c>
      <c r="N84" s="28"/>
      <c r="O84" s="28"/>
      <c r="P84" s="28"/>
      <c r="Q84" s="28"/>
      <c r="S84" s="28"/>
      <c r="T84" s="19" t="s">
        <v>1460</v>
      </c>
      <c r="U84" s="23" t="s">
        <v>1291</v>
      </c>
      <c r="V84" s="23">
        <v>8713000</v>
      </c>
      <c r="W84" s="28"/>
      <c r="X84" s="28"/>
      <c r="Y84" s="28"/>
      <c r="Z84" s="28"/>
      <c r="AB84" s="28"/>
      <c r="AC84" s="19" t="s">
        <v>1460</v>
      </c>
      <c r="AD84" s="23" t="s">
        <v>1291</v>
      </c>
      <c r="AE84" s="23"/>
      <c r="AF84" s="28"/>
      <c r="AG84" s="28"/>
      <c r="AH84" s="28"/>
      <c r="AI84" s="28"/>
    </row>
    <row r="85" spans="1:35">
      <c r="A85" s="28"/>
      <c r="B85" s="19" t="s">
        <v>1460</v>
      </c>
      <c r="C85" s="23" t="s">
        <v>1175</v>
      </c>
      <c r="D85" s="23">
        <v>36000</v>
      </c>
      <c r="E85" s="28"/>
      <c r="F85" s="28"/>
      <c r="G85" s="28"/>
      <c r="H85" s="28"/>
      <c r="J85" s="28"/>
      <c r="K85" s="19" t="s">
        <v>1460</v>
      </c>
      <c r="L85" s="23" t="s">
        <v>1175</v>
      </c>
      <c r="M85" s="23">
        <v>36000</v>
      </c>
      <c r="N85" s="28"/>
      <c r="O85" s="28"/>
      <c r="P85" s="28"/>
      <c r="Q85" s="28"/>
      <c r="S85" s="28"/>
      <c r="T85" s="19" t="s">
        <v>1460</v>
      </c>
      <c r="U85" s="23" t="s">
        <v>1175</v>
      </c>
      <c r="V85" s="23">
        <v>36000</v>
      </c>
      <c r="W85" s="28"/>
      <c r="X85" s="28"/>
      <c r="Y85" s="28"/>
      <c r="Z85" s="28"/>
      <c r="AB85" s="28"/>
      <c r="AC85" s="19" t="s">
        <v>1460</v>
      </c>
      <c r="AD85" s="23" t="s">
        <v>1175</v>
      </c>
      <c r="AE85" s="23"/>
      <c r="AF85" s="28"/>
      <c r="AG85" s="28"/>
      <c r="AH85" s="28"/>
      <c r="AI85" s="28"/>
    </row>
    <row r="86" spans="1:35">
      <c r="A86" s="28"/>
      <c r="B86" s="19" t="s">
        <v>1460</v>
      </c>
      <c r="C86" s="23" t="s">
        <v>1127</v>
      </c>
      <c r="D86" s="23">
        <v>450000</v>
      </c>
      <c r="E86" s="28"/>
      <c r="F86" s="28"/>
      <c r="G86" s="28"/>
      <c r="H86" s="28"/>
      <c r="J86" s="28"/>
      <c r="K86" s="19" t="s">
        <v>1460</v>
      </c>
      <c r="L86" s="23" t="s">
        <v>1127</v>
      </c>
      <c r="M86" s="23">
        <v>450000</v>
      </c>
      <c r="N86" s="28"/>
      <c r="O86" s="28"/>
      <c r="P86" s="28"/>
      <c r="Q86" s="28"/>
      <c r="S86" s="28"/>
      <c r="T86" s="19" t="s">
        <v>1460</v>
      </c>
      <c r="U86" s="23" t="s">
        <v>1127</v>
      </c>
      <c r="V86" s="23">
        <v>450000</v>
      </c>
      <c r="W86" s="28"/>
      <c r="X86" s="28"/>
      <c r="Y86" s="28"/>
      <c r="Z86" s="28"/>
      <c r="AB86" s="28"/>
      <c r="AC86" s="19" t="s">
        <v>1460</v>
      </c>
      <c r="AD86" s="23" t="s">
        <v>1127</v>
      </c>
      <c r="AE86" s="23"/>
      <c r="AF86" s="28"/>
      <c r="AG86" s="28"/>
      <c r="AH86" s="28"/>
      <c r="AI86" s="28"/>
    </row>
    <row r="87" spans="1:35">
      <c r="A87" s="28"/>
      <c r="B87" s="19" t="s">
        <v>1446</v>
      </c>
      <c r="C87" s="23" t="s">
        <v>1392</v>
      </c>
      <c r="D87" s="23">
        <v>500000</v>
      </c>
      <c r="E87" s="28"/>
      <c r="F87" s="28"/>
      <c r="G87" s="28"/>
      <c r="H87" s="28"/>
      <c r="J87" s="28"/>
      <c r="K87" s="19" t="s">
        <v>1446</v>
      </c>
      <c r="L87" s="23" t="s">
        <v>1392</v>
      </c>
      <c r="M87" s="23">
        <v>500000</v>
      </c>
      <c r="N87" s="28"/>
      <c r="O87" s="28"/>
      <c r="P87" s="28"/>
      <c r="Q87" s="28"/>
      <c r="S87" s="28"/>
      <c r="T87" s="19" t="s">
        <v>1446</v>
      </c>
      <c r="U87" s="23" t="s">
        <v>1392</v>
      </c>
      <c r="V87" s="23">
        <v>500000</v>
      </c>
      <c r="W87" s="28"/>
      <c r="X87" s="28"/>
      <c r="Y87" s="28"/>
      <c r="Z87" s="28"/>
      <c r="AB87" s="28"/>
      <c r="AC87" s="19" t="s">
        <v>1446</v>
      </c>
      <c r="AD87" s="23" t="s">
        <v>1392</v>
      </c>
      <c r="AE87" s="23"/>
      <c r="AF87" s="28"/>
      <c r="AG87" s="28"/>
      <c r="AH87" s="28"/>
      <c r="AI87" s="28"/>
    </row>
    <row r="88" spans="1:35">
      <c r="A88" s="12"/>
      <c r="B88" s="19" t="s">
        <v>1446</v>
      </c>
      <c r="C88" s="24" t="s">
        <v>1445</v>
      </c>
      <c r="D88" s="23">
        <v>125000</v>
      </c>
      <c r="E88" s="444"/>
      <c r="F88" s="444"/>
      <c r="G88" s="444"/>
      <c r="H88" s="444"/>
      <c r="J88" s="12"/>
      <c r="K88" s="19" t="s">
        <v>1446</v>
      </c>
      <c r="L88" s="24" t="s">
        <v>1445</v>
      </c>
      <c r="M88" s="23">
        <v>125000</v>
      </c>
      <c r="N88" s="451"/>
      <c r="O88" s="451"/>
      <c r="P88" s="451"/>
      <c r="Q88" s="451"/>
      <c r="S88" s="12"/>
      <c r="T88" s="19" t="s">
        <v>1446</v>
      </c>
      <c r="U88" s="24" t="s">
        <v>1445</v>
      </c>
      <c r="V88" s="23">
        <v>125000</v>
      </c>
      <c r="W88" s="451"/>
      <c r="X88" s="451"/>
      <c r="Y88" s="451"/>
      <c r="Z88" s="451"/>
      <c r="AB88" s="12"/>
      <c r="AC88" s="19" t="s">
        <v>1446</v>
      </c>
      <c r="AD88" s="24" t="s">
        <v>1445</v>
      </c>
      <c r="AE88" s="23"/>
      <c r="AF88" s="451"/>
      <c r="AG88" s="451"/>
      <c r="AH88" s="451"/>
      <c r="AI88" s="451"/>
    </row>
    <row r="89" spans="1:35">
      <c r="A89" s="12"/>
      <c r="B89" s="23" t="s">
        <v>1297</v>
      </c>
      <c r="C89" s="24" t="s">
        <v>1337</v>
      </c>
      <c r="D89" s="23">
        <v>3910000</v>
      </c>
      <c r="E89" s="22"/>
      <c r="F89" s="22"/>
      <c r="G89" s="16"/>
      <c r="H89" s="16"/>
      <c r="J89" s="12"/>
      <c r="K89" s="23" t="s">
        <v>1297</v>
      </c>
      <c r="L89" s="24" t="s">
        <v>1337</v>
      </c>
      <c r="M89" s="23"/>
      <c r="N89" s="22"/>
      <c r="O89" s="22"/>
      <c r="P89" s="16"/>
      <c r="Q89" s="16"/>
      <c r="S89" s="12"/>
      <c r="T89" s="23" t="s">
        <v>1297</v>
      </c>
      <c r="U89" s="24" t="s">
        <v>1337</v>
      </c>
      <c r="V89" s="23"/>
      <c r="W89" s="22"/>
      <c r="X89" s="22"/>
      <c r="Y89" s="16"/>
      <c r="Z89" s="16"/>
      <c r="AB89" s="12"/>
      <c r="AC89" s="23" t="s">
        <v>1297</v>
      </c>
      <c r="AD89" s="24" t="s">
        <v>1337</v>
      </c>
      <c r="AE89" s="23"/>
      <c r="AF89" s="22"/>
      <c r="AG89" s="22"/>
      <c r="AH89" s="16"/>
      <c r="AI89" s="16"/>
    </row>
    <row r="90" spans="1:35">
      <c r="A90" s="12"/>
      <c r="B90" s="23" t="s">
        <v>1374</v>
      </c>
      <c r="C90" s="24" t="s">
        <v>1400</v>
      </c>
      <c r="D90" s="23">
        <v>893000</v>
      </c>
      <c r="E90" s="22"/>
      <c r="F90" s="22" t="s">
        <v>849</v>
      </c>
      <c r="G90" s="16"/>
      <c r="H90" s="16"/>
      <c r="J90" s="12"/>
      <c r="K90" s="23" t="s">
        <v>1374</v>
      </c>
      <c r="L90" s="24" t="s">
        <v>1400</v>
      </c>
      <c r="M90" s="23"/>
      <c r="N90" s="22"/>
      <c r="O90" s="22" t="s">
        <v>849</v>
      </c>
      <c r="P90" s="16"/>
      <c r="Q90" s="16"/>
      <c r="S90" s="12"/>
      <c r="T90" s="23" t="s">
        <v>1374</v>
      </c>
      <c r="U90" s="24" t="s">
        <v>1400</v>
      </c>
      <c r="V90" s="23"/>
      <c r="W90" s="22"/>
      <c r="X90" s="22" t="s">
        <v>849</v>
      </c>
      <c r="Y90" s="16"/>
      <c r="Z90" s="16"/>
      <c r="AB90" s="12"/>
      <c r="AC90" s="23" t="s">
        <v>1374</v>
      </c>
      <c r="AD90" s="24" t="s">
        <v>1400</v>
      </c>
      <c r="AE90" s="23"/>
      <c r="AF90" s="22"/>
      <c r="AG90" s="22" t="s">
        <v>849</v>
      </c>
      <c r="AH90" s="16"/>
      <c r="AI90" s="16"/>
    </row>
    <row r="91" spans="1:35">
      <c r="A91" s="12"/>
      <c r="B91" s="23" t="s">
        <v>1374</v>
      </c>
      <c r="C91" s="24" t="s">
        <v>1358</v>
      </c>
      <c r="D91" s="23">
        <v>4705000</v>
      </c>
      <c r="E91" s="22"/>
      <c r="F91" s="22"/>
      <c r="G91" s="16"/>
      <c r="H91" s="16"/>
      <c r="J91" s="12"/>
      <c r="K91" s="23" t="s">
        <v>1374</v>
      </c>
      <c r="L91" s="24" t="s">
        <v>1358</v>
      </c>
      <c r="M91" s="23"/>
      <c r="N91" s="22"/>
      <c r="O91" s="22"/>
      <c r="P91" s="16"/>
      <c r="Q91" s="16"/>
      <c r="S91" s="12"/>
      <c r="T91" s="23" t="s">
        <v>1374</v>
      </c>
      <c r="U91" s="24" t="s">
        <v>1358</v>
      </c>
      <c r="V91" s="23"/>
      <c r="W91" s="22"/>
      <c r="X91" s="22"/>
      <c r="Y91" s="16"/>
      <c r="Z91" s="16"/>
      <c r="AB91" s="12"/>
      <c r="AC91" s="23" t="s">
        <v>1374</v>
      </c>
      <c r="AD91" s="24" t="s">
        <v>1358</v>
      </c>
      <c r="AE91" s="23"/>
      <c r="AF91" s="22"/>
      <c r="AG91" s="22"/>
      <c r="AH91" s="16"/>
      <c r="AI91" s="16"/>
    </row>
    <row r="92" spans="1:35">
      <c r="A92" s="12"/>
      <c r="B92" s="23" t="s">
        <v>1374</v>
      </c>
      <c r="C92" s="23" t="s">
        <v>1407</v>
      </c>
      <c r="D92" s="23">
        <v>1500000</v>
      </c>
      <c r="E92" s="22"/>
      <c r="F92" s="22"/>
      <c r="G92" s="16"/>
      <c r="H92" s="16"/>
      <c r="J92" s="12"/>
      <c r="K92" s="23" t="s">
        <v>1374</v>
      </c>
      <c r="L92" s="23" t="s">
        <v>1407</v>
      </c>
      <c r="M92" s="23"/>
      <c r="N92" s="22"/>
      <c r="O92" s="22"/>
      <c r="P92" s="16"/>
      <c r="Q92" s="16"/>
      <c r="S92" s="12"/>
      <c r="T92" s="23" t="s">
        <v>1374</v>
      </c>
      <c r="U92" s="23" t="s">
        <v>1407</v>
      </c>
      <c r="V92" s="23"/>
      <c r="W92" s="22"/>
      <c r="X92" s="22"/>
      <c r="Y92" s="16"/>
      <c r="Z92" s="16"/>
      <c r="AB92" s="12"/>
      <c r="AC92" s="23" t="s">
        <v>1374</v>
      </c>
      <c r="AD92" s="23" t="s">
        <v>1407</v>
      </c>
      <c r="AE92" s="23"/>
      <c r="AF92" s="22"/>
      <c r="AG92" s="22"/>
      <c r="AH92" s="16"/>
      <c r="AI92" s="16"/>
    </row>
    <row r="93" spans="1:35">
      <c r="A93" s="12"/>
      <c r="B93" s="23" t="s">
        <v>1441</v>
      </c>
      <c r="C93" s="24" t="s">
        <v>1442</v>
      </c>
      <c r="D93" s="23">
        <v>195000</v>
      </c>
      <c r="E93" s="22"/>
      <c r="F93" s="22"/>
      <c r="G93" s="16"/>
      <c r="H93" s="16"/>
      <c r="J93" s="12"/>
      <c r="K93" s="23" t="s">
        <v>1441</v>
      </c>
      <c r="L93" s="24" t="s">
        <v>1442</v>
      </c>
      <c r="M93" s="23"/>
      <c r="N93" s="22"/>
      <c r="O93" s="22"/>
      <c r="P93" s="16"/>
      <c r="Q93" s="16"/>
      <c r="S93" s="12"/>
      <c r="T93" s="23" t="s">
        <v>1441</v>
      </c>
      <c r="U93" s="24" t="s">
        <v>1442</v>
      </c>
      <c r="V93" s="23"/>
      <c r="W93" s="22"/>
      <c r="X93" s="22"/>
      <c r="Y93" s="16"/>
      <c r="Z93" s="16"/>
      <c r="AB93" s="12"/>
      <c r="AC93" s="23" t="s">
        <v>1441</v>
      </c>
      <c r="AD93" s="24" t="s">
        <v>1442</v>
      </c>
      <c r="AE93" s="23"/>
      <c r="AF93" s="22"/>
      <c r="AG93" s="22"/>
      <c r="AH93" s="16"/>
      <c r="AI93" s="16"/>
    </row>
    <row r="94" spans="1:35">
      <c r="A94" s="12"/>
      <c r="B94" s="23" t="s">
        <v>1441</v>
      </c>
      <c r="C94" s="24" t="s">
        <v>1443</v>
      </c>
      <c r="D94" s="23">
        <v>796000</v>
      </c>
      <c r="E94" s="22"/>
      <c r="F94" s="22"/>
      <c r="G94" s="16"/>
      <c r="H94" s="16"/>
      <c r="J94" s="12"/>
      <c r="K94" s="23" t="s">
        <v>1441</v>
      </c>
      <c r="L94" s="24" t="s">
        <v>1443</v>
      </c>
      <c r="M94" s="23"/>
      <c r="N94" s="22"/>
      <c r="O94" s="22"/>
      <c r="P94" s="16"/>
      <c r="Q94" s="16"/>
      <c r="S94" s="12"/>
      <c r="T94" s="23" t="s">
        <v>1441</v>
      </c>
      <c r="U94" s="24" t="s">
        <v>1443</v>
      </c>
      <c r="V94" s="23"/>
      <c r="W94" s="22"/>
      <c r="X94" s="22"/>
      <c r="Y94" s="16"/>
      <c r="Z94" s="16"/>
      <c r="AB94" s="12"/>
      <c r="AC94" s="23" t="s">
        <v>1441</v>
      </c>
      <c r="AD94" s="24" t="s">
        <v>1443</v>
      </c>
      <c r="AE94" s="23"/>
      <c r="AF94" s="22"/>
      <c r="AG94" s="22"/>
      <c r="AH94" s="16"/>
      <c r="AI94" s="16"/>
    </row>
    <row r="95" spans="1:35">
      <c r="A95" s="12"/>
      <c r="B95" s="23"/>
      <c r="C95" s="24" t="s">
        <v>1464</v>
      </c>
      <c r="D95" s="23">
        <v>6785000</v>
      </c>
      <c r="E95" s="22"/>
      <c r="F95" s="22"/>
      <c r="G95" s="16"/>
      <c r="H95" s="16"/>
      <c r="J95" s="12"/>
      <c r="K95" s="23"/>
      <c r="L95" s="24" t="s">
        <v>1464</v>
      </c>
      <c r="M95" s="23"/>
      <c r="N95" s="22"/>
      <c r="O95" s="22"/>
      <c r="P95" s="16"/>
      <c r="Q95" s="16"/>
      <c r="S95" s="12"/>
      <c r="T95" s="23"/>
      <c r="U95" s="24" t="s">
        <v>1464</v>
      </c>
      <c r="V95" s="23"/>
      <c r="W95" s="22"/>
      <c r="X95" s="22"/>
      <c r="Y95" s="16"/>
      <c r="Z95" s="16"/>
      <c r="AB95" s="12"/>
      <c r="AC95" s="23"/>
      <c r="AD95" s="24" t="s">
        <v>1464</v>
      </c>
      <c r="AE95" s="23"/>
      <c r="AF95" s="22"/>
      <c r="AG95" s="22"/>
      <c r="AH95" s="16"/>
      <c r="AI95" s="16"/>
    </row>
    <row r="96" spans="1:35">
      <c r="A96" s="12"/>
      <c r="B96" s="23"/>
      <c r="C96" s="24"/>
      <c r="D96" s="23"/>
      <c r="E96" s="22"/>
      <c r="F96" s="22"/>
      <c r="G96" s="16"/>
      <c r="H96" s="16"/>
      <c r="J96" s="12"/>
      <c r="K96" s="23"/>
      <c r="L96" s="24"/>
      <c r="M96" s="23"/>
      <c r="N96" s="22"/>
      <c r="O96" s="22"/>
      <c r="P96" s="16"/>
      <c r="Q96" s="16"/>
      <c r="S96" s="12"/>
      <c r="T96" s="23"/>
      <c r="U96" s="24"/>
      <c r="V96" s="23"/>
      <c r="W96" s="22"/>
      <c r="X96" s="22"/>
      <c r="Y96" s="16"/>
      <c r="Z96" s="16"/>
      <c r="AB96" s="12"/>
      <c r="AC96" s="23"/>
      <c r="AD96" s="24"/>
      <c r="AE96" s="23"/>
      <c r="AF96" s="22"/>
      <c r="AG96" s="22"/>
      <c r="AH96" s="16"/>
      <c r="AI96" s="16"/>
    </row>
    <row r="97" spans="1:35">
      <c r="A97" s="12"/>
      <c r="B97" s="13"/>
      <c r="C97" s="26" t="s">
        <v>848</v>
      </c>
      <c r="D97" s="27">
        <f>SUM(D83:D96)</f>
        <v>34888000</v>
      </c>
      <c r="E97" s="27">
        <v>0</v>
      </c>
      <c r="F97" s="27">
        <v>0</v>
      </c>
      <c r="G97" s="27"/>
      <c r="H97" s="27"/>
      <c r="J97" s="12"/>
      <c r="K97" s="13"/>
      <c r="L97" s="26" t="s">
        <v>848</v>
      </c>
      <c r="M97" s="27">
        <f>SUM(M83:M96)</f>
        <v>16104000</v>
      </c>
      <c r="N97" s="27">
        <v>0</v>
      </c>
      <c r="O97" s="27">
        <v>0</v>
      </c>
      <c r="P97" s="27"/>
      <c r="Q97" s="27"/>
      <c r="S97" s="12"/>
      <c r="T97" s="13"/>
      <c r="U97" s="26" t="s">
        <v>848</v>
      </c>
      <c r="V97" s="27">
        <f>SUM(V83:V96)</f>
        <v>16104000</v>
      </c>
      <c r="W97" s="27">
        <v>0</v>
      </c>
      <c r="X97" s="27">
        <v>0</v>
      </c>
      <c r="Y97" s="27"/>
      <c r="Z97" s="27"/>
      <c r="AB97" s="12"/>
      <c r="AC97" s="13"/>
      <c r="AD97" s="26" t="s">
        <v>848</v>
      </c>
      <c r="AE97" s="27">
        <f>SUM(AE83:AE96)</f>
        <v>0</v>
      </c>
      <c r="AF97" s="27">
        <v>0</v>
      </c>
      <c r="AG97" s="27">
        <v>0</v>
      </c>
      <c r="AH97" s="27"/>
      <c r="AI97" s="27"/>
    </row>
    <row r="98" spans="1:35">
      <c r="A98" s="20"/>
      <c r="B98" s="19"/>
      <c r="C98" s="444" t="s">
        <v>21</v>
      </c>
      <c r="D98" s="10"/>
      <c r="E98" s="530">
        <f>D97</f>
        <v>34888000</v>
      </c>
      <c r="F98" s="530"/>
      <c r="G98" s="530"/>
      <c r="H98" s="530"/>
      <c r="J98" s="20"/>
      <c r="K98" s="19"/>
      <c r="L98" s="451" t="s">
        <v>21</v>
      </c>
      <c r="M98" s="10"/>
      <c r="N98" s="530">
        <f>M97</f>
        <v>16104000</v>
      </c>
      <c r="O98" s="530"/>
      <c r="P98" s="530"/>
      <c r="Q98" s="530"/>
      <c r="S98" s="20"/>
      <c r="T98" s="19"/>
      <c r="U98" s="451" t="s">
        <v>21</v>
      </c>
      <c r="V98" s="10"/>
      <c r="W98" s="530">
        <f>V97</f>
        <v>16104000</v>
      </c>
      <c r="X98" s="530"/>
      <c r="Y98" s="530"/>
      <c r="Z98" s="530"/>
      <c r="AB98" s="20"/>
      <c r="AC98" s="19"/>
      <c r="AD98" s="451" t="s">
        <v>21</v>
      </c>
      <c r="AE98" s="10"/>
      <c r="AF98" s="530">
        <f>AE97</f>
        <v>0</v>
      </c>
      <c r="AG98" s="530"/>
      <c r="AH98" s="530"/>
      <c r="AI98" s="530"/>
    </row>
    <row r="99" spans="1:35">
      <c r="A99" s="527" t="s">
        <v>32</v>
      </c>
      <c r="B99" s="528"/>
      <c r="C99" s="528"/>
      <c r="D99" s="528"/>
      <c r="E99" s="528"/>
      <c r="F99" s="528"/>
      <c r="G99" s="528"/>
      <c r="H99" s="529"/>
      <c r="J99" s="527" t="s">
        <v>32</v>
      </c>
      <c r="K99" s="528"/>
      <c r="L99" s="528"/>
      <c r="M99" s="528"/>
      <c r="N99" s="528"/>
      <c r="O99" s="528"/>
      <c r="P99" s="528"/>
      <c r="Q99" s="529"/>
      <c r="S99" s="527" t="s">
        <v>32</v>
      </c>
      <c r="T99" s="528"/>
      <c r="U99" s="528"/>
      <c r="V99" s="528"/>
      <c r="W99" s="528"/>
      <c r="X99" s="528"/>
      <c r="Y99" s="528"/>
      <c r="Z99" s="529"/>
      <c r="AB99" s="527" t="s">
        <v>32</v>
      </c>
      <c r="AC99" s="528"/>
      <c r="AD99" s="528"/>
      <c r="AE99" s="528"/>
      <c r="AF99" s="528"/>
      <c r="AG99" s="528"/>
      <c r="AH99" s="528"/>
      <c r="AI99" s="529"/>
    </row>
    <row r="100" spans="1:35">
      <c r="A100" s="12"/>
      <c r="B100" s="13" t="s">
        <v>1467</v>
      </c>
      <c r="C100" s="22" t="s">
        <v>1466</v>
      </c>
      <c r="D100" s="22">
        <v>645000</v>
      </c>
      <c r="E100" s="444"/>
      <c r="F100" s="444"/>
      <c r="G100" s="444"/>
      <c r="H100" s="444"/>
      <c r="J100" s="12"/>
      <c r="K100" s="13" t="s">
        <v>1467</v>
      </c>
      <c r="L100" s="22" t="s">
        <v>1466</v>
      </c>
      <c r="M100" s="22">
        <v>645000</v>
      </c>
      <c r="N100" s="451"/>
      <c r="O100" s="451"/>
      <c r="P100" s="451"/>
      <c r="Q100" s="451"/>
      <c r="S100" s="12"/>
      <c r="T100" s="13" t="s">
        <v>1467</v>
      </c>
      <c r="U100" s="22" t="s">
        <v>1466</v>
      </c>
      <c r="V100" s="22">
        <v>645000</v>
      </c>
      <c r="W100" s="451"/>
      <c r="X100" s="451"/>
      <c r="Y100" s="451"/>
      <c r="Z100" s="451"/>
      <c r="AB100" s="12"/>
      <c r="AC100" s="13" t="s">
        <v>1467</v>
      </c>
      <c r="AD100" s="22" t="s">
        <v>1466</v>
      </c>
      <c r="AE100" s="22"/>
      <c r="AF100" s="451"/>
      <c r="AG100" s="451"/>
      <c r="AH100" s="451"/>
      <c r="AI100" s="451"/>
    </row>
    <row r="101" spans="1:35">
      <c r="A101" s="12"/>
      <c r="B101" s="13"/>
      <c r="C101" s="22"/>
      <c r="D101" s="22"/>
      <c r="E101" s="444"/>
      <c r="F101" s="444"/>
      <c r="G101" s="444"/>
      <c r="H101" s="444"/>
      <c r="J101" s="12"/>
      <c r="K101" s="13" t="s">
        <v>1474</v>
      </c>
      <c r="L101" s="22" t="s">
        <v>1478</v>
      </c>
      <c r="M101" s="22">
        <v>1000000</v>
      </c>
      <c r="N101" s="451"/>
      <c r="O101" s="451"/>
      <c r="P101" s="451"/>
      <c r="Q101" s="451"/>
      <c r="S101" s="12"/>
      <c r="T101" s="13" t="s">
        <v>1472</v>
      </c>
      <c r="U101" s="22" t="s">
        <v>1477</v>
      </c>
      <c r="V101" s="22">
        <v>200000</v>
      </c>
      <c r="W101" s="451"/>
      <c r="X101" s="451"/>
      <c r="Y101" s="451"/>
      <c r="Z101" s="451"/>
      <c r="AB101" s="12"/>
      <c r="AC101" s="13" t="s">
        <v>1474</v>
      </c>
      <c r="AD101" s="22" t="s">
        <v>1478</v>
      </c>
      <c r="AE101" s="22">
        <v>1000000</v>
      </c>
      <c r="AF101" s="451"/>
      <c r="AG101" s="451"/>
      <c r="AH101" s="451"/>
      <c r="AI101" s="451"/>
    </row>
    <row r="102" spans="1:35">
      <c r="A102" s="12"/>
      <c r="B102" s="13"/>
      <c r="C102" s="22"/>
      <c r="D102" s="77"/>
      <c r="E102" s="444"/>
      <c r="F102" s="444"/>
      <c r="G102" s="444"/>
      <c r="H102" s="444"/>
      <c r="J102" s="12"/>
      <c r="K102" s="13" t="s">
        <v>1474</v>
      </c>
      <c r="L102" s="22" t="s">
        <v>1475</v>
      </c>
      <c r="M102" s="22">
        <v>758000</v>
      </c>
      <c r="N102" s="451"/>
      <c r="O102" s="451"/>
      <c r="P102" s="451"/>
      <c r="Q102" s="451"/>
      <c r="S102" s="12"/>
      <c r="T102" s="13" t="s">
        <v>1335</v>
      </c>
      <c r="U102" s="22" t="s">
        <v>1476</v>
      </c>
      <c r="V102" s="77">
        <v>6000000</v>
      </c>
      <c r="W102" s="451"/>
      <c r="X102" s="451"/>
      <c r="Y102" s="451"/>
      <c r="Z102" s="451"/>
      <c r="AB102" s="12"/>
      <c r="AC102" s="13" t="s">
        <v>1474</v>
      </c>
      <c r="AD102" s="22" t="s">
        <v>1475</v>
      </c>
      <c r="AE102" s="22">
        <v>758000</v>
      </c>
      <c r="AF102" s="451"/>
      <c r="AG102" s="451"/>
      <c r="AH102" s="451"/>
      <c r="AI102" s="451"/>
    </row>
    <row r="103" spans="1:35">
      <c r="A103" s="12"/>
      <c r="B103" s="13"/>
      <c r="C103" s="22"/>
      <c r="D103" s="22"/>
      <c r="E103" s="444"/>
      <c r="F103" s="444"/>
      <c r="G103" s="444"/>
      <c r="H103" s="444"/>
      <c r="J103" s="12"/>
      <c r="K103" s="13"/>
      <c r="L103" s="22"/>
      <c r="M103" s="22"/>
      <c r="N103" s="451"/>
      <c r="O103" s="451"/>
      <c r="P103" s="451"/>
      <c r="Q103" s="451"/>
      <c r="S103" s="12"/>
      <c r="T103" s="13"/>
      <c r="U103" s="22"/>
      <c r="V103" s="22"/>
      <c r="W103" s="451"/>
      <c r="X103" s="451"/>
      <c r="Y103" s="451"/>
      <c r="Z103" s="451"/>
      <c r="AB103" s="12"/>
      <c r="AC103" s="13"/>
      <c r="AD103" s="22"/>
      <c r="AE103" s="22"/>
      <c r="AF103" s="451"/>
      <c r="AG103" s="451"/>
      <c r="AH103" s="451"/>
      <c r="AI103" s="451"/>
    </row>
    <row r="104" spans="1:35">
      <c r="A104" s="12"/>
      <c r="B104" s="22"/>
      <c r="C104" s="22"/>
      <c r="D104" s="22"/>
      <c r="E104" s="444"/>
      <c r="F104" s="444"/>
      <c r="G104" s="444"/>
      <c r="H104" s="444"/>
      <c r="J104" s="12"/>
      <c r="K104" s="22"/>
      <c r="L104" s="22"/>
      <c r="M104" s="22"/>
      <c r="N104" s="451"/>
      <c r="O104" s="451"/>
      <c r="P104" s="451"/>
      <c r="Q104" s="451"/>
      <c r="S104" s="12"/>
      <c r="T104" s="13"/>
      <c r="U104" s="22"/>
      <c r="V104" s="22"/>
      <c r="W104" s="451"/>
      <c r="X104" s="451"/>
      <c r="Y104" s="451"/>
      <c r="Z104" s="451"/>
      <c r="AB104" s="12"/>
      <c r="AC104" s="22"/>
      <c r="AD104" s="22"/>
      <c r="AE104" s="22"/>
      <c r="AF104" s="451"/>
      <c r="AG104" s="451"/>
      <c r="AH104" s="451"/>
      <c r="AI104" s="451"/>
    </row>
    <row r="105" spans="1:35">
      <c r="A105" s="12"/>
      <c r="B105" s="13"/>
      <c r="C105" s="22"/>
      <c r="D105" s="29"/>
      <c r="E105" s="444"/>
      <c r="F105" s="444"/>
      <c r="G105" s="444"/>
      <c r="H105" s="444"/>
      <c r="J105" s="12"/>
      <c r="K105" s="13"/>
      <c r="L105" s="22"/>
      <c r="M105" s="29"/>
      <c r="N105" s="451"/>
      <c r="O105" s="451"/>
      <c r="P105" s="451"/>
      <c r="Q105" s="451"/>
      <c r="S105" s="12"/>
      <c r="T105" s="13"/>
      <c r="U105" s="22"/>
      <c r="V105" s="29"/>
      <c r="W105" s="451"/>
      <c r="X105" s="451"/>
      <c r="Y105" s="451"/>
      <c r="Z105" s="451"/>
      <c r="AB105" s="12"/>
      <c r="AC105" s="13"/>
      <c r="AD105" s="22"/>
      <c r="AE105" s="29"/>
      <c r="AF105" s="451"/>
      <c r="AG105" s="451"/>
      <c r="AH105" s="451"/>
      <c r="AI105" s="451"/>
    </row>
    <row r="106" spans="1:35">
      <c r="A106" s="12"/>
      <c r="B106" s="13"/>
      <c r="C106" s="26" t="s">
        <v>34</v>
      </c>
      <c r="D106" s="27">
        <f>SUM(D100:D104)</f>
        <v>645000</v>
      </c>
      <c r="E106" s="27">
        <v>0</v>
      </c>
      <c r="F106" s="27">
        <v>0</v>
      </c>
      <c r="G106" s="27"/>
      <c r="H106" s="27"/>
      <c r="J106" s="12"/>
      <c r="K106" s="13"/>
      <c r="L106" s="26" t="s">
        <v>34</v>
      </c>
      <c r="M106" s="27">
        <f>SUM(M100:M104)</f>
        <v>2403000</v>
      </c>
      <c r="N106" s="27">
        <v>0</v>
      </c>
      <c r="O106" s="27">
        <v>0</v>
      </c>
      <c r="P106" s="27"/>
      <c r="Q106" s="27"/>
      <c r="S106" s="12"/>
      <c r="T106" s="13"/>
      <c r="U106" s="26" t="s">
        <v>34</v>
      </c>
      <c r="V106" s="27">
        <f>SUM(V100:V104)</f>
        <v>6845000</v>
      </c>
      <c r="W106" s="27">
        <v>0</v>
      </c>
      <c r="X106" s="27">
        <v>0</v>
      </c>
      <c r="Y106" s="27"/>
      <c r="Z106" s="27"/>
      <c r="AB106" s="12"/>
      <c r="AC106" s="13"/>
      <c r="AD106" s="26" t="s">
        <v>34</v>
      </c>
      <c r="AE106" s="27">
        <f>SUM(AE100:AE104)</f>
        <v>1758000</v>
      </c>
      <c r="AF106" s="27">
        <v>0</v>
      </c>
      <c r="AG106" s="27">
        <v>0</v>
      </c>
      <c r="AH106" s="27"/>
      <c r="AI106" s="27"/>
    </row>
    <row r="107" spans="1:35">
      <c r="A107" s="20"/>
      <c r="B107" s="19"/>
      <c r="C107" s="444" t="s">
        <v>21</v>
      </c>
      <c r="D107" s="10"/>
      <c r="E107" s="531">
        <f>D106</f>
        <v>645000</v>
      </c>
      <c r="F107" s="532"/>
      <c r="G107" s="532"/>
      <c r="H107" s="533"/>
      <c r="J107" s="20"/>
      <c r="K107" s="19"/>
      <c r="L107" s="451" t="s">
        <v>21</v>
      </c>
      <c r="M107" s="10"/>
      <c r="N107" s="531">
        <f>M106</f>
        <v>2403000</v>
      </c>
      <c r="O107" s="532"/>
      <c r="P107" s="532"/>
      <c r="Q107" s="533"/>
      <c r="S107" s="20"/>
      <c r="T107" s="19"/>
      <c r="U107" s="451" t="s">
        <v>21</v>
      </c>
      <c r="V107" s="10"/>
      <c r="W107" s="531">
        <f>V106</f>
        <v>6845000</v>
      </c>
      <c r="X107" s="532"/>
      <c r="Y107" s="532"/>
      <c r="Z107" s="533"/>
      <c r="AB107" s="20"/>
      <c r="AC107" s="19"/>
      <c r="AD107" s="451" t="s">
        <v>21</v>
      </c>
      <c r="AE107" s="10"/>
      <c r="AF107" s="531">
        <f>AE106</f>
        <v>1758000</v>
      </c>
      <c r="AG107" s="532"/>
      <c r="AH107" s="532"/>
      <c r="AI107" s="533"/>
    </row>
    <row r="108" spans="1:35">
      <c r="A108" s="525" t="s">
        <v>35</v>
      </c>
      <c r="B108" s="525"/>
      <c r="C108" s="525"/>
      <c r="D108" s="443"/>
      <c r="E108" s="526">
        <f>+E47+E81+E98+E107</f>
        <v>201184257</v>
      </c>
      <c r="F108" s="526"/>
      <c r="G108" s="526"/>
      <c r="H108" s="526"/>
      <c r="J108" s="525" t="s">
        <v>35</v>
      </c>
      <c r="K108" s="525"/>
      <c r="L108" s="525"/>
      <c r="M108" s="448"/>
      <c r="N108" s="526">
        <f>+N47+N81+N98+N107</f>
        <v>166058257</v>
      </c>
      <c r="O108" s="526"/>
      <c r="P108" s="526"/>
      <c r="Q108" s="526"/>
      <c r="S108" s="525" t="s">
        <v>35</v>
      </c>
      <c r="T108" s="525"/>
      <c r="U108" s="525"/>
      <c r="V108" s="448"/>
      <c r="W108" s="526">
        <f>+W47+W81+W98+W107</f>
        <v>25982800</v>
      </c>
      <c r="X108" s="526"/>
      <c r="Y108" s="526"/>
      <c r="Z108" s="526"/>
      <c r="AB108" s="525" t="s">
        <v>35</v>
      </c>
      <c r="AC108" s="525"/>
      <c r="AD108" s="525"/>
      <c r="AE108" s="448"/>
      <c r="AF108" s="526">
        <f>+AF47+AF81+AF98+AF107</f>
        <v>146275457</v>
      </c>
      <c r="AG108" s="526"/>
      <c r="AH108" s="526"/>
      <c r="AI108" s="526"/>
    </row>
    <row r="109" spans="1:35">
      <c r="A109" s="522" t="s">
        <v>36</v>
      </c>
      <c r="B109" s="522"/>
      <c r="C109" s="522"/>
      <c r="D109" s="442"/>
      <c r="E109" s="523">
        <f>+E36+E108</f>
        <v>213768757</v>
      </c>
      <c r="F109" s="523"/>
      <c r="G109" s="523"/>
      <c r="H109" s="523"/>
      <c r="J109" s="522" t="s">
        <v>36</v>
      </c>
      <c r="K109" s="522"/>
      <c r="L109" s="522"/>
      <c r="M109" s="450"/>
      <c r="N109" s="523">
        <f>+N36+N108</f>
        <v>178642757</v>
      </c>
      <c r="O109" s="523"/>
      <c r="P109" s="523"/>
      <c r="Q109" s="523"/>
      <c r="S109" s="522" t="s">
        <v>36</v>
      </c>
      <c r="T109" s="522"/>
      <c r="U109" s="522"/>
      <c r="V109" s="450"/>
      <c r="W109" s="523">
        <f>+W36+W108</f>
        <v>25982800</v>
      </c>
      <c r="X109" s="523"/>
      <c r="Y109" s="523"/>
      <c r="Z109" s="523"/>
      <c r="AB109" s="522" t="s">
        <v>36</v>
      </c>
      <c r="AC109" s="522"/>
      <c r="AD109" s="522"/>
      <c r="AE109" s="450"/>
      <c r="AF109" s="523">
        <f>+AF36+AF108</f>
        <v>158859957</v>
      </c>
      <c r="AG109" s="523"/>
      <c r="AH109" s="523"/>
      <c r="AI109" s="523"/>
    </row>
    <row r="110" spans="1:35">
      <c r="A110" s="37"/>
      <c r="B110" s="38"/>
      <c r="C110" s="39"/>
      <c r="D110" s="47"/>
      <c r="E110" s="39"/>
      <c r="F110" s="39"/>
      <c r="G110" s="39"/>
      <c r="H110" s="39"/>
      <c r="J110" s="37"/>
      <c r="K110" s="38"/>
      <c r="L110" s="39"/>
      <c r="M110" s="47"/>
      <c r="N110" s="39"/>
      <c r="O110" s="39"/>
      <c r="P110" s="39"/>
      <c r="Q110" s="39"/>
      <c r="S110" s="37"/>
      <c r="T110" s="38"/>
      <c r="U110" s="39"/>
      <c r="V110" s="47"/>
      <c r="W110" s="39"/>
      <c r="X110" s="39"/>
      <c r="Y110" s="39"/>
      <c r="Z110" s="39"/>
      <c r="AB110" s="37"/>
      <c r="AC110" s="38"/>
      <c r="AD110" s="39"/>
      <c r="AE110" s="47"/>
      <c r="AF110" s="39"/>
      <c r="AG110" s="39"/>
      <c r="AH110" s="39"/>
      <c r="AI110" s="39"/>
    </row>
    <row r="111" spans="1:35">
      <c r="A111" s="519" t="s">
        <v>13</v>
      </c>
      <c r="B111" s="520"/>
      <c r="C111" s="520"/>
      <c r="D111" s="520"/>
      <c r="E111" s="521"/>
      <c r="F111" s="39"/>
      <c r="G111" s="39"/>
      <c r="H111" s="40"/>
      <c r="J111" s="519" t="s">
        <v>13</v>
      </c>
      <c r="K111" s="520"/>
      <c r="L111" s="520"/>
      <c r="M111" s="520"/>
      <c r="N111" s="521"/>
      <c r="O111" s="39"/>
      <c r="P111" s="39"/>
      <c r="Q111" s="40"/>
      <c r="S111" s="519" t="s">
        <v>13</v>
      </c>
      <c r="T111" s="520"/>
      <c r="U111" s="520"/>
      <c r="V111" s="520"/>
      <c r="W111" s="521"/>
      <c r="X111" s="39"/>
      <c r="Y111" s="39"/>
      <c r="Z111" s="40"/>
      <c r="AB111" s="519" t="s">
        <v>13</v>
      </c>
      <c r="AC111" s="520"/>
      <c r="AD111" s="520"/>
      <c r="AE111" s="520"/>
      <c r="AF111" s="521"/>
      <c r="AG111" s="39"/>
      <c r="AH111" s="39"/>
      <c r="AI111" s="40"/>
    </row>
    <row r="112" spans="1:35">
      <c r="A112" s="41" t="s">
        <v>39</v>
      </c>
      <c r="B112" s="42" t="s">
        <v>40</v>
      </c>
      <c r="C112" s="43" t="s">
        <v>980</v>
      </c>
      <c r="D112" s="43" t="s">
        <v>42</v>
      </c>
      <c r="E112" s="43" t="s">
        <v>43</v>
      </c>
      <c r="F112" s="39"/>
      <c r="G112" s="39"/>
      <c r="H112" s="39"/>
      <c r="J112" s="41" t="s">
        <v>39</v>
      </c>
      <c r="K112" s="42" t="s">
        <v>40</v>
      </c>
      <c r="L112" s="43" t="s">
        <v>980</v>
      </c>
      <c r="M112" s="43" t="s">
        <v>42</v>
      </c>
      <c r="N112" s="43" t="s">
        <v>43</v>
      </c>
      <c r="O112" s="39"/>
      <c r="P112" s="39"/>
      <c r="Q112" s="39"/>
      <c r="S112" s="41" t="s">
        <v>39</v>
      </c>
      <c r="T112" s="42" t="s">
        <v>40</v>
      </c>
      <c r="U112" s="43" t="s">
        <v>980</v>
      </c>
      <c r="V112" s="43" t="s">
        <v>42</v>
      </c>
      <c r="W112" s="43" t="s">
        <v>43</v>
      </c>
      <c r="X112" s="39"/>
      <c r="Y112" s="39"/>
      <c r="Z112" s="39"/>
      <c r="AB112" s="41" t="s">
        <v>39</v>
      </c>
      <c r="AC112" s="42" t="s">
        <v>40</v>
      </c>
      <c r="AD112" s="43" t="s">
        <v>980</v>
      </c>
      <c r="AE112" s="43" t="s">
        <v>42</v>
      </c>
      <c r="AF112" s="43" t="s">
        <v>43</v>
      </c>
      <c r="AG112" s="39"/>
      <c r="AH112" s="39"/>
      <c r="AI112" s="39"/>
    </row>
    <row r="113" spans="1:35">
      <c r="A113" s="41"/>
      <c r="B113" s="110"/>
      <c r="C113" s="45"/>
      <c r="D113" s="46"/>
      <c r="E113" s="46"/>
      <c r="F113" s="39"/>
      <c r="G113" s="39"/>
      <c r="H113" s="39"/>
      <c r="J113" s="41"/>
      <c r="K113" s="110">
        <v>46262</v>
      </c>
      <c r="L113" s="45" t="s">
        <v>1418</v>
      </c>
      <c r="M113" s="46">
        <v>20000000</v>
      </c>
      <c r="N113" s="46"/>
      <c r="O113" s="39"/>
      <c r="P113" s="39"/>
      <c r="Q113" s="39"/>
      <c r="S113" s="41"/>
      <c r="T113" s="110">
        <v>46262</v>
      </c>
      <c r="U113" s="45" t="s">
        <v>1418</v>
      </c>
      <c r="V113" s="46">
        <v>20000000</v>
      </c>
      <c r="W113" s="46"/>
      <c r="X113" s="39"/>
      <c r="Y113" s="39"/>
      <c r="Z113" s="39"/>
      <c r="AB113" s="41"/>
      <c r="AC113" s="110"/>
      <c r="AD113" s="45"/>
      <c r="AE113" s="46"/>
      <c r="AF113" s="46"/>
      <c r="AG113" s="39"/>
      <c r="AH113" s="39"/>
      <c r="AI113" s="39"/>
    </row>
    <row r="114" spans="1:35">
      <c r="A114" s="41"/>
      <c r="B114" s="44"/>
      <c r="C114" s="45"/>
      <c r="D114" s="46"/>
      <c r="E114" s="46"/>
      <c r="F114" s="39"/>
      <c r="G114" s="39"/>
      <c r="H114" s="40"/>
      <c r="J114" s="41"/>
      <c r="K114" s="44"/>
      <c r="L114" s="45"/>
      <c r="M114" s="46"/>
      <c r="N114" s="46"/>
      <c r="O114" s="39"/>
      <c r="P114" s="39"/>
      <c r="Q114" s="40"/>
      <c r="S114" s="41"/>
      <c r="T114" s="44"/>
      <c r="U114" s="45" t="s">
        <v>1473</v>
      </c>
      <c r="V114" s="46">
        <v>6000000</v>
      </c>
      <c r="W114" s="46"/>
      <c r="X114" s="39"/>
      <c r="Y114" s="39"/>
      <c r="Z114" s="40"/>
      <c r="AB114" s="41"/>
      <c r="AC114" s="44"/>
      <c r="AD114" s="45"/>
      <c r="AE114" s="46"/>
      <c r="AF114" s="46"/>
      <c r="AG114" s="39"/>
      <c r="AH114" s="39"/>
      <c r="AI114" s="40"/>
    </row>
    <row r="115" spans="1:35">
      <c r="A115" s="41"/>
      <c r="B115" s="44"/>
      <c r="C115" s="46"/>
      <c r="D115" s="46"/>
      <c r="E115" s="46"/>
      <c r="F115" s="39"/>
      <c r="G115" s="39"/>
      <c r="H115" s="39"/>
      <c r="J115" s="41"/>
      <c r="K115" s="44"/>
      <c r="L115" s="46"/>
      <c r="M115" s="46"/>
      <c r="N115" s="46"/>
      <c r="O115" s="39"/>
      <c r="P115" s="39"/>
      <c r="Q115" s="39"/>
      <c r="S115" s="41"/>
      <c r="T115" s="44"/>
      <c r="U115" s="46"/>
      <c r="V115" s="46"/>
      <c r="W115" s="46"/>
      <c r="X115" s="39"/>
      <c r="Y115" s="39"/>
      <c r="Z115" s="39"/>
      <c r="AB115" s="41"/>
      <c r="AC115" s="44"/>
      <c r="AD115" s="46"/>
      <c r="AE115" s="46"/>
      <c r="AF115" s="46"/>
      <c r="AG115" s="39"/>
      <c r="AH115" s="39"/>
      <c r="AI115" s="39"/>
    </row>
    <row r="116" spans="1:35">
      <c r="A116" s="41"/>
      <c r="B116" s="44"/>
      <c r="C116" s="327"/>
      <c r="D116" s="46"/>
      <c r="E116" s="46"/>
      <c r="F116" s="39"/>
      <c r="G116" s="39"/>
      <c r="H116" s="39"/>
      <c r="J116" s="41"/>
      <c r="K116" s="44"/>
      <c r="L116" s="327"/>
      <c r="M116" s="46"/>
      <c r="N116" s="46"/>
      <c r="O116" s="39"/>
      <c r="P116" s="39"/>
      <c r="Q116" s="39"/>
      <c r="S116" s="41"/>
      <c r="T116" s="44"/>
      <c r="U116" s="327"/>
      <c r="V116" s="46"/>
      <c r="W116" s="46"/>
      <c r="X116" s="39"/>
      <c r="Y116" s="39"/>
      <c r="Z116" s="39"/>
      <c r="AB116" s="41"/>
      <c r="AC116" s="44"/>
      <c r="AD116" s="327"/>
      <c r="AE116" s="46"/>
      <c r="AF116" s="46"/>
      <c r="AG116" s="39"/>
      <c r="AH116" s="39"/>
      <c r="AI116" s="39"/>
    </row>
    <row r="117" spans="1:35">
      <c r="A117" s="41"/>
      <c r="B117" s="44"/>
      <c r="C117" s="46"/>
      <c r="D117" s="48"/>
      <c r="E117" s="46"/>
      <c r="F117" s="39"/>
      <c r="G117" s="39"/>
      <c r="H117" s="39"/>
      <c r="J117" s="41"/>
      <c r="K117" s="44"/>
      <c r="L117" s="46"/>
      <c r="M117" s="48"/>
      <c r="N117" s="46"/>
      <c r="O117" s="39"/>
      <c r="P117" s="39"/>
      <c r="Q117" s="39"/>
      <c r="S117" s="41"/>
      <c r="T117" s="44"/>
      <c r="U117" s="46"/>
      <c r="V117" s="48"/>
      <c r="W117" s="46"/>
      <c r="X117" s="39"/>
      <c r="Y117" s="39"/>
      <c r="Z117" s="39"/>
      <c r="AB117" s="41"/>
      <c r="AC117" s="44"/>
      <c r="AD117" s="46"/>
      <c r="AE117" s="48"/>
      <c r="AF117" s="46"/>
      <c r="AG117" s="39"/>
      <c r="AH117" s="39"/>
      <c r="AI117" s="39"/>
    </row>
    <row r="118" spans="1:35">
      <c r="A118" s="49"/>
      <c r="B118" s="50"/>
      <c r="C118" s="51" t="s">
        <v>44</v>
      </c>
      <c r="D118" s="51">
        <f>SUM(D113:D117)</f>
        <v>0</v>
      </c>
      <c r="E118" s="52"/>
      <c r="F118" s="39"/>
      <c r="G118" s="39"/>
      <c r="H118" s="39"/>
      <c r="J118" s="49"/>
      <c r="K118" s="50"/>
      <c r="L118" s="51" t="s">
        <v>44</v>
      </c>
      <c r="M118" s="51">
        <f>SUM(M113:M117)</f>
        <v>20000000</v>
      </c>
      <c r="N118" s="52"/>
      <c r="O118" s="39"/>
      <c r="P118" s="39"/>
      <c r="Q118" s="39"/>
      <c r="S118" s="49"/>
      <c r="T118" s="50"/>
      <c r="U118" s="51" t="s">
        <v>44</v>
      </c>
      <c r="V118" s="51">
        <f>SUM(V113:V117)</f>
        <v>26000000</v>
      </c>
      <c r="W118" s="52"/>
      <c r="X118" s="39"/>
      <c r="Y118" s="39"/>
      <c r="Z118" s="39"/>
      <c r="AB118" s="49"/>
      <c r="AC118" s="50"/>
      <c r="AD118" s="51" t="s">
        <v>44</v>
      </c>
      <c r="AE118" s="51">
        <f>SUM(AE113:AE117)</f>
        <v>0</v>
      </c>
      <c r="AF118" s="52"/>
      <c r="AG118" s="39"/>
      <c r="AH118" s="39"/>
      <c r="AI118" s="39"/>
    </row>
    <row r="119" spans="1:35">
      <c r="A119" s="53"/>
      <c r="B119" s="54"/>
      <c r="C119" s="55" t="s">
        <v>779</v>
      </c>
      <c r="D119" s="116"/>
      <c r="E119" s="3"/>
      <c r="F119" s="39"/>
      <c r="G119" s="39"/>
      <c r="H119" s="39"/>
      <c r="J119" s="53"/>
      <c r="K119" s="54"/>
      <c r="L119" s="55" t="s">
        <v>779</v>
      </c>
      <c r="M119" s="116"/>
      <c r="N119" s="3"/>
      <c r="O119" s="39"/>
      <c r="P119" s="39"/>
      <c r="Q119" s="39"/>
      <c r="S119" s="53"/>
      <c r="T119" s="54"/>
      <c r="U119" s="55" t="s">
        <v>779</v>
      </c>
      <c r="V119" s="116">
        <f>+V118-W109</f>
        <v>17200</v>
      </c>
      <c r="W119" s="3"/>
      <c r="X119" s="39"/>
      <c r="Y119" s="39"/>
      <c r="Z119" s="39"/>
      <c r="AB119" s="53"/>
      <c r="AC119" s="54"/>
      <c r="AD119" s="55" t="s">
        <v>779</v>
      </c>
      <c r="AE119" s="116"/>
      <c r="AF119" s="3"/>
      <c r="AG119" s="39"/>
      <c r="AH119" s="39"/>
      <c r="AI119" s="39"/>
    </row>
  </sheetData>
  <mergeCells count="92">
    <mergeCell ref="AB108:AD108"/>
    <mergeCell ref="AF108:AI108"/>
    <mergeCell ref="AB109:AD109"/>
    <mergeCell ref="AF109:AI109"/>
    <mergeCell ref="AB111:AF111"/>
    <mergeCell ref="AF81:AI81"/>
    <mergeCell ref="AB82:AI82"/>
    <mergeCell ref="AF98:AI98"/>
    <mergeCell ref="AB99:AI99"/>
    <mergeCell ref="AF107:AI107"/>
    <mergeCell ref="AB36:AE36"/>
    <mergeCell ref="AF36:AI36"/>
    <mergeCell ref="AB37:AI37"/>
    <mergeCell ref="AF47:AI47"/>
    <mergeCell ref="AB48:AI48"/>
    <mergeCell ref="AB3:AI3"/>
    <mergeCell ref="AB12:AH12"/>
    <mergeCell ref="AB13:AI13"/>
    <mergeCell ref="AB14:AB15"/>
    <mergeCell ref="AC14:AC15"/>
    <mergeCell ref="AD14:AD15"/>
    <mergeCell ref="AE14:AE15"/>
    <mergeCell ref="AF14:AI14"/>
    <mergeCell ref="S108:U108"/>
    <mergeCell ref="W108:Z108"/>
    <mergeCell ref="S109:U109"/>
    <mergeCell ref="W109:Z109"/>
    <mergeCell ref="S111:W111"/>
    <mergeCell ref="W81:Z81"/>
    <mergeCell ref="S82:Z82"/>
    <mergeCell ref="W98:Z98"/>
    <mergeCell ref="S99:Z99"/>
    <mergeCell ref="W107:Z107"/>
    <mergeCell ref="S36:V36"/>
    <mergeCell ref="W36:Z36"/>
    <mergeCell ref="S37:Z37"/>
    <mergeCell ref="W47:Z47"/>
    <mergeCell ref="S48:Z48"/>
    <mergeCell ref="S3:Z3"/>
    <mergeCell ref="S12:Y12"/>
    <mergeCell ref="S13:Z13"/>
    <mergeCell ref="S14:S15"/>
    <mergeCell ref="T14:T15"/>
    <mergeCell ref="U14:U15"/>
    <mergeCell ref="V14:V15"/>
    <mergeCell ref="W14:Z14"/>
    <mergeCell ref="J108:L108"/>
    <mergeCell ref="N108:Q108"/>
    <mergeCell ref="J109:L109"/>
    <mergeCell ref="N109:Q109"/>
    <mergeCell ref="J111:N111"/>
    <mergeCell ref="N81:Q81"/>
    <mergeCell ref="J82:Q82"/>
    <mergeCell ref="N98:Q98"/>
    <mergeCell ref="J99:Q99"/>
    <mergeCell ref="N107:Q107"/>
    <mergeCell ref="J36:M36"/>
    <mergeCell ref="N36:Q36"/>
    <mergeCell ref="J37:Q37"/>
    <mergeCell ref="N47:Q47"/>
    <mergeCell ref="J48:Q48"/>
    <mergeCell ref="J3:Q3"/>
    <mergeCell ref="J12:P12"/>
    <mergeCell ref="J13:Q13"/>
    <mergeCell ref="J14:J15"/>
    <mergeCell ref="K14:K15"/>
    <mergeCell ref="L14:L15"/>
    <mergeCell ref="M14:M15"/>
    <mergeCell ref="N14:Q14"/>
    <mergeCell ref="A3:H3"/>
    <mergeCell ref="A12:G12"/>
    <mergeCell ref="A13:H13"/>
    <mergeCell ref="A14:A15"/>
    <mergeCell ref="B14:B15"/>
    <mergeCell ref="C14:C15"/>
    <mergeCell ref="D14:D15"/>
    <mergeCell ref="E14:H14"/>
    <mergeCell ref="A82:H82"/>
    <mergeCell ref="E98:H98"/>
    <mergeCell ref="A99:H99"/>
    <mergeCell ref="E107:H107"/>
    <mergeCell ref="A36:D36"/>
    <mergeCell ref="E36:H36"/>
    <mergeCell ref="A37:H37"/>
    <mergeCell ref="E47:H47"/>
    <mergeCell ref="A48:H48"/>
    <mergeCell ref="E81:H81"/>
    <mergeCell ref="A108:C108"/>
    <mergeCell ref="E108:H108"/>
    <mergeCell ref="A109:C109"/>
    <mergeCell ref="E109:H109"/>
    <mergeCell ref="A111:E111"/>
  </mergeCells>
  <phoneticPr fontId="16" type="noConversion"/>
  <pageMargins left="0.23622047244094491" right="0.23622047244094491" top="0.55118110236220474" bottom="0.74803149606299213" header="0.31496062992125984" footer="0.31496062992125984"/>
  <pageSetup paperSize="9" scale="85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7084-08CF-4A16-ACEE-0F6CE08EC3AD}">
  <dimension ref="A1:L53"/>
  <sheetViews>
    <sheetView topLeftCell="A13" workbookViewId="0">
      <selection activeCell="A26" sqref="A26:B26"/>
    </sheetView>
  </sheetViews>
  <sheetFormatPr defaultRowHeight="15"/>
  <cols>
    <col min="1" max="1" width="59.85546875" bestFit="1" customWidth="1"/>
    <col min="2" max="2" width="12.5703125" style="77" bestFit="1" customWidth="1"/>
    <col min="3" max="3" width="26.5703125" bestFit="1" customWidth="1"/>
    <col min="4" max="4" width="10.5703125" style="77" bestFit="1" customWidth="1"/>
    <col min="5" max="5" width="32.5703125" bestFit="1" customWidth="1"/>
    <col min="6" max="6" width="11.5703125" bestFit="1" customWidth="1"/>
    <col min="7" max="7" width="60.85546875" bestFit="1" customWidth="1"/>
    <col min="8" max="8" width="12.5703125" bestFit="1" customWidth="1"/>
    <col min="9" max="9" width="19.5703125" bestFit="1" customWidth="1"/>
    <col min="10" max="10" width="10.5703125" bestFit="1" customWidth="1"/>
    <col min="12" max="12" width="12.5703125" bestFit="1" customWidth="1"/>
  </cols>
  <sheetData>
    <row r="1" spans="1:12">
      <c r="A1" t="s">
        <v>1468</v>
      </c>
    </row>
    <row r="3" spans="1:12">
      <c r="A3" s="57" t="s">
        <v>47</v>
      </c>
      <c r="B3" s="58"/>
      <c r="C3" s="58" t="s">
        <v>48</v>
      </c>
      <c r="D3" s="58"/>
      <c r="E3" s="58" t="s">
        <v>49</v>
      </c>
      <c r="F3" s="58"/>
      <c r="G3" s="542" t="s">
        <v>50</v>
      </c>
      <c r="H3" s="543"/>
      <c r="I3" s="58" t="s">
        <v>51</v>
      </c>
      <c r="J3" s="59"/>
    </row>
    <row r="4" spans="1:12">
      <c r="A4" s="22" t="s">
        <v>1476</v>
      </c>
      <c r="C4" s="120" t="s">
        <v>961</v>
      </c>
      <c r="D4" s="455">
        <v>150000</v>
      </c>
      <c r="E4" s="120" t="s">
        <v>1469</v>
      </c>
      <c r="F4" s="455">
        <v>695000</v>
      </c>
      <c r="G4" s="455" t="s">
        <v>1392</v>
      </c>
      <c r="H4" s="455">
        <v>500000</v>
      </c>
      <c r="I4" s="120" t="s">
        <v>1470</v>
      </c>
      <c r="J4" s="455">
        <v>225000</v>
      </c>
    </row>
    <row r="5" spans="1:12">
      <c r="A5" s="446"/>
      <c r="B5" s="446"/>
      <c r="C5" s="455" t="s">
        <v>1127</v>
      </c>
      <c r="D5" s="455">
        <v>450000</v>
      </c>
      <c r="E5" s="120"/>
      <c r="F5" s="455"/>
      <c r="G5" s="456" t="s">
        <v>1445</v>
      </c>
      <c r="H5" s="455">
        <v>125000</v>
      </c>
      <c r="I5" s="119"/>
      <c r="J5" s="120"/>
    </row>
    <row r="6" spans="1:12">
      <c r="A6" s="455"/>
      <c r="B6" s="455"/>
      <c r="C6" s="22" t="s">
        <v>1121</v>
      </c>
      <c r="D6" s="23">
        <v>450000</v>
      </c>
      <c r="E6" s="120" t="s">
        <v>1023</v>
      </c>
      <c r="F6" s="455">
        <v>611000</v>
      </c>
      <c r="G6" s="446" t="s">
        <v>1466</v>
      </c>
      <c r="H6" s="446">
        <v>645000</v>
      </c>
      <c r="I6" s="119"/>
      <c r="J6" s="120"/>
    </row>
    <row r="7" spans="1:12">
      <c r="A7" s="455"/>
      <c r="B7" s="455"/>
      <c r="C7" s="22" t="s">
        <v>1477</v>
      </c>
      <c r="D7" s="22">
        <v>200000</v>
      </c>
      <c r="E7" s="455" t="s">
        <v>1291</v>
      </c>
      <c r="F7" s="455">
        <v>8713000</v>
      </c>
      <c r="G7" s="24" t="s">
        <v>1396</v>
      </c>
      <c r="H7" s="23">
        <v>167800</v>
      </c>
      <c r="I7" s="119"/>
      <c r="J7" s="120"/>
    </row>
    <row r="8" spans="1:12">
      <c r="A8" s="455"/>
      <c r="B8" s="455"/>
      <c r="C8" s="120" t="s">
        <v>1449</v>
      </c>
      <c r="D8" s="455">
        <v>100000</v>
      </c>
      <c r="E8" s="455" t="s">
        <v>1175</v>
      </c>
      <c r="F8" s="455">
        <v>36000</v>
      </c>
      <c r="G8" s="24" t="s">
        <v>1395</v>
      </c>
      <c r="H8" s="23">
        <v>635000</v>
      </c>
      <c r="I8" s="119"/>
      <c r="J8" s="120"/>
    </row>
    <row r="9" spans="1:12">
      <c r="A9" s="455"/>
      <c r="B9" s="455"/>
      <c r="C9" s="455"/>
      <c r="D9" s="455"/>
      <c r="E9" s="455"/>
      <c r="F9" s="455"/>
      <c r="G9" s="23" t="s">
        <v>1459</v>
      </c>
      <c r="H9" s="23">
        <v>6280000</v>
      </c>
      <c r="I9" s="119"/>
      <c r="J9" s="120"/>
    </row>
    <row r="10" spans="1:12">
      <c r="A10" s="455"/>
      <c r="B10" s="455"/>
      <c r="C10" s="455"/>
      <c r="D10" s="455"/>
      <c r="E10" s="455"/>
      <c r="F10" s="455"/>
      <c r="G10" s="457"/>
      <c r="H10" s="454"/>
      <c r="I10" s="119"/>
      <c r="J10" s="120"/>
    </row>
    <row r="11" spans="1:12">
      <c r="A11" s="455"/>
      <c r="B11" s="455"/>
      <c r="C11" s="455"/>
      <c r="D11" s="455"/>
      <c r="E11" s="120"/>
      <c r="F11" s="455"/>
      <c r="G11" s="455"/>
      <c r="H11" s="455"/>
      <c r="I11" s="119"/>
      <c r="J11" s="120"/>
    </row>
    <row r="12" spans="1:12">
      <c r="A12" s="68"/>
      <c r="B12" s="69"/>
      <c r="C12" s="69"/>
      <c r="D12" s="69"/>
      <c r="E12" s="69"/>
      <c r="F12" s="69"/>
      <c r="G12" s="119"/>
      <c r="H12" s="120"/>
      <c r="I12" s="68"/>
      <c r="J12" s="69"/>
    </row>
    <row r="13" spans="1:12">
      <c r="A13" s="70"/>
      <c r="B13" s="71">
        <f>SUM(B4:B7)</f>
        <v>0</v>
      </c>
      <c r="C13" s="71">
        <f>SUM(C4:C7)</f>
        <v>0</v>
      </c>
      <c r="D13" s="71">
        <f>SUM(D4:D8)</f>
        <v>1350000</v>
      </c>
      <c r="E13" s="71">
        <f>SUM(E4:E7)</f>
        <v>0</v>
      </c>
      <c r="F13" s="71">
        <f>SUM(F4:F12)</f>
        <v>10055000</v>
      </c>
      <c r="G13" s="71">
        <f>SUM(G4:G7)</f>
        <v>0</v>
      </c>
      <c r="H13" s="71">
        <f>SUM(H4:H12)</f>
        <v>8352800</v>
      </c>
      <c r="I13" s="71">
        <f>SUM(I4:I7)</f>
        <v>0</v>
      </c>
      <c r="J13" s="71">
        <f>SUM(J4:J7)</f>
        <v>225000</v>
      </c>
      <c r="L13" s="72">
        <f>+D13+F13+H13</f>
        <v>19757800</v>
      </c>
    </row>
    <row r="14" spans="1:12">
      <c r="C14" t="s">
        <v>1471</v>
      </c>
      <c r="D14" s="77">
        <v>100000</v>
      </c>
      <c r="H14" s="77"/>
    </row>
    <row r="15" spans="1:12">
      <c r="C15" t="s">
        <v>1208</v>
      </c>
      <c r="D15" s="77">
        <f>+D13-D14</f>
        <v>1250000</v>
      </c>
      <c r="G15" t="s">
        <v>1482</v>
      </c>
      <c r="H15" s="77">
        <f>+H7+H8</f>
        <v>802800</v>
      </c>
    </row>
    <row r="16" spans="1:12">
      <c r="H16" s="77"/>
    </row>
    <row r="17" spans="1:10">
      <c r="B17" s="77">
        <f>+B13+D13+F13+H13+J13</f>
        <v>19982800</v>
      </c>
    </row>
    <row r="18" spans="1:10">
      <c r="B18" s="77">
        <v>19982800</v>
      </c>
    </row>
    <row r="19" spans="1:10">
      <c r="A19" t="s">
        <v>1481</v>
      </c>
      <c r="B19" s="77">
        <f>+B18-B17</f>
        <v>0</v>
      </c>
    </row>
    <row r="21" spans="1:10">
      <c r="A21" s="57" t="s">
        <v>47</v>
      </c>
      <c r="B21" s="58"/>
      <c r="C21" s="58" t="s">
        <v>48</v>
      </c>
      <c r="D21" s="58"/>
      <c r="E21" s="58" t="s">
        <v>49</v>
      </c>
      <c r="F21" s="58"/>
      <c r="G21" s="540" t="s">
        <v>50</v>
      </c>
      <c r="H21" s="541"/>
      <c r="I21" s="58" t="s">
        <v>51</v>
      </c>
      <c r="J21" s="59"/>
    </row>
    <row r="22" spans="1:10">
      <c r="A22" s="22"/>
      <c r="B22" s="22"/>
      <c r="C22" s="14" t="s">
        <v>1408</v>
      </c>
      <c r="D22" s="15">
        <v>500000</v>
      </c>
      <c r="E22" s="15"/>
      <c r="F22" s="23"/>
      <c r="G22" s="14" t="s">
        <v>1242</v>
      </c>
      <c r="H22" s="15">
        <v>1250000</v>
      </c>
      <c r="I22" s="14" t="s">
        <v>1215</v>
      </c>
      <c r="J22" s="15">
        <v>1600000</v>
      </c>
    </row>
    <row r="23" spans="1:10">
      <c r="A23" s="22"/>
      <c r="B23" s="22"/>
      <c r="C23" s="22"/>
      <c r="D23" s="22"/>
      <c r="E23" s="15"/>
      <c r="F23" s="23"/>
      <c r="G23" s="14" t="s">
        <v>1349</v>
      </c>
      <c r="H23" s="15">
        <f>60000*7</f>
        <v>420000</v>
      </c>
      <c r="I23" s="14" t="s">
        <v>1380</v>
      </c>
      <c r="J23" s="15">
        <v>175000</v>
      </c>
    </row>
    <row r="24" spans="1:10">
      <c r="A24" s="22"/>
      <c r="B24" s="22"/>
      <c r="C24" s="22"/>
      <c r="D24" s="22"/>
      <c r="E24" s="15"/>
      <c r="F24" s="23"/>
      <c r="G24" s="14" t="s">
        <v>1348</v>
      </c>
      <c r="H24" s="15">
        <f>300000*7</f>
        <v>2100000</v>
      </c>
      <c r="I24" s="14" t="s">
        <v>1404</v>
      </c>
      <c r="J24" s="15">
        <v>300000</v>
      </c>
    </row>
    <row r="25" spans="1:10">
      <c r="A25" s="22" t="s">
        <v>1274</v>
      </c>
      <c r="B25" s="22">
        <v>5615000</v>
      </c>
      <c r="C25" s="22"/>
      <c r="D25" s="22"/>
      <c r="E25" s="15"/>
      <c r="F25" s="23"/>
      <c r="G25" s="14" t="s">
        <v>686</v>
      </c>
      <c r="H25" s="15">
        <v>450000</v>
      </c>
      <c r="I25" s="14" t="s">
        <v>1465</v>
      </c>
      <c r="J25" s="15">
        <v>2000000</v>
      </c>
    </row>
    <row r="26" spans="1:10">
      <c r="A26" s="22"/>
      <c r="B26" s="22"/>
      <c r="C26" s="22"/>
      <c r="D26" s="22"/>
      <c r="E26" s="15"/>
      <c r="F26" s="23"/>
      <c r="G26" s="14" t="s">
        <v>1311</v>
      </c>
      <c r="H26" s="15">
        <v>150000</v>
      </c>
      <c r="I26" s="14"/>
      <c r="J26" s="15"/>
    </row>
    <row r="27" spans="1:10">
      <c r="A27" s="23" t="s">
        <v>1278</v>
      </c>
      <c r="B27" s="23">
        <v>4020000</v>
      </c>
      <c r="C27" s="22"/>
      <c r="D27" s="22"/>
      <c r="E27" s="15"/>
      <c r="F27" s="23"/>
      <c r="G27" s="14" t="s">
        <v>802</v>
      </c>
      <c r="H27" s="15">
        <v>185000</v>
      </c>
      <c r="I27" s="14"/>
      <c r="J27" s="15"/>
    </row>
    <row r="28" spans="1:10">
      <c r="A28" s="22"/>
      <c r="B28" s="22"/>
      <c r="C28" s="22"/>
      <c r="D28" s="22"/>
      <c r="E28" s="15"/>
      <c r="F28" s="23"/>
      <c r="G28" s="14" t="s">
        <v>1429</v>
      </c>
      <c r="H28" s="15">
        <v>1194000</v>
      </c>
      <c r="I28" s="14"/>
      <c r="J28" s="15"/>
    </row>
    <row r="29" spans="1:10">
      <c r="A29" s="22"/>
      <c r="B29" s="22"/>
      <c r="C29" s="22"/>
      <c r="D29" s="22"/>
      <c r="E29" s="15"/>
      <c r="F29" s="23"/>
      <c r="G29" s="14" t="s">
        <v>1005</v>
      </c>
      <c r="H29" s="15">
        <v>202500</v>
      </c>
      <c r="I29" s="14"/>
      <c r="J29" s="15"/>
    </row>
    <row r="30" spans="1:10">
      <c r="A30" s="22"/>
      <c r="B30" s="22"/>
      <c r="C30" s="22"/>
      <c r="D30" s="22"/>
      <c r="E30" s="15"/>
      <c r="F30" s="23"/>
      <c r="G30" s="14" t="s">
        <v>1003</v>
      </c>
      <c r="H30" s="15">
        <v>450500</v>
      </c>
      <c r="I30" s="14"/>
      <c r="J30" s="15"/>
    </row>
    <row r="31" spans="1:10">
      <c r="A31" s="22"/>
      <c r="B31" s="22"/>
      <c r="C31" s="23"/>
      <c r="D31" s="23"/>
      <c r="E31" s="15"/>
      <c r="F31" s="23"/>
      <c r="G31" s="14" t="s">
        <v>1430</v>
      </c>
      <c r="H31" s="15">
        <v>503500</v>
      </c>
      <c r="I31" s="14"/>
      <c r="J31" s="15"/>
    </row>
    <row r="32" spans="1:10">
      <c r="A32" s="22"/>
      <c r="B32" s="22"/>
      <c r="C32" s="23"/>
      <c r="D32" s="23"/>
      <c r="E32" s="23"/>
      <c r="F32" s="23"/>
      <c r="G32" s="14" t="s">
        <v>1431</v>
      </c>
      <c r="H32" s="15">
        <v>600000</v>
      </c>
      <c r="I32" s="14"/>
      <c r="J32" s="15"/>
    </row>
    <row r="33" spans="1:10">
      <c r="A33" s="23"/>
      <c r="B33" s="23"/>
      <c r="C33" s="23"/>
      <c r="D33" s="23"/>
      <c r="E33" s="23"/>
      <c r="F33" s="23"/>
      <c r="G33" s="14" t="s">
        <v>1433</v>
      </c>
      <c r="H33" s="15">
        <v>504000</v>
      </c>
      <c r="I33" s="14"/>
      <c r="J33" s="15"/>
    </row>
    <row r="34" spans="1:10">
      <c r="A34" s="23"/>
      <c r="B34" s="23"/>
      <c r="C34" s="23"/>
      <c r="D34" s="23"/>
      <c r="E34" s="23"/>
      <c r="F34" s="23"/>
      <c r="G34" s="22" t="s">
        <v>1383</v>
      </c>
      <c r="H34" s="22">
        <v>2249000</v>
      </c>
      <c r="I34" s="14"/>
      <c r="J34" s="15"/>
    </row>
    <row r="35" spans="1:10">
      <c r="A35" s="23"/>
      <c r="B35" s="23"/>
      <c r="C35" s="23"/>
      <c r="D35" s="23"/>
      <c r="E35" s="23"/>
      <c r="F35" s="23"/>
      <c r="G35" s="22" t="s">
        <v>1384</v>
      </c>
      <c r="H35" s="22">
        <v>9220000</v>
      </c>
      <c r="I35" s="14"/>
      <c r="J35" s="15"/>
    </row>
    <row r="36" spans="1:10">
      <c r="A36" s="23"/>
      <c r="B36" s="23"/>
      <c r="C36" s="23"/>
      <c r="D36" s="23"/>
      <c r="E36" s="23"/>
      <c r="F36" s="23"/>
      <c r="G36" s="23" t="s">
        <v>1409</v>
      </c>
      <c r="H36" s="23">
        <v>1600000</v>
      </c>
      <c r="I36" s="14"/>
      <c r="J36" s="15"/>
    </row>
    <row r="37" spans="1:10">
      <c r="A37" s="23"/>
      <c r="B37" s="23"/>
      <c r="C37" s="23"/>
      <c r="D37" s="23"/>
      <c r="E37" s="23"/>
      <c r="F37" s="23"/>
      <c r="G37" s="22" t="s">
        <v>1275</v>
      </c>
      <c r="H37" s="22">
        <v>40000000</v>
      </c>
      <c r="I37" s="14"/>
      <c r="J37" s="15"/>
    </row>
    <row r="38" spans="1:10">
      <c r="A38" s="23"/>
      <c r="B38" s="23"/>
      <c r="C38" s="23"/>
      <c r="D38" s="23"/>
      <c r="E38" s="23"/>
      <c r="F38" s="23"/>
      <c r="G38" s="22" t="s">
        <v>1276</v>
      </c>
      <c r="H38" s="22">
        <v>10000000</v>
      </c>
      <c r="I38" s="14"/>
      <c r="J38" s="15"/>
    </row>
    <row r="39" spans="1:10">
      <c r="A39" s="23"/>
      <c r="B39" s="23"/>
      <c r="C39" s="23"/>
      <c r="D39" s="23"/>
      <c r="E39" s="23"/>
      <c r="F39" s="23"/>
      <c r="G39" s="23" t="s">
        <v>1282</v>
      </c>
      <c r="H39" s="23">
        <v>10000000</v>
      </c>
      <c r="I39" s="14"/>
      <c r="J39" s="15"/>
    </row>
    <row r="40" spans="1:10">
      <c r="A40" s="23"/>
      <c r="B40" s="23"/>
      <c r="C40" s="23"/>
      <c r="D40" s="23"/>
      <c r="E40" s="23"/>
      <c r="F40" s="23"/>
      <c r="G40" s="23" t="s">
        <v>1284</v>
      </c>
      <c r="H40" s="23">
        <v>20000000</v>
      </c>
      <c r="I40" s="14"/>
      <c r="J40" s="15"/>
    </row>
    <row r="41" spans="1:10">
      <c r="A41" s="23"/>
      <c r="B41" s="23"/>
      <c r="C41" s="23"/>
      <c r="D41" s="23"/>
      <c r="E41" s="23"/>
      <c r="F41" s="23"/>
      <c r="G41" s="23" t="s">
        <v>1405</v>
      </c>
      <c r="H41" s="22">
        <v>10000000</v>
      </c>
      <c r="I41" s="14"/>
      <c r="J41" s="15"/>
    </row>
    <row r="42" spans="1:10">
      <c r="A42" s="23"/>
      <c r="B42" s="23"/>
      <c r="C42" s="23"/>
      <c r="D42" s="23"/>
      <c r="E42" s="23"/>
      <c r="F42" s="23"/>
      <c r="G42" s="24" t="s">
        <v>1397</v>
      </c>
      <c r="H42" s="23">
        <v>125000</v>
      </c>
      <c r="I42" s="14"/>
      <c r="J42" s="15"/>
    </row>
    <row r="43" spans="1:10">
      <c r="A43" s="23"/>
      <c r="B43" s="23"/>
      <c r="C43" s="23"/>
      <c r="D43" s="23"/>
      <c r="E43" s="23"/>
      <c r="F43" s="23"/>
      <c r="G43" s="24" t="s">
        <v>1398</v>
      </c>
      <c r="H43" s="23">
        <v>3393000</v>
      </c>
      <c r="I43" s="14"/>
      <c r="J43" s="15"/>
    </row>
    <row r="44" spans="1:10">
      <c r="A44" s="23"/>
      <c r="B44" s="23"/>
      <c r="C44" s="23"/>
      <c r="D44" s="23"/>
      <c r="E44" s="23"/>
      <c r="F44" s="23"/>
      <c r="G44" s="24" t="s">
        <v>1440</v>
      </c>
      <c r="H44" s="23">
        <v>292500</v>
      </c>
      <c r="I44" s="14"/>
      <c r="J44" s="15"/>
    </row>
    <row r="45" spans="1:10">
      <c r="A45" s="23"/>
      <c r="B45" s="23"/>
      <c r="C45" s="23"/>
      <c r="D45" s="23"/>
      <c r="E45" s="23"/>
      <c r="F45" s="23"/>
      <c r="G45" s="24" t="s">
        <v>1296</v>
      </c>
      <c r="H45" s="23">
        <v>5000</v>
      </c>
      <c r="I45" s="14"/>
      <c r="J45" s="15"/>
    </row>
    <row r="46" spans="1:10">
      <c r="A46" s="23"/>
      <c r="B46" s="23"/>
      <c r="C46" s="23"/>
      <c r="D46" s="23"/>
      <c r="E46" s="23"/>
      <c r="F46" s="23"/>
      <c r="G46" s="22" t="s">
        <v>1457</v>
      </c>
      <c r="H46" s="22">
        <v>1715000</v>
      </c>
      <c r="I46" s="14"/>
      <c r="J46" s="15"/>
    </row>
    <row r="47" spans="1:10">
      <c r="A47" s="23"/>
      <c r="B47" s="23"/>
      <c r="C47" s="23"/>
      <c r="D47" s="23"/>
      <c r="E47" s="23"/>
      <c r="F47" s="23"/>
      <c r="G47" s="22" t="s">
        <v>1463</v>
      </c>
      <c r="H47" s="453">
        <v>5554517</v>
      </c>
      <c r="I47" s="14"/>
      <c r="J47" s="15"/>
    </row>
    <row r="48" spans="1:10">
      <c r="A48" s="23"/>
      <c r="B48" s="23"/>
      <c r="C48" s="23"/>
      <c r="D48" s="23"/>
      <c r="E48" s="23"/>
      <c r="F48" s="23"/>
      <c r="G48" s="22" t="s">
        <v>1478</v>
      </c>
      <c r="H48" s="22">
        <v>1000000</v>
      </c>
      <c r="I48" s="14"/>
      <c r="J48" s="15"/>
    </row>
    <row r="49" spans="1:12">
      <c r="A49" s="68"/>
      <c r="B49" s="69"/>
      <c r="C49" s="69"/>
      <c r="D49" s="69"/>
      <c r="E49" s="69"/>
      <c r="F49" s="69"/>
      <c r="G49" s="22" t="s">
        <v>1475</v>
      </c>
      <c r="H49" s="22">
        <v>758000</v>
      </c>
      <c r="I49" s="68"/>
      <c r="J49" s="69"/>
    </row>
    <row r="50" spans="1:12">
      <c r="A50" s="70"/>
      <c r="B50" s="71">
        <f t="shared" ref="B50:I50" si="0">SUM(B22:B48)</f>
        <v>9635000</v>
      </c>
      <c r="C50" s="71">
        <f t="shared" si="0"/>
        <v>0</v>
      </c>
      <c r="D50" s="71">
        <f t="shared" si="0"/>
        <v>500000</v>
      </c>
      <c r="E50" s="71">
        <f t="shared" si="0"/>
        <v>0</v>
      </c>
      <c r="F50" s="71">
        <f t="shared" si="0"/>
        <v>0</v>
      </c>
      <c r="G50" s="71">
        <f t="shared" si="0"/>
        <v>0</v>
      </c>
      <c r="H50" s="71">
        <f>SUM(H22:H49)</f>
        <v>123921517</v>
      </c>
      <c r="I50" s="71">
        <f t="shared" si="0"/>
        <v>0</v>
      </c>
      <c r="J50" s="71">
        <f>SUM(J22:J49)</f>
        <v>4075000</v>
      </c>
      <c r="L50" s="72">
        <f>B50+H50+D50+J50</f>
        <v>138131517</v>
      </c>
    </row>
    <row r="51" spans="1:12">
      <c r="H51" s="77"/>
    </row>
    <row r="52" spans="1:12">
      <c r="G52" s="447" t="s">
        <v>8</v>
      </c>
      <c r="H52" s="77">
        <f>+H22+H23+H24+H25+H26+H27+H28+H29+H30+H31+H32+H33</f>
        <v>8009500</v>
      </c>
    </row>
    <row r="53" spans="1:12">
      <c r="G53" s="447" t="s">
        <v>1482</v>
      </c>
      <c r="H53" s="72">
        <f>+H42+H43+H44</f>
        <v>3810500</v>
      </c>
    </row>
  </sheetData>
  <mergeCells count="2">
    <mergeCell ref="G3:H3"/>
    <mergeCell ref="G21:H2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B11A-1B50-4364-82B1-9D6D59F66074}">
  <dimension ref="A1:S125"/>
  <sheetViews>
    <sheetView topLeftCell="D28" workbookViewId="0">
      <selection activeCell="J53" sqref="J53"/>
    </sheetView>
  </sheetViews>
  <sheetFormatPr defaultRowHeight="15"/>
  <cols>
    <col min="1" max="1" width="4.7109375" customWidth="1"/>
    <col min="3" max="3" width="61.5703125" customWidth="1"/>
    <col min="4" max="4" width="12.5703125" bestFit="1" customWidth="1"/>
    <col min="5" max="5" width="6.85546875" customWidth="1"/>
    <col min="6" max="6" width="6.28515625" bestFit="1" customWidth="1"/>
    <col min="7" max="7" width="6" bestFit="1" customWidth="1"/>
    <col min="8" max="8" width="11" bestFit="1" customWidth="1"/>
    <col min="10" max="10" width="4.7109375" customWidth="1"/>
    <col min="12" max="12" width="61.5703125" customWidth="1"/>
    <col min="13" max="13" width="12.5703125" bestFit="1" customWidth="1"/>
    <col min="14" max="14" width="6.85546875" customWidth="1"/>
    <col min="15" max="15" width="6.28515625" bestFit="1" customWidth="1"/>
    <col min="16" max="16" width="6" bestFit="1" customWidth="1"/>
    <col min="17" max="17" width="11" bestFit="1" customWidth="1"/>
    <col min="18" max="19" width="11.5703125" bestFit="1" customWidth="1"/>
  </cols>
  <sheetData>
    <row r="1" spans="1:17" ht="15.75">
      <c r="A1" s="347" t="s">
        <v>0</v>
      </c>
      <c r="B1" s="2"/>
      <c r="C1" s="3"/>
      <c r="D1" s="3"/>
      <c r="E1" s="3"/>
      <c r="F1" s="3"/>
      <c r="G1" s="3"/>
      <c r="H1" s="3"/>
      <c r="J1" s="347" t="s">
        <v>0</v>
      </c>
      <c r="K1" s="2"/>
      <c r="L1" s="3"/>
      <c r="M1" s="3"/>
      <c r="N1" s="3"/>
      <c r="O1" s="3"/>
      <c r="P1" s="3"/>
      <c r="Q1" s="3"/>
    </row>
    <row r="2" spans="1:17" ht="15.75">
      <c r="A2" s="347" t="s">
        <v>1532</v>
      </c>
      <c r="B2" s="2"/>
      <c r="C2" s="3"/>
      <c r="D2" s="3"/>
      <c r="E2" s="3"/>
      <c r="F2" s="3"/>
      <c r="G2" s="3"/>
      <c r="H2" s="3"/>
      <c r="J2" s="347" t="s">
        <v>1532</v>
      </c>
      <c r="K2" s="2"/>
      <c r="L2" s="3"/>
      <c r="M2" s="3"/>
      <c r="N2" s="3"/>
      <c r="O2" s="3"/>
      <c r="P2" s="3"/>
      <c r="Q2" s="3"/>
    </row>
    <row r="3" spans="1:17">
      <c r="A3" s="534" t="s">
        <v>1</v>
      </c>
      <c r="B3" s="534"/>
      <c r="C3" s="534"/>
      <c r="D3" s="534"/>
      <c r="E3" s="534"/>
      <c r="F3" s="534"/>
      <c r="G3" s="534"/>
      <c r="H3" s="534"/>
      <c r="J3" s="534" t="s">
        <v>1</v>
      </c>
      <c r="K3" s="534"/>
      <c r="L3" s="534"/>
      <c r="M3" s="534"/>
      <c r="N3" s="534"/>
      <c r="O3" s="534"/>
      <c r="P3" s="534"/>
      <c r="Q3" s="534"/>
    </row>
    <row r="4" spans="1:17">
      <c r="A4" s="4"/>
      <c r="B4" s="5"/>
      <c r="C4" s="6" t="s">
        <v>2</v>
      </c>
      <c r="D4" s="77">
        <v>0</v>
      </c>
      <c r="E4" s="6"/>
      <c r="F4" s="6"/>
      <c r="G4" s="6"/>
      <c r="H4" s="6"/>
      <c r="J4" s="4"/>
      <c r="K4" s="5"/>
      <c r="L4" s="6" t="s">
        <v>2</v>
      </c>
      <c r="M4" s="77">
        <v>0</v>
      </c>
      <c r="N4" s="6"/>
      <c r="O4" s="6"/>
      <c r="P4" s="6"/>
      <c r="Q4" s="6"/>
    </row>
    <row r="5" spans="1:17">
      <c r="A5" s="4"/>
      <c r="B5" s="5"/>
      <c r="C5" s="6" t="s">
        <v>590</v>
      </c>
      <c r="D5" s="7">
        <v>0</v>
      </c>
      <c r="E5" s="6"/>
      <c r="F5" s="6"/>
      <c r="G5" s="6"/>
      <c r="H5" s="6"/>
      <c r="J5" s="4"/>
      <c r="K5" s="5"/>
      <c r="L5" s="6" t="s">
        <v>590</v>
      </c>
      <c r="M5" s="7">
        <v>0</v>
      </c>
      <c r="N5" s="6"/>
      <c r="O5" s="6"/>
      <c r="P5" s="6"/>
      <c r="Q5" s="6"/>
    </row>
    <row r="6" spans="1:17">
      <c r="A6" s="4"/>
      <c r="B6" s="5"/>
      <c r="C6" s="6" t="s">
        <v>3</v>
      </c>
      <c r="D6" s="8">
        <v>33490815</v>
      </c>
      <c r="E6" s="6"/>
      <c r="F6" s="6"/>
      <c r="G6" s="6"/>
      <c r="H6" s="6"/>
      <c r="J6" s="4"/>
      <c r="K6" s="5"/>
      <c r="L6" s="6" t="s">
        <v>3</v>
      </c>
      <c r="M6" s="8">
        <v>3000000</v>
      </c>
      <c r="N6" s="6"/>
      <c r="O6" s="6"/>
      <c r="P6" s="6"/>
      <c r="Q6" s="6"/>
    </row>
    <row r="7" spans="1:17">
      <c r="A7" s="4"/>
      <c r="B7" s="5"/>
      <c r="C7" s="6" t="s">
        <v>4</v>
      </c>
      <c r="D7" s="115">
        <v>1139810</v>
      </c>
      <c r="E7" s="6"/>
      <c r="F7" s="6"/>
      <c r="G7" s="6"/>
      <c r="H7" s="6"/>
      <c r="J7" s="4"/>
      <c r="K7" s="5"/>
      <c r="L7" s="6" t="s">
        <v>4</v>
      </c>
      <c r="M7" s="115">
        <v>1139810</v>
      </c>
      <c r="N7" s="6"/>
      <c r="O7" s="6"/>
      <c r="P7" s="6"/>
      <c r="Q7" s="6"/>
    </row>
    <row r="8" spans="1:17">
      <c r="A8" s="4"/>
      <c r="B8" s="5"/>
      <c r="C8" s="6" t="s">
        <v>5</v>
      </c>
      <c r="D8" s="6">
        <v>1146153</v>
      </c>
      <c r="E8" s="6"/>
      <c r="F8" s="6"/>
      <c r="G8" s="6"/>
      <c r="H8" s="6"/>
      <c r="J8" s="4"/>
      <c r="K8" s="5"/>
      <c r="L8" s="6" t="s">
        <v>5</v>
      </c>
      <c r="M8" s="6">
        <v>1146153</v>
      </c>
      <c r="N8" s="6"/>
      <c r="O8" s="6"/>
      <c r="P8" s="6"/>
      <c r="Q8" s="6"/>
    </row>
    <row r="9" spans="1:17">
      <c r="A9" s="4"/>
      <c r="B9" s="5"/>
      <c r="C9" s="6" t="s">
        <v>6</v>
      </c>
      <c r="D9" s="6">
        <v>3297735.5133333281</v>
      </c>
      <c r="E9" s="6"/>
      <c r="F9" s="6"/>
      <c r="G9" s="6"/>
      <c r="H9" s="6"/>
      <c r="J9" s="4"/>
      <c r="K9" s="5"/>
      <c r="L9" s="6" t="s">
        <v>6</v>
      </c>
      <c r="M9" s="6">
        <v>3297735.5133333281</v>
      </c>
      <c r="N9" s="6"/>
      <c r="O9" s="6"/>
      <c r="P9" s="6"/>
      <c r="Q9" s="6"/>
    </row>
    <row r="10" spans="1:17">
      <c r="A10" s="4"/>
      <c r="B10" s="5"/>
      <c r="C10" s="6" t="s">
        <v>7</v>
      </c>
      <c r="D10" s="6">
        <v>2363662</v>
      </c>
      <c r="E10" s="6"/>
      <c r="F10" s="6"/>
      <c r="G10" s="6"/>
      <c r="H10" s="6"/>
      <c r="J10" s="4"/>
      <c r="K10" s="5"/>
      <c r="L10" s="6" t="s">
        <v>7</v>
      </c>
      <c r="M10" s="6">
        <v>2363662</v>
      </c>
      <c r="N10" s="6"/>
      <c r="O10" s="6"/>
      <c r="P10" s="6"/>
      <c r="Q10" s="6"/>
    </row>
    <row r="11" spans="1:17">
      <c r="A11" s="4"/>
      <c r="B11" s="5"/>
      <c r="C11" s="6"/>
      <c r="D11" s="6"/>
      <c r="E11" s="6"/>
      <c r="F11" s="6"/>
      <c r="G11" s="6"/>
      <c r="H11" s="6"/>
      <c r="J11" s="4"/>
      <c r="K11" s="5"/>
      <c r="L11" s="6"/>
      <c r="M11" s="6"/>
      <c r="N11" s="6"/>
      <c r="O11" s="6"/>
      <c r="P11" s="6"/>
      <c r="Q11" s="6"/>
    </row>
    <row r="12" spans="1:17">
      <c r="A12" s="531" t="s">
        <v>1071</v>
      </c>
      <c r="B12" s="532"/>
      <c r="C12" s="532"/>
      <c r="D12" s="532"/>
      <c r="E12" s="532"/>
      <c r="F12" s="532"/>
      <c r="G12" s="533"/>
      <c r="H12" s="10">
        <f>SUM(D4:D10)</f>
        <v>41438175.513333328</v>
      </c>
      <c r="J12" s="531" t="s">
        <v>1071</v>
      </c>
      <c r="K12" s="532"/>
      <c r="L12" s="532"/>
      <c r="M12" s="532"/>
      <c r="N12" s="532"/>
      <c r="O12" s="532"/>
      <c r="P12" s="533"/>
      <c r="Q12" s="10">
        <f>SUM(M4:M10)</f>
        <v>10947360.513333328</v>
      </c>
    </row>
    <row r="13" spans="1:17">
      <c r="A13" s="535" t="s">
        <v>8</v>
      </c>
      <c r="B13" s="535"/>
      <c r="C13" s="535"/>
      <c r="D13" s="535"/>
      <c r="E13" s="535"/>
      <c r="F13" s="535"/>
      <c r="G13" s="535"/>
      <c r="H13" s="535"/>
      <c r="J13" s="535" t="s">
        <v>8</v>
      </c>
      <c r="K13" s="535"/>
      <c r="L13" s="535"/>
      <c r="M13" s="535"/>
      <c r="N13" s="535"/>
      <c r="O13" s="535"/>
      <c r="P13" s="535"/>
      <c r="Q13" s="535"/>
    </row>
    <row r="14" spans="1:17">
      <c r="A14" s="536" t="s">
        <v>9</v>
      </c>
      <c r="B14" s="537" t="s">
        <v>10</v>
      </c>
      <c r="C14" s="538" t="s">
        <v>11</v>
      </c>
      <c r="D14" s="538" t="s">
        <v>12</v>
      </c>
      <c r="E14" s="530" t="s">
        <v>13</v>
      </c>
      <c r="F14" s="530"/>
      <c r="G14" s="530"/>
      <c r="H14" s="530"/>
      <c r="J14" s="536" t="s">
        <v>9</v>
      </c>
      <c r="K14" s="537" t="s">
        <v>10</v>
      </c>
      <c r="L14" s="538" t="s">
        <v>11</v>
      </c>
      <c r="M14" s="538" t="s">
        <v>12</v>
      </c>
      <c r="N14" s="530" t="s">
        <v>13</v>
      </c>
      <c r="O14" s="530"/>
      <c r="P14" s="530"/>
      <c r="Q14" s="530"/>
    </row>
    <row r="15" spans="1:17">
      <c r="A15" s="536"/>
      <c r="B15" s="537"/>
      <c r="C15" s="538"/>
      <c r="D15" s="538"/>
      <c r="E15" s="461" t="s">
        <v>14</v>
      </c>
      <c r="F15" s="461" t="s">
        <v>15</v>
      </c>
      <c r="G15" s="461" t="s">
        <v>16</v>
      </c>
      <c r="H15" s="461" t="s">
        <v>17</v>
      </c>
      <c r="J15" s="536"/>
      <c r="K15" s="537"/>
      <c r="L15" s="538"/>
      <c r="M15" s="538"/>
      <c r="N15" s="465" t="s">
        <v>14</v>
      </c>
      <c r="O15" s="465" t="s">
        <v>15</v>
      </c>
      <c r="P15" s="465" t="s">
        <v>16</v>
      </c>
      <c r="Q15" s="465" t="s">
        <v>17</v>
      </c>
    </row>
    <row r="16" spans="1:17">
      <c r="A16" s="12"/>
      <c r="B16" s="19" t="s">
        <v>1214</v>
      </c>
      <c r="C16" s="14" t="s">
        <v>1215</v>
      </c>
      <c r="D16" s="15">
        <v>1600000</v>
      </c>
      <c r="E16" s="16"/>
      <c r="F16" s="16"/>
      <c r="G16" s="16"/>
      <c r="H16" s="16"/>
      <c r="J16" s="12"/>
      <c r="K16" s="19" t="s">
        <v>1214</v>
      </c>
      <c r="L16" s="14" t="s">
        <v>1215</v>
      </c>
      <c r="M16" s="15"/>
      <c r="N16" s="16"/>
      <c r="O16" s="16"/>
      <c r="P16" s="16"/>
      <c r="Q16" s="16"/>
    </row>
    <row r="17" spans="1:17">
      <c r="A17" s="12"/>
      <c r="B17" s="19" t="s">
        <v>1214</v>
      </c>
      <c r="C17" s="14" t="s">
        <v>1242</v>
      </c>
      <c r="D17" s="15">
        <v>1250000</v>
      </c>
      <c r="E17" s="16"/>
      <c r="F17" s="16"/>
      <c r="G17" s="16"/>
      <c r="H17" s="16"/>
      <c r="J17" s="12"/>
      <c r="K17" s="19" t="s">
        <v>1214</v>
      </c>
      <c r="L17" s="14" t="s">
        <v>1242</v>
      </c>
      <c r="M17" s="15"/>
      <c r="N17" s="16"/>
      <c r="O17" s="16"/>
      <c r="P17" s="16"/>
      <c r="Q17" s="16"/>
    </row>
    <row r="18" spans="1:17">
      <c r="A18" s="12"/>
      <c r="B18" s="19" t="s">
        <v>1347</v>
      </c>
      <c r="C18" s="14" t="s">
        <v>1349</v>
      </c>
      <c r="D18" s="15">
        <f>60000*7</f>
        <v>420000</v>
      </c>
      <c r="E18" s="16"/>
      <c r="F18" s="16"/>
      <c r="G18" s="16"/>
      <c r="H18" s="16"/>
      <c r="J18" s="12"/>
      <c r="K18" s="19" t="s">
        <v>1347</v>
      </c>
      <c r="L18" s="14" t="s">
        <v>1349</v>
      </c>
      <c r="M18" s="15"/>
      <c r="N18" s="16"/>
      <c r="O18" s="16"/>
      <c r="P18" s="16"/>
      <c r="Q18" s="16"/>
    </row>
    <row r="19" spans="1:17">
      <c r="A19" s="12"/>
      <c r="B19" s="19" t="s">
        <v>1347</v>
      </c>
      <c r="C19" s="14" t="s">
        <v>1348</v>
      </c>
      <c r="D19" s="15">
        <f>300000*7</f>
        <v>2100000</v>
      </c>
      <c r="E19" s="16"/>
      <c r="F19" s="16"/>
      <c r="G19" s="16"/>
      <c r="H19" s="16"/>
      <c r="J19" s="12"/>
      <c r="K19" s="19" t="s">
        <v>1347</v>
      </c>
      <c r="L19" s="14" t="s">
        <v>1348</v>
      </c>
      <c r="M19" s="15"/>
      <c r="N19" s="16"/>
      <c r="O19" s="16"/>
      <c r="P19" s="16"/>
      <c r="Q19" s="16"/>
    </row>
    <row r="20" spans="1:17">
      <c r="A20" s="12"/>
      <c r="B20" s="19" t="s">
        <v>1379</v>
      </c>
      <c r="C20" s="14" t="s">
        <v>1380</v>
      </c>
      <c r="D20" s="15">
        <v>175000</v>
      </c>
      <c r="E20" s="16"/>
      <c r="F20" s="16"/>
      <c r="G20" s="16"/>
      <c r="H20" s="16"/>
      <c r="J20" s="12"/>
      <c r="K20" s="19" t="s">
        <v>1379</v>
      </c>
      <c r="L20" s="14" t="s">
        <v>1380</v>
      </c>
      <c r="M20" s="15"/>
      <c r="N20" s="16"/>
      <c r="O20" s="16"/>
      <c r="P20" s="16"/>
      <c r="Q20" s="16"/>
    </row>
    <row r="21" spans="1:17">
      <c r="A21" s="12"/>
      <c r="B21" s="19" t="s">
        <v>1379</v>
      </c>
      <c r="C21" s="14" t="s">
        <v>1408</v>
      </c>
      <c r="D21" s="15">
        <v>500000</v>
      </c>
      <c r="E21" s="16"/>
      <c r="F21" s="16"/>
      <c r="G21" s="16"/>
      <c r="H21" s="16"/>
      <c r="J21" s="12"/>
      <c r="K21" s="19" t="s">
        <v>1379</v>
      </c>
      <c r="L21" s="14" t="s">
        <v>1408</v>
      </c>
      <c r="M21" s="15"/>
      <c r="N21" s="16"/>
      <c r="O21" s="16"/>
      <c r="P21" s="16"/>
      <c r="Q21" s="16"/>
    </row>
    <row r="22" spans="1:17">
      <c r="A22" s="12"/>
      <c r="B22" s="19" t="s">
        <v>1379</v>
      </c>
      <c r="C22" s="14" t="s">
        <v>1404</v>
      </c>
      <c r="D22" s="15">
        <v>300000</v>
      </c>
      <c r="E22" s="16"/>
      <c r="F22" s="16"/>
      <c r="G22" s="16"/>
      <c r="H22" s="16"/>
      <c r="J22" s="12"/>
      <c r="K22" s="19" t="s">
        <v>1379</v>
      </c>
      <c r="L22" s="14" t="s">
        <v>1404</v>
      </c>
      <c r="M22" s="15"/>
      <c r="N22" s="16"/>
      <c r="O22" s="16"/>
      <c r="P22" s="16"/>
      <c r="Q22" s="16"/>
    </row>
    <row r="23" spans="1:17">
      <c r="A23" s="12"/>
      <c r="B23" s="19" t="s">
        <v>1428</v>
      </c>
      <c r="C23" s="14" t="s">
        <v>686</v>
      </c>
      <c r="D23" s="15">
        <v>450000</v>
      </c>
      <c r="E23" s="16"/>
      <c r="F23" s="16"/>
      <c r="G23" s="16"/>
      <c r="H23" s="16"/>
      <c r="J23" s="12"/>
      <c r="K23" s="19" t="s">
        <v>1428</v>
      </c>
      <c r="L23" s="14" t="s">
        <v>686</v>
      </c>
      <c r="M23" s="15"/>
      <c r="N23" s="16"/>
      <c r="O23" s="16"/>
      <c r="P23" s="16"/>
      <c r="Q23" s="16"/>
    </row>
    <row r="24" spans="1:17">
      <c r="A24" s="12"/>
      <c r="B24" s="19" t="s">
        <v>1428</v>
      </c>
      <c r="C24" s="14" t="s">
        <v>1311</v>
      </c>
      <c r="D24" s="15">
        <v>150000</v>
      </c>
      <c r="E24" s="16"/>
      <c r="F24" s="16"/>
      <c r="G24" s="16"/>
      <c r="H24" s="16"/>
      <c r="J24" s="12"/>
      <c r="K24" s="19" t="s">
        <v>1428</v>
      </c>
      <c r="L24" s="14" t="s">
        <v>1311</v>
      </c>
      <c r="M24" s="15"/>
      <c r="N24" s="16"/>
      <c r="O24" s="16"/>
      <c r="P24" s="16"/>
      <c r="Q24" s="16"/>
    </row>
    <row r="25" spans="1:17">
      <c r="A25" s="12"/>
      <c r="B25" s="19" t="s">
        <v>1428</v>
      </c>
      <c r="C25" s="14" t="s">
        <v>802</v>
      </c>
      <c r="D25" s="15">
        <v>185000</v>
      </c>
      <c r="E25" s="16"/>
      <c r="F25" s="16"/>
      <c r="G25" s="16"/>
      <c r="H25" s="16"/>
      <c r="J25" s="12"/>
      <c r="K25" s="19" t="s">
        <v>1428</v>
      </c>
      <c r="L25" s="14" t="s">
        <v>802</v>
      </c>
      <c r="M25" s="15"/>
      <c r="N25" s="16"/>
      <c r="O25" s="16"/>
      <c r="P25" s="16"/>
      <c r="Q25" s="16"/>
    </row>
    <row r="26" spans="1:17">
      <c r="A26" s="12"/>
      <c r="B26" s="19" t="s">
        <v>1428</v>
      </c>
      <c r="C26" s="14" t="s">
        <v>1429</v>
      </c>
      <c r="D26" s="15">
        <v>1194000</v>
      </c>
      <c r="E26" s="16"/>
      <c r="F26" s="16"/>
      <c r="G26" s="16"/>
      <c r="H26" s="16"/>
      <c r="J26" s="12"/>
      <c r="K26" s="19" t="s">
        <v>1428</v>
      </c>
      <c r="L26" s="14" t="s">
        <v>1429</v>
      </c>
      <c r="M26" s="15"/>
      <c r="N26" s="16"/>
      <c r="O26" s="16"/>
      <c r="P26" s="16"/>
      <c r="Q26" s="16"/>
    </row>
    <row r="27" spans="1:17">
      <c r="A27" s="12"/>
      <c r="B27" s="19" t="s">
        <v>1428</v>
      </c>
      <c r="C27" s="14" t="s">
        <v>1005</v>
      </c>
      <c r="D27" s="15">
        <v>202500</v>
      </c>
      <c r="E27" s="16"/>
      <c r="F27" s="16"/>
      <c r="G27" s="16"/>
      <c r="H27" s="16"/>
      <c r="J27" s="12"/>
      <c r="K27" s="19" t="s">
        <v>1428</v>
      </c>
      <c r="L27" s="14" t="s">
        <v>1005</v>
      </c>
      <c r="M27" s="15"/>
      <c r="N27" s="16"/>
      <c r="O27" s="16"/>
      <c r="P27" s="16"/>
      <c r="Q27" s="16"/>
    </row>
    <row r="28" spans="1:17">
      <c r="A28" s="12"/>
      <c r="B28" s="19" t="s">
        <v>1428</v>
      </c>
      <c r="C28" s="14" t="s">
        <v>1003</v>
      </c>
      <c r="D28" s="15">
        <v>450500</v>
      </c>
      <c r="E28" s="16"/>
      <c r="F28" s="16"/>
      <c r="G28" s="16"/>
      <c r="H28" s="16"/>
      <c r="J28" s="12"/>
      <c r="K28" s="19" t="s">
        <v>1428</v>
      </c>
      <c r="L28" s="14" t="s">
        <v>1003</v>
      </c>
      <c r="M28" s="15"/>
      <c r="N28" s="16"/>
      <c r="O28" s="16"/>
      <c r="P28" s="16"/>
      <c r="Q28" s="16"/>
    </row>
    <row r="29" spans="1:17">
      <c r="A29" s="12"/>
      <c r="B29" s="19" t="s">
        <v>1428</v>
      </c>
      <c r="C29" s="14" t="s">
        <v>1430</v>
      </c>
      <c r="D29" s="15">
        <v>503500</v>
      </c>
      <c r="E29" s="16"/>
      <c r="F29" s="16"/>
      <c r="G29" s="16"/>
      <c r="H29" s="16"/>
      <c r="J29" s="12"/>
      <c r="K29" s="19" t="s">
        <v>1428</v>
      </c>
      <c r="L29" s="14" t="s">
        <v>1430</v>
      </c>
      <c r="M29" s="15"/>
      <c r="N29" s="16"/>
      <c r="O29" s="16"/>
      <c r="P29" s="16"/>
      <c r="Q29" s="16"/>
    </row>
    <row r="30" spans="1:17">
      <c r="A30" s="12"/>
      <c r="B30" s="19" t="s">
        <v>1428</v>
      </c>
      <c r="C30" s="14" t="s">
        <v>1431</v>
      </c>
      <c r="D30" s="15">
        <v>600000</v>
      </c>
      <c r="E30" s="16"/>
      <c r="F30" s="16"/>
      <c r="G30" s="16"/>
      <c r="H30" s="16"/>
      <c r="J30" s="12"/>
      <c r="K30" s="19" t="s">
        <v>1428</v>
      </c>
      <c r="L30" s="14" t="s">
        <v>1431</v>
      </c>
      <c r="M30" s="15"/>
      <c r="N30" s="16"/>
      <c r="O30" s="16"/>
      <c r="P30" s="16"/>
      <c r="Q30" s="16"/>
    </row>
    <row r="31" spans="1:17">
      <c r="A31" s="12"/>
      <c r="B31" s="19" t="s">
        <v>1432</v>
      </c>
      <c r="C31" s="14" t="s">
        <v>1433</v>
      </c>
      <c r="D31" s="15">
        <v>504000</v>
      </c>
      <c r="E31" s="16"/>
      <c r="F31" s="16"/>
      <c r="G31" s="16"/>
      <c r="H31" s="16"/>
      <c r="J31" s="12"/>
      <c r="K31" s="19" t="s">
        <v>1432</v>
      </c>
      <c r="L31" s="14" t="s">
        <v>1433</v>
      </c>
      <c r="M31" s="15"/>
      <c r="N31" s="16"/>
      <c r="O31" s="16"/>
      <c r="P31" s="16"/>
      <c r="Q31" s="16"/>
    </row>
    <row r="32" spans="1:17">
      <c r="A32" s="12"/>
      <c r="B32" s="19" t="s">
        <v>1444</v>
      </c>
      <c r="C32" s="14" t="s">
        <v>1465</v>
      </c>
      <c r="D32" s="15">
        <v>2000000</v>
      </c>
      <c r="E32" s="16"/>
      <c r="F32" s="16"/>
      <c r="G32" s="16"/>
      <c r="H32" s="16"/>
      <c r="J32" s="12"/>
      <c r="K32" s="19" t="s">
        <v>1444</v>
      </c>
      <c r="L32" s="14" t="s">
        <v>1465</v>
      </c>
      <c r="M32" s="15"/>
      <c r="N32" s="16"/>
      <c r="O32" s="16"/>
      <c r="P32" s="16"/>
      <c r="Q32" s="16"/>
    </row>
    <row r="33" spans="1:17">
      <c r="A33" s="12"/>
      <c r="B33" s="19" t="s">
        <v>1444</v>
      </c>
      <c r="C33" s="14" t="s">
        <v>1531</v>
      </c>
      <c r="D33" s="15">
        <v>600000</v>
      </c>
      <c r="E33" s="16"/>
      <c r="F33" s="16"/>
      <c r="G33" s="16"/>
      <c r="H33" s="16"/>
      <c r="J33" s="12"/>
      <c r="K33" s="19" t="s">
        <v>1444</v>
      </c>
      <c r="L33" s="14" t="s">
        <v>1531</v>
      </c>
      <c r="M33" s="15">
        <v>600000</v>
      </c>
      <c r="N33" s="16"/>
      <c r="O33" s="16"/>
      <c r="P33" s="16"/>
      <c r="Q33" s="16"/>
    </row>
    <row r="34" spans="1:17">
      <c r="A34" s="18"/>
      <c r="B34" s="19"/>
      <c r="C34" s="461" t="s">
        <v>20</v>
      </c>
      <c r="D34" s="10">
        <f>SUM(D16:D33)</f>
        <v>13184500</v>
      </c>
      <c r="E34" s="10"/>
      <c r="F34" s="10"/>
      <c r="G34" s="10"/>
      <c r="H34" s="10"/>
      <c r="J34" s="18"/>
      <c r="K34" s="19"/>
      <c r="L34" s="465" t="s">
        <v>20</v>
      </c>
      <c r="M34" s="10">
        <f>SUM(M16:M33)</f>
        <v>600000</v>
      </c>
      <c r="N34" s="10"/>
      <c r="O34" s="10"/>
      <c r="P34" s="10"/>
      <c r="Q34" s="10"/>
    </row>
    <row r="35" spans="1:17">
      <c r="A35" s="20"/>
      <c r="B35" s="459"/>
      <c r="C35" s="152" t="s">
        <v>21</v>
      </c>
      <c r="D35" s="150"/>
      <c r="E35" s="150"/>
      <c r="F35" s="150"/>
      <c r="G35" s="151"/>
      <c r="H35" s="21">
        <f>+D34</f>
        <v>13184500</v>
      </c>
      <c r="J35" s="20"/>
      <c r="K35" s="466"/>
      <c r="L35" s="152" t="s">
        <v>21</v>
      </c>
      <c r="M35" s="150"/>
      <c r="N35" s="150"/>
      <c r="O35" s="150"/>
      <c r="P35" s="151"/>
      <c r="Q35" s="21">
        <f>+M34</f>
        <v>600000</v>
      </c>
    </row>
    <row r="36" spans="1:17">
      <c r="A36" s="526" t="s">
        <v>22</v>
      </c>
      <c r="B36" s="526"/>
      <c r="C36" s="526"/>
      <c r="D36" s="526"/>
      <c r="E36" s="526">
        <f>+H35</f>
        <v>13184500</v>
      </c>
      <c r="F36" s="526"/>
      <c r="G36" s="526"/>
      <c r="H36" s="526"/>
      <c r="J36" s="526" t="s">
        <v>22</v>
      </c>
      <c r="K36" s="526"/>
      <c r="L36" s="526"/>
      <c r="M36" s="526"/>
      <c r="N36" s="526">
        <f>+Q35</f>
        <v>600000</v>
      </c>
      <c r="O36" s="526"/>
      <c r="P36" s="526"/>
      <c r="Q36" s="526"/>
    </row>
    <row r="37" spans="1:17">
      <c r="A37" s="524" t="s">
        <v>23</v>
      </c>
      <c r="B37" s="524"/>
      <c r="C37" s="524"/>
      <c r="D37" s="524"/>
      <c r="E37" s="524"/>
      <c r="F37" s="524"/>
      <c r="G37" s="524"/>
      <c r="H37" s="524"/>
      <c r="J37" s="524" t="s">
        <v>23</v>
      </c>
      <c r="K37" s="524"/>
      <c r="L37" s="524"/>
      <c r="M37" s="524"/>
      <c r="N37" s="524"/>
      <c r="O37" s="524"/>
      <c r="P37" s="524"/>
      <c r="Q37" s="524"/>
    </row>
    <row r="38" spans="1:17">
      <c r="A38" s="12"/>
      <c r="B38" s="13" t="s">
        <v>1509</v>
      </c>
      <c r="C38" s="15" t="s">
        <v>1508</v>
      </c>
      <c r="D38" s="23">
        <v>180000</v>
      </c>
      <c r="E38" s="22"/>
      <c r="F38" s="22"/>
      <c r="G38" s="16"/>
      <c r="H38" s="16"/>
      <c r="J38" s="12"/>
      <c r="K38" s="13" t="s">
        <v>1509</v>
      </c>
      <c r="L38" s="15" t="s">
        <v>1508</v>
      </c>
      <c r="M38" s="23">
        <v>180000</v>
      </c>
      <c r="N38" s="22"/>
      <c r="O38" s="22"/>
      <c r="P38" s="16"/>
      <c r="Q38" s="16"/>
    </row>
    <row r="39" spans="1:17">
      <c r="A39" s="12"/>
      <c r="B39" s="13" t="s">
        <v>1510</v>
      </c>
      <c r="C39" s="15" t="s">
        <v>1023</v>
      </c>
      <c r="D39" s="23">
        <v>630000</v>
      </c>
      <c r="E39" s="22"/>
      <c r="F39" s="22"/>
      <c r="G39" s="16"/>
      <c r="H39" s="16"/>
      <c r="J39" s="12"/>
      <c r="K39" s="13" t="s">
        <v>1510</v>
      </c>
      <c r="L39" s="15" t="s">
        <v>1023</v>
      </c>
      <c r="M39" s="23">
        <v>630000</v>
      </c>
      <c r="N39" s="22"/>
      <c r="O39" s="22"/>
      <c r="P39" s="16"/>
      <c r="Q39" s="16"/>
    </row>
    <row r="40" spans="1:17">
      <c r="A40" s="12"/>
      <c r="B40" s="13"/>
      <c r="C40" s="15"/>
      <c r="D40" s="23"/>
      <c r="E40" s="22"/>
      <c r="F40" s="22"/>
      <c r="G40" s="16"/>
      <c r="H40" s="16"/>
      <c r="J40" s="12"/>
      <c r="K40" s="13"/>
      <c r="L40" s="15"/>
      <c r="M40" s="23"/>
      <c r="N40" s="22"/>
      <c r="O40" s="22"/>
      <c r="P40" s="16"/>
      <c r="Q40" s="16"/>
    </row>
    <row r="41" spans="1:17">
      <c r="A41" s="25"/>
      <c r="B41" s="19"/>
      <c r="C41" s="26" t="s">
        <v>24</v>
      </c>
      <c r="D41" s="27">
        <f>SUM(D38:D40)</f>
        <v>810000</v>
      </c>
      <c r="E41" s="27"/>
      <c r="F41" s="27"/>
      <c r="G41" s="27"/>
      <c r="H41" s="27"/>
      <c r="J41" s="25"/>
      <c r="K41" s="19"/>
      <c r="L41" s="26" t="s">
        <v>24</v>
      </c>
      <c r="M41" s="27">
        <f>SUM(M38:M40)</f>
        <v>810000</v>
      </c>
      <c r="N41" s="27"/>
      <c r="O41" s="27"/>
      <c r="P41" s="27"/>
      <c r="Q41" s="27"/>
    </row>
    <row r="42" spans="1:17">
      <c r="A42" s="20"/>
      <c r="B42" s="19"/>
      <c r="C42" s="461" t="s">
        <v>21</v>
      </c>
      <c r="D42" s="10"/>
      <c r="E42" s="530">
        <f>D41</f>
        <v>810000</v>
      </c>
      <c r="F42" s="530"/>
      <c r="G42" s="530"/>
      <c r="H42" s="530"/>
      <c r="J42" s="20"/>
      <c r="K42" s="19"/>
      <c r="L42" s="465" t="s">
        <v>21</v>
      </c>
      <c r="M42" s="10"/>
      <c r="N42" s="530">
        <f>M41</f>
        <v>810000</v>
      </c>
      <c r="O42" s="530"/>
      <c r="P42" s="530"/>
      <c r="Q42" s="530"/>
    </row>
    <row r="43" spans="1:17">
      <c r="A43" s="524" t="s">
        <v>1280</v>
      </c>
      <c r="B43" s="524"/>
      <c r="C43" s="524"/>
      <c r="D43" s="524"/>
      <c r="E43" s="524"/>
      <c r="F43" s="524"/>
      <c r="G43" s="524"/>
      <c r="H43" s="524"/>
      <c r="J43" s="524" t="s">
        <v>1280</v>
      </c>
      <c r="K43" s="524"/>
      <c r="L43" s="524"/>
      <c r="M43" s="524"/>
      <c r="N43" s="524"/>
      <c r="O43" s="524"/>
      <c r="P43" s="524"/>
      <c r="Q43" s="524"/>
    </row>
    <row r="44" spans="1:17">
      <c r="A44" s="12"/>
      <c r="B44" s="23" t="s">
        <v>1393</v>
      </c>
      <c r="C44" s="22" t="s">
        <v>1483</v>
      </c>
      <c r="D44" s="22">
        <v>2249000</v>
      </c>
      <c r="E44" s="461"/>
      <c r="F44" s="461"/>
      <c r="G44" s="461"/>
      <c r="H44" s="461"/>
      <c r="J44" s="12"/>
      <c r="K44" s="23" t="s">
        <v>1393</v>
      </c>
      <c r="L44" s="22" t="s">
        <v>1483</v>
      </c>
      <c r="M44" s="22"/>
      <c r="N44" s="465"/>
      <c r="O44" s="465"/>
      <c r="P44" s="465"/>
      <c r="Q44" s="465"/>
    </row>
    <row r="45" spans="1:17">
      <c r="A45" s="12"/>
      <c r="B45" s="23" t="s">
        <v>1393</v>
      </c>
      <c r="C45" s="22" t="s">
        <v>1384</v>
      </c>
      <c r="D45" s="22">
        <v>9220000</v>
      </c>
      <c r="E45" s="461"/>
      <c r="F45" s="461"/>
      <c r="G45" s="461"/>
      <c r="H45" s="461"/>
      <c r="J45" s="12"/>
      <c r="K45" s="23" t="s">
        <v>1393</v>
      </c>
      <c r="L45" s="22" t="s">
        <v>1384</v>
      </c>
      <c r="M45" s="22"/>
      <c r="N45" s="465"/>
      <c r="O45" s="465"/>
      <c r="P45" s="465"/>
      <c r="Q45" s="465"/>
    </row>
    <row r="46" spans="1:17">
      <c r="A46" s="12"/>
      <c r="B46" s="23" t="s">
        <v>1391</v>
      </c>
      <c r="C46" s="22" t="s">
        <v>1434</v>
      </c>
      <c r="D46" s="22">
        <v>300000</v>
      </c>
      <c r="E46" s="461"/>
      <c r="F46" s="461"/>
      <c r="G46" s="461"/>
      <c r="H46" s="461"/>
      <c r="J46" s="12"/>
      <c r="K46" s="23" t="s">
        <v>1391</v>
      </c>
      <c r="L46" s="22" t="s">
        <v>1434</v>
      </c>
      <c r="M46" s="22"/>
      <c r="N46" s="465"/>
      <c r="O46" s="465"/>
      <c r="P46" s="465"/>
      <c r="Q46" s="465"/>
    </row>
    <row r="47" spans="1:17">
      <c r="A47" s="12"/>
      <c r="B47" s="23" t="s">
        <v>1391</v>
      </c>
      <c r="C47" s="22" t="s">
        <v>1484</v>
      </c>
      <c r="D47" s="22">
        <v>500000</v>
      </c>
      <c r="E47" s="461"/>
      <c r="F47" s="461"/>
      <c r="G47" s="461"/>
      <c r="H47" s="461"/>
      <c r="J47" s="12"/>
      <c r="K47" s="23" t="s">
        <v>1391</v>
      </c>
      <c r="L47" s="22" t="s">
        <v>1484</v>
      </c>
      <c r="M47" s="22"/>
      <c r="N47" s="465"/>
      <c r="O47" s="465"/>
      <c r="P47" s="465"/>
      <c r="Q47" s="465"/>
    </row>
    <row r="48" spans="1:17">
      <c r="A48" s="12"/>
      <c r="B48" s="23" t="s">
        <v>1391</v>
      </c>
      <c r="C48" s="22" t="s">
        <v>1485</v>
      </c>
      <c r="D48" s="22">
        <v>500000</v>
      </c>
      <c r="E48" s="461"/>
      <c r="F48" s="461"/>
      <c r="G48" s="461"/>
      <c r="H48" s="461"/>
      <c r="J48" s="12"/>
      <c r="K48" s="23" t="s">
        <v>1391</v>
      </c>
      <c r="L48" s="22" t="s">
        <v>1485</v>
      </c>
      <c r="M48" s="22"/>
      <c r="N48" s="465"/>
      <c r="O48" s="465"/>
      <c r="P48" s="465"/>
      <c r="Q48" s="465"/>
    </row>
    <row r="49" spans="1:17">
      <c r="A49" s="12"/>
      <c r="B49" s="23" t="s">
        <v>1391</v>
      </c>
      <c r="C49" s="22" t="s">
        <v>1486</v>
      </c>
      <c r="D49" s="22">
        <v>1500000</v>
      </c>
      <c r="E49" s="461"/>
      <c r="F49" s="461"/>
      <c r="G49" s="461"/>
      <c r="H49" s="461"/>
      <c r="J49" s="12"/>
      <c r="K49" s="23" t="s">
        <v>1391</v>
      </c>
      <c r="L49" s="22" t="s">
        <v>1486</v>
      </c>
      <c r="M49" s="22"/>
      <c r="N49" s="465"/>
      <c r="O49" s="465"/>
      <c r="P49" s="465"/>
      <c r="Q49" s="465"/>
    </row>
    <row r="50" spans="1:17">
      <c r="A50" s="12"/>
      <c r="B50" s="23" t="s">
        <v>1391</v>
      </c>
      <c r="C50" s="22" t="s">
        <v>1487</v>
      </c>
      <c r="D50" s="22">
        <v>231000</v>
      </c>
      <c r="E50" s="461"/>
      <c r="F50" s="461"/>
      <c r="G50" s="461"/>
      <c r="H50" s="461"/>
      <c r="J50" s="12"/>
      <c r="K50" s="23" t="s">
        <v>1391</v>
      </c>
      <c r="L50" s="22" t="s">
        <v>1487</v>
      </c>
      <c r="M50" s="22"/>
      <c r="N50" s="465"/>
      <c r="O50" s="465"/>
      <c r="P50" s="465"/>
      <c r="Q50" s="465"/>
    </row>
    <row r="51" spans="1:17">
      <c r="A51" s="12"/>
      <c r="B51" s="23" t="s">
        <v>1394</v>
      </c>
      <c r="C51" s="23" t="s">
        <v>1488</v>
      </c>
      <c r="D51" s="23">
        <v>1600000</v>
      </c>
      <c r="E51" s="461"/>
      <c r="F51" s="461"/>
      <c r="G51" s="461"/>
      <c r="H51" s="461"/>
      <c r="J51" s="12"/>
      <c r="K51" s="23" t="s">
        <v>1394</v>
      </c>
      <c r="L51" s="23" t="s">
        <v>1488</v>
      </c>
      <c r="M51" s="23"/>
      <c r="N51" s="465"/>
      <c r="O51" s="465"/>
      <c r="P51" s="465"/>
      <c r="Q51" s="465"/>
    </row>
    <row r="52" spans="1:17">
      <c r="A52" s="12"/>
      <c r="B52" s="23" t="s">
        <v>1437</v>
      </c>
      <c r="C52" s="22" t="s">
        <v>1489</v>
      </c>
      <c r="D52" s="22">
        <v>40000000</v>
      </c>
      <c r="E52" s="461"/>
      <c r="F52" s="461"/>
      <c r="G52" s="461"/>
      <c r="H52" s="461"/>
      <c r="J52" s="12"/>
      <c r="K52" s="23" t="s">
        <v>1437</v>
      </c>
      <c r="L52" s="22" t="s">
        <v>1489</v>
      </c>
      <c r="M52" s="22"/>
      <c r="N52" s="465"/>
      <c r="O52" s="465"/>
      <c r="P52" s="465"/>
      <c r="Q52" s="465"/>
    </row>
    <row r="53" spans="1:17">
      <c r="A53" s="12"/>
      <c r="B53" s="23" t="s">
        <v>1437</v>
      </c>
      <c r="C53" s="22" t="s">
        <v>1490</v>
      </c>
      <c r="D53" s="22">
        <v>1320000</v>
      </c>
      <c r="E53" s="461"/>
      <c r="F53" s="461"/>
      <c r="G53" s="461"/>
      <c r="H53" s="461"/>
      <c r="J53" s="12"/>
      <c r="K53" s="23" t="s">
        <v>1437</v>
      </c>
      <c r="L53" s="22" t="s">
        <v>1490</v>
      </c>
      <c r="M53" s="22"/>
      <c r="N53" s="465"/>
      <c r="O53" s="465"/>
      <c r="P53" s="465"/>
      <c r="Q53" s="465"/>
    </row>
    <row r="54" spans="1:17">
      <c r="A54" s="12"/>
      <c r="B54" s="23" t="s">
        <v>1437</v>
      </c>
      <c r="C54" s="23" t="s">
        <v>1491</v>
      </c>
      <c r="D54" s="23">
        <v>300000</v>
      </c>
      <c r="E54" s="461"/>
      <c r="F54" s="461"/>
      <c r="G54" s="461"/>
      <c r="H54" s="461"/>
      <c r="J54" s="12"/>
      <c r="K54" s="23" t="s">
        <v>1437</v>
      </c>
      <c r="L54" s="23" t="s">
        <v>1491</v>
      </c>
      <c r="M54" s="23"/>
      <c r="N54" s="465"/>
      <c r="O54" s="465"/>
      <c r="P54" s="465"/>
      <c r="Q54" s="465"/>
    </row>
    <row r="55" spans="1:17">
      <c r="A55" s="12"/>
      <c r="B55" s="23" t="s">
        <v>1437</v>
      </c>
      <c r="C55" s="22" t="s">
        <v>1492</v>
      </c>
      <c r="D55" s="22">
        <v>363000</v>
      </c>
      <c r="E55" s="461"/>
      <c r="F55" s="461"/>
      <c r="G55" s="461"/>
      <c r="H55" s="461"/>
      <c r="J55" s="12"/>
      <c r="K55" s="23" t="s">
        <v>1437</v>
      </c>
      <c r="L55" s="22" t="s">
        <v>1492</v>
      </c>
      <c r="M55" s="22"/>
      <c r="N55" s="465"/>
      <c r="O55" s="465"/>
      <c r="P55" s="465"/>
      <c r="Q55" s="465"/>
    </row>
    <row r="56" spans="1:17">
      <c r="A56" s="12"/>
      <c r="B56" s="23" t="s">
        <v>1438</v>
      </c>
      <c r="C56" s="22" t="s">
        <v>1493</v>
      </c>
      <c r="D56" s="22">
        <v>25000000</v>
      </c>
      <c r="E56" s="461"/>
      <c r="F56" s="461"/>
      <c r="G56" s="461"/>
      <c r="H56" s="461"/>
      <c r="J56" s="12"/>
      <c r="K56" s="23" t="s">
        <v>1438</v>
      </c>
      <c r="L56" s="22" t="s">
        <v>1493</v>
      </c>
      <c r="M56" s="22"/>
      <c r="N56" s="465"/>
      <c r="O56" s="465"/>
      <c r="P56" s="465"/>
      <c r="Q56" s="465"/>
    </row>
    <row r="57" spans="1:17">
      <c r="A57" s="12"/>
      <c r="B57" s="23" t="s">
        <v>1438</v>
      </c>
      <c r="C57" s="23" t="s">
        <v>1494</v>
      </c>
      <c r="D57" s="23">
        <v>10000000</v>
      </c>
      <c r="E57" s="461"/>
      <c r="F57" s="461"/>
      <c r="G57" s="461"/>
      <c r="H57" s="461"/>
      <c r="J57" s="12"/>
      <c r="K57" s="23" t="s">
        <v>1438</v>
      </c>
      <c r="L57" s="23" t="s">
        <v>1494</v>
      </c>
      <c r="M57" s="23"/>
      <c r="N57" s="465"/>
      <c r="O57" s="465"/>
      <c r="P57" s="465"/>
      <c r="Q57" s="465"/>
    </row>
    <row r="58" spans="1:17">
      <c r="A58" s="12"/>
      <c r="B58" s="23" t="s">
        <v>1438</v>
      </c>
      <c r="C58" s="23" t="s">
        <v>1495</v>
      </c>
      <c r="D58" s="23">
        <v>5800000</v>
      </c>
      <c r="E58" s="461"/>
      <c r="F58" s="461"/>
      <c r="G58" s="461"/>
      <c r="H58" s="461"/>
      <c r="J58" s="12"/>
      <c r="K58" s="23" t="s">
        <v>1438</v>
      </c>
      <c r="L58" s="23" t="s">
        <v>1495</v>
      </c>
      <c r="M58" s="23"/>
      <c r="N58" s="465"/>
      <c r="O58" s="465"/>
      <c r="P58" s="465"/>
      <c r="Q58" s="465"/>
    </row>
    <row r="59" spans="1:17">
      <c r="A59" s="12"/>
      <c r="B59" s="23" t="s">
        <v>1438</v>
      </c>
      <c r="C59" s="23" t="s">
        <v>1496</v>
      </c>
      <c r="D59" s="23">
        <v>20000000</v>
      </c>
      <c r="E59" s="461"/>
      <c r="F59" s="461"/>
      <c r="G59" s="461"/>
      <c r="H59" s="461"/>
      <c r="J59" s="12"/>
      <c r="K59" s="23" t="s">
        <v>1438</v>
      </c>
      <c r="L59" s="23" t="s">
        <v>1496</v>
      </c>
      <c r="M59" s="23"/>
      <c r="N59" s="465"/>
      <c r="O59" s="465"/>
      <c r="P59" s="465"/>
      <c r="Q59" s="465"/>
    </row>
    <row r="60" spans="1:17">
      <c r="A60" s="12"/>
      <c r="B60" s="23" t="s">
        <v>1438</v>
      </c>
      <c r="C60" s="23" t="s">
        <v>1497</v>
      </c>
      <c r="D60" s="22">
        <v>5000000</v>
      </c>
      <c r="E60" s="461"/>
      <c r="F60" s="461"/>
      <c r="G60" s="461"/>
      <c r="H60" s="461"/>
      <c r="J60" s="12"/>
      <c r="K60" s="23" t="s">
        <v>1438</v>
      </c>
      <c r="L60" s="23" t="s">
        <v>1497</v>
      </c>
      <c r="M60" s="22"/>
      <c r="N60" s="465"/>
      <c r="O60" s="465"/>
      <c r="P60" s="465"/>
      <c r="Q60" s="465"/>
    </row>
    <row r="61" spans="1:17">
      <c r="A61" s="12"/>
      <c r="B61" s="23" t="s">
        <v>1399</v>
      </c>
      <c r="C61" s="24" t="s">
        <v>1498</v>
      </c>
      <c r="D61" s="23">
        <v>125000</v>
      </c>
      <c r="E61" s="22"/>
      <c r="F61" s="22"/>
      <c r="G61" s="16"/>
      <c r="H61" s="16"/>
      <c r="J61" s="12"/>
      <c r="K61" s="23" t="s">
        <v>1399</v>
      </c>
      <c r="L61" s="24" t="s">
        <v>1498</v>
      </c>
      <c r="M61" s="23">
        <v>125000</v>
      </c>
      <c r="N61" s="22"/>
      <c r="O61" s="22"/>
      <c r="P61" s="16"/>
      <c r="Q61" s="16"/>
    </row>
    <row r="62" spans="1:17">
      <c r="A62" s="12"/>
      <c r="B62" s="23" t="s">
        <v>1399</v>
      </c>
      <c r="C62" s="24" t="s">
        <v>1499</v>
      </c>
      <c r="D62" s="23">
        <v>3393000</v>
      </c>
      <c r="E62" s="22"/>
      <c r="F62" s="22"/>
      <c r="G62" s="16"/>
      <c r="H62" s="16"/>
      <c r="J62" s="12"/>
      <c r="K62" s="23" t="s">
        <v>1399</v>
      </c>
      <c r="L62" s="24" t="s">
        <v>1499</v>
      </c>
      <c r="M62" s="23">
        <v>3393000</v>
      </c>
      <c r="N62" s="22"/>
      <c r="O62" s="22"/>
      <c r="P62" s="16"/>
      <c r="Q62" s="16"/>
    </row>
    <row r="63" spans="1:17">
      <c r="A63" s="12"/>
      <c r="B63" s="23" t="s">
        <v>1439</v>
      </c>
      <c r="C63" s="24" t="s">
        <v>1500</v>
      </c>
      <c r="D63" s="23">
        <v>292500</v>
      </c>
      <c r="E63" s="22"/>
      <c r="F63" s="22"/>
      <c r="G63" s="16"/>
      <c r="H63" s="16"/>
      <c r="J63" s="12"/>
      <c r="K63" s="23" t="s">
        <v>1439</v>
      </c>
      <c r="L63" s="24" t="s">
        <v>1500</v>
      </c>
      <c r="M63" s="23">
        <v>292500</v>
      </c>
      <c r="N63" s="22"/>
      <c r="O63" s="22"/>
      <c r="P63" s="16"/>
      <c r="Q63" s="16"/>
    </row>
    <row r="64" spans="1:17" ht="18" customHeight="1">
      <c r="A64" s="12"/>
      <c r="B64" s="23" t="s">
        <v>1441</v>
      </c>
      <c r="C64" s="24" t="s">
        <v>1501</v>
      </c>
      <c r="D64" s="23">
        <v>5000</v>
      </c>
      <c r="E64" s="22"/>
      <c r="F64" s="22"/>
      <c r="G64" s="16"/>
      <c r="H64" s="16"/>
      <c r="J64" s="12"/>
      <c r="K64" s="23" t="s">
        <v>1441</v>
      </c>
      <c r="L64" s="24" t="s">
        <v>1501</v>
      </c>
      <c r="M64" s="23"/>
      <c r="N64" s="22"/>
      <c r="O64" s="22"/>
      <c r="P64" s="16"/>
      <c r="Q64" s="16"/>
    </row>
    <row r="65" spans="1:19">
      <c r="A65" s="12"/>
      <c r="B65" s="13" t="s">
        <v>1456</v>
      </c>
      <c r="C65" s="22" t="s">
        <v>1502</v>
      </c>
      <c r="D65" s="22">
        <v>572900</v>
      </c>
      <c r="E65" s="461"/>
      <c r="F65" s="461"/>
      <c r="G65" s="461"/>
      <c r="H65" s="461"/>
      <c r="J65" s="12"/>
      <c r="K65" s="13" t="s">
        <v>1456</v>
      </c>
      <c r="L65" s="22" t="s">
        <v>1502</v>
      </c>
      <c r="M65" s="22"/>
      <c r="N65" s="465"/>
      <c r="O65" s="465"/>
      <c r="P65" s="465"/>
      <c r="Q65" s="465"/>
    </row>
    <row r="66" spans="1:19">
      <c r="A66" s="12"/>
      <c r="B66" s="13" t="s">
        <v>1455</v>
      </c>
      <c r="C66" s="22" t="s">
        <v>1503</v>
      </c>
      <c r="D66" s="22">
        <v>957540</v>
      </c>
      <c r="E66" s="461"/>
      <c r="F66" s="461"/>
      <c r="G66" s="461"/>
      <c r="H66" s="461"/>
      <c r="J66" s="12"/>
      <c r="K66" s="13" t="s">
        <v>1455</v>
      </c>
      <c r="L66" s="22" t="s">
        <v>1503</v>
      </c>
      <c r="M66" s="22"/>
      <c r="N66" s="465"/>
      <c r="O66" s="465"/>
      <c r="P66" s="465"/>
      <c r="Q66" s="465"/>
    </row>
    <row r="67" spans="1:19">
      <c r="A67" s="12"/>
      <c r="B67" s="13" t="s">
        <v>1454</v>
      </c>
      <c r="C67" s="22" t="s">
        <v>1504</v>
      </c>
      <c r="D67" s="22">
        <f>6725000-1715000</f>
        <v>5010000</v>
      </c>
      <c r="E67" s="461"/>
      <c r="F67" s="461"/>
      <c r="G67" s="461"/>
      <c r="H67" s="461"/>
      <c r="J67" s="12"/>
      <c r="K67" s="13" t="s">
        <v>1454</v>
      </c>
      <c r="L67" s="22" t="s">
        <v>1504</v>
      </c>
      <c r="M67" s="22"/>
      <c r="N67" s="465"/>
      <c r="O67" s="465"/>
      <c r="P67" s="465"/>
      <c r="Q67" s="465"/>
    </row>
    <row r="68" spans="1:19" s="175" customFormat="1">
      <c r="A68" s="33"/>
      <c r="B68" s="13" t="s">
        <v>1454</v>
      </c>
      <c r="C68" s="22" t="s">
        <v>1505</v>
      </c>
      <c r="D68" s="22">
        <v>1715000</v>
      </c>
      <c r="E68" s="26"/>
      <c r="F68" s="26"/>
      <c r="G68" s="26"/>
      <c r="H68" s="26"/>
      <c r="J68" s="33"/>
      <c r="K68" s="13" t="s">
        <v>1454</v>
      </c>
      <c r="L68" s="22" t="s">
        <v>1505</v>
      </c>
      <c r="M68" s="22"/>
      <c r="N68" s="26"/>
      <c r="O68" s="26"/>
      <c r="P68" s="26"/>
      <c r="Q68" s="26"/>
    </row>
    <row r="69" spans="1:19" s="175" customFormat="1">
      <c r="A69" s="12"/>
      <c r="B69" s="13" t="s">
        <v>1393</v>
      </c>
      <c r="C69" s="22" t="s">
        <v>1506</v>
      </c>
      <c r="D69" s="22">
        <v>11474000</v>
      </c>
      <c r="E69" s="461"/>
      <c r="F69" s="461"/>
      <c r="G69" s="461"/>
      <c r="H69" s="461"/>
      <c r="J69" s="12"/>
      <c r="K69" s="13" t="s">
        <v>1393</v>
      </c>
      <c r="L69" s="22" t="s">
        <v>1506</v>
      </c>
      <c r="M69" s="22"/>
      <c r="N69" s="465"/>
      <c r="O69" s="465"/>
      <c r="P69" s="465"/>
      <c r="Q69" s="465"/>
      <c r="S69" s="468">
        <f>+N104</f>
        <v>28415000</v>
      </c>
    </row>
    <row r="70" spans="1:19" s="175" customFormat="1">
      <c r="A70" s="33"/>
      <c r="B70" s="13"/>
      <c r="C70" s="22" t="s">
        <v>1507</v>
      </c>
      <c r="D70" s="467">
        <f>7269517-D68</f>
        <v>5554517</v>
      </c>
      <c r="E70" s="26"/>
      <c r="F70" s="26"/>
      <c r="G70" s="26"/>
      <c r="H70" s="26"/>
      <c r="J70" s="33"/>
      <c r="K70" s="13"/>
      <c r="L70" s="22" t="s">
        <v>1507</v>
      </c>
      <c r="M70" s="467"/>
      <c r="N70" s="26"/>
      <c r="O70" s="26"/>
      <c r="P70" s="26"/>
      <c r="Q70" s="26"/>
    </row>
    <row r="71" spans="1:19" s="175" customFormat="1">
      <c r="A71" s="33"/>
      <c r="B71" s="13" t="s">
        <v>1511</v>
      </c>
      <c r="C71" s="22" t="s">
        <v>1512</v>
      </c>
      <c r="D71" s="467">
        <v>600000</v>
      </c>
      <c r="E71" s="26"/>
      <c r="F71" s="26"/>
      <c r="G71" s="26"/>
      <c r="H71" s="26"/>
      <c r="J71" s="33"/>
      <c r="K71" s="13" t="s">
        <v>1511</v>
      </c>
      <c r="L71" s="22" t="s">
        <v>1512</v>
      </c>
      <c r="M71" s="467">
        <v>600000</v>
      </c>
      <c r="N71" s="26"/>
      <c r="O71" s="26"/>
      <c r="P71" s="26"/>
      <c r="Q71" s="26"/>
    </row>
    <row r="72" spans="1:19" s="175" customFormat="1">
      <c r="A72" s="33"/>
      <c r="B72" s="13" t="s">
        <v>1513</v>
      </c>
      <c r="C72" s="22" t="s">
        <v>1514</v>
      </c>
      <c r="D72" s="467">
        <v>20000000</v>
      </c>
      <c r="E72" s="26"/>
      <c r="F72" s="26"/>
      <c r="G72" s="26"/>
      <c r="H72" s="26"/>
      <c r="J72" s="33"/>
      <c r="K72" s="13" t="s">
        <v>1513</v>
      </c>
      <c r="L72" s="22" t="s">
        <v>1514</v>
      </c>
      <c r="M72" s="467">
        <v>20000000</v>
      </c>
      <c r="N72" s="26"/>
      <c r="O72" s="26"/>
      <c r="P72" s="26"/>
      <c r="Q72" s="26"/>
    </row>
    <row r="73" spans="1:19" s="175" customFormat="1">
      <c r="A73" s="33"/>
      <c r="B73" s="13" t="s">
        <v>1513</v>
      </c>
      <c r="C73" s="22" t="s">
        <v>1515</v>
      </c>
      <c r="D73" s="467">
        <v>10000000</v>
      </c>
      <c r="E73" s="26"/>
      <c r="F73" s="26"/>
      <c r="G73" s="26"/>
      <c r="H73" s="26"/>
      <c r="J73" s="33"/>
      <c r="K73" s="13" t="s">
        <v>1513</v>
      </c>
      <c r="L73" s="22" t="s">
        <v>1515</v>
      </c>
      <c r="M73" s="467">
        <v>10000000</v>
      </c>
      <c r="N73" s="26"/>
      <c r="O73" s="26"/>
      <c r="P73" s="26"/>
      <c r="Q73" s="26"/>
    </row>
    <row r="74" spans="1:19" s="175" customFormat="1">
      <c r="A74" s="33"/>
      <c r="B74" s="13" t="s">
        <v>1513</v>
      </c>
      <c r="C74" s="22" t="s">
        <v>1516</v>
      </c>
      <c r="D74" s="467">
        <v>10000000</v>
      </c>
      <c r="E74" s="26"/>
      <c r="F74" s="26"/>
      <c r="G74" s="26"/>
      <c r="H74" s="26"/>
      <c r="J74" s="33"/>
      <c r="K74" s="13" t="s">
        <v>1513</v>
      </c>
      <c r="L74" s="22" t="s">
        <v>1516</v>
      </c>
      <c r="M74" s="467">
        <v>10000000</v>
      </c>
      <c r="N74" s="26"/>
      <c r="O74" s="26"/>
      <c r="P74" s="26"/>
      <c r="Q74" s="26"/>
    </row>
    <row r="75" spans="1:19" s="175" customFormat="1">
      <c r="A75" s="33"/>
      <c r="B75" s="13" t="s">
        <v>1513</v>
      </c>
      <c r="C75" s="22" t="s">
        <v>1517</v>
      </c>
      <c r="D75" s="467">
        <v>450000</v>
      </c>
      <c r="E75" s="26"/>
      <c r="F75" s="26"/>
      <c r="G75" s="26"/>
      <c r="H75" s="26"/>
      <c r="J75" s="33"/>
      <c r="K75" s="13" t="s">
        <v>1513</v>
      </c>
      <c r="L75" s="22" t="s">
        <v>1517</v>
      </c>
      <c r="M75" s="467">
        <v>450000</v>
      </c>
      <c r="N75" s="26"/>
      <c r="O75" s="26"/>
      <c r="P75" s="26"/>
      <c r="Q75" s="26"/>
    </row>
    <row r="76" spans="1:19" s="175" customFormat="1">
      <c r="A76" s="33"/>
      <c r="B76" s="13" t="s">
        <v>1513</v>
      </c>
      <c r="C76" s="22" t="s">
        <v>1518</v>
      </c>
      <c r="D76" s="467">
        <v>10000000</v>
      </c>
      <c r="E76" s="26"/>
      <c r="F76" s="26"/>
      <c r="G76" s="26"/>
      <c r="H76" s="26"/>
      <c r="J76" s="33"/>
      <c r="K76" s="13" t="s">
        <v>1513</v>
      </c>
      <c r="L76" s="22" t="s">
        <v>1518</v>
      </c>
      <c r="M76" s="467"/>
      <c r="N76" s="26"/>
      <c r="O76" s="26"/>
      <c r="P76" s="26"/>
      <c r="Q76" s="26"/>
    </row>
    <row r="77" spans="1:19" s="175" customFormat="1">
      <c r="A77" s="33"/>
      <c r="B77" s="13" t="s">
        <v>1513</v>
      </c>
      <c r="C77" s="22" t="s">
        <v>1519</v>
      </c>
      <c r="D77" s="467">
        <v>10000000</v>
      </c>
      <c r="E77" s="26"/>
      <c r="F77" s="26"/>
      <c r="G77" s="26"/>
      <c r="H77" s="26"/>
      <c r="J77" s="33"/>
      <c r="K77" s="13" t="s">
        <v>1513</v>
      </c>
      <c r="L77" s="22" t="s">
        <v>1519</v>
      </c>
      <c r="M77" s="467">
        <v>2000000</v>
      </c>
      <c r="N77" s="26"/>
      <c r="O77" s="26"/>
      <c r="P77" s="26"/>
      <c r="Q77" s="26"/>
    </row>
    <row r="78" spans="1:19" s="175" customFormat="1">
      <c r="A78" s="33"/>
      <c r="B78" s="13"/>
      <c r="C78" s="22" t="s">
        <v>1526</v>
      </c>
      <c r="D78" s="467">
        <v>18000000</v>
      </c>
      <c r="E78" s="26"/>
      <c r="F78" s="26"/>
      <c r="G78" s="26"/>
      <c r="H78" s="26"/>
      <c r="J78" s="33"/>
      <c r="K78" s="13"/>
      <c r="L78" s="22" t="s">
        <v>1526</v>
      </c>
      <c r="M78" s="467"/>
      <c r="N78" s="26"/>
      <c r="O78" s="26"/>
      <c r="P78" s="26"/>
      <c r="Q78" s="26"/>
    </row>
    <row r="79" spans="1:19" s="175" customFormat="1">
      <c r="A79" s="33"/>
      <c r="B79" s="13" t="s">
        <v>1527</v>
      </c>
      <c r="C79" s="22" t="s">
        <v>1528</v>
      </c>
      <c r="D79" s="467">
        <v>9369000</v>
      </c>
      <c r="E79" s="26"/>
      <c r="F79" s="26"/>
      <c r="G79" s="26"/>
      <c r="H79" s="26"/>
      <c r="J79" s="33"/>
      <c r="K79" s="13" t="s">
        <v>1527</v>
      </c>
      <c r="L79" s="22" t="s">
        <v>1528</v>
      </c>
      <c r="M79" s="467">
        <v>9369000</v>
      </c>
      <c r="N79" s="26"/>
      <c r="O79" s="26"/>
      <c r="P79" s="26"/>
      <c r="Q79" s="26"/>
    </row>
    <row r="80" spans="1:19" s="175" customFormat="1">
      <c r="A80" s="33"/>
      <c r="B80" s="13" t="s">
        <v>1527</v>
      </c>
      <c r="C80" s="22" t="s">
        <v>1529</v>
      </c>
      <c r="D80" s="467">
        <v>5000</v>
      </c>
      <c r="E80" s="26"/>
      <c r="F80" s="26"/>
      <c r="G80" s="26"/>
      <c r="H80" s="26"/>
      <c r="J80" s="33"/>
      <c r="K80" s="13" t="s">
        <v>1527</v>
      </c>
      <c r="L80" s="22" t="s">
        <v>1529</v>
      </c>
      <c r="M80" s="467"/>
      <c r="N80" s="26"/>
      <c r="O80" s="26"/>
      <c r="P80" s="26"/>
      <c r="Q80" s="26"/>
    </row>
    <row r="81" spans="1:17" s="175" customFormat="1">
      <c r="A81" s="33"/>
      <c r="B81" s="13" t="s">
        <v>1530</v>
      </c>
      <c r="C81" s="22" t="s">
        <v>1528</v>
      </c>
      <c r="D81" s="467">
        <v>195000</v>
      </c>
      <c r="E81" s="26"/>
      <c r="F81" s="26"/>
      <c r="G81" s="26"/>
      <c r="H81" s="26"/>
      <c r="J81" s="33"/>
      <c r="K81" s="13" t="s">
        <v>1530</v>
      </c>
      <c r="L81" s="22" t="s">
        <v>1528</v>
      </c>
      <c r="M81" s="467">
        <v>195000</v>
      </c>
      <c r="N81" s="26"/>
      <c r="O81" s="26"/>
      <c r="P81" s="26"/>
      <c r="Q81" s="26"/>
    </row>
    <row r="82" spans="1:17" s="175" customFormat="1">
      <c r="A82" s="33"/>
      <c r="B82" s="13" t="s">
        <v>1530</v>
      </c>
      <c r="C82" s="22" t="s">
        <v>1529</v>
      </c>
      <c r="D82" s="467">
        <v>5000</v>
      </c>
      <c r="E82" s="26"/>
      <c r="F82" s="26"/>
      <c r="G82" s="26"/>
      <c r="H82" s="26"/>
      <c r="J82" s="33"/>
      <c r="K82" s="13" t="s">
        <v>1530</v>
      </c>
      <c r="L82" s="22" t="s">
        <v>1529</v>
      </c>
      <c r="M82" s="467"/>
      <c r="N82" s="26"/>
      <c r="O82" s="26"/>
      <c r="P82" s="26"/>
      <c r="Q82" s="26"/>
    </row>
    <row r="83" spans="1:17" s="175" customFormat="1">
      <c r="A83" s="33"/>
      <c r="B83" s="13" t="s">
        <v>1511</v>
      </c>
      <c r="C83" s="22" t="s">
        <v>1344</v>
      </c>
      <c r="D83" s="467">
        <v>1050000</v>
      </c>
      <c r="E83" s="26"/>
      <c r="F83" s="26"/>
      <c r="G83" s="26"/>
      <c r="H83" s="26"/>
      <c r="J83" s="33"/>
      <c r="K83" s="13" t="s">
        <v>1511</v>
      </c>
      <c r="L83" s="22" t="s">
        <v>1344</v>
      </c>
      <c r="M83" s="467"/>
      <c r="N83" s="26"/>
      <c r="O83" s="26"/>
      <c r="P83" s="26"/>
      <c r="Q83" s="26"/>
    </row>
    <row r="84" spans="1:17">
      <c r="A84" s="12"/>
      <c r="B84" s="13"/>
      <c r="C84" s="26" t="s">
        <v>55</v>
      </c>
      <c r="D84" s="27">
        <f>SUM(D44:D83)</f>
        <v>242656457</v>
      </c>
      <c r="E84" s="27">
        <v>0</v>
      </c>
      <c r="F84" s="27">
        <v>0</v>
      </c>
      <c r="G84" s="27"/>
      <c r="H84" s="27"/>
      <c r="J84" s="12"/>
      <c r="K84" s="13"/>
      <c r="L84" s="26" t="s">
        <v>55</v>
      </c>
      <c r="M84" s="27">
        <f>SUM(M44:M83)</f>
        <v>56424500</v>
      </c>
      <c r="N84" s="27">
        <v>0</v>
      </c>
      <c r="O84" s="27">
        <v>0</v>
      </c>
      <c r="P84" s="27"/>
      <c r="Q84" s="27"/>
    </row>
    <row r="85" spans="1:17">
      <c r="A85" s="20"/>
      <c r="B85" s="19"/>
      <c r="C85" s="461" t="s">
        <v>21</v>
      </c>
      <c r="D85" s="10"/>
      <c r="E85" s="530">
        <f>D84</f>
        <v>242656457</v>
      </c>
      <c r="F85" s="530"/>
      <c r="G85" s="530"/>
      <c r="H85" s="530"/>
      <c r="J85" s="20"/>
      <c r="K85" s="19"/>
      <c r="L85" s="465" t="s">
        <v>21</v>
      </c>
      <c r="M85" s="10"/>
      <c r="N85" s="530">
        <f>M84</f>
        <v>56424500</v>
      </c>
      <c r="O85" s="530"/>
      <c r="P85" s="530"/>
      <c r="Q85" s="530"/>
    </row>
    <row r="86" spans="1:17">
      <c r="A86" s="524" t="s">
        <v>1047</v>
      </c>
      <c r="B86" s="524"/>
      <c r="C86" s="524"/>
      <c r="D86" s="524"/>
      <c r="E86" s="524"/>
      <c r="F86" s="524"/>
      <c r="G86" s="524"/>
      <c r="H86" s="524"/>
      <c r="J86" s="524" t="s">
        <v>1047</v>
      </c>
      <c r="K86" s="524"/>
      <c r="L86" s="524"/>
      <c r="M86" s="524"/>
      <c r="N86" s="524"/>
      <c r="O86" s="524"/>
      <c r="P86" s="524"/>
      <c r="Q86" s="524"/>
    </row>
    <row r="87" spans="1:17">
      <c r="A87" s="12"/>
      <c r="B87" s="23" t="s">
        <v>1297</v>
      </c>
      <c r="C87" s="24" t="s">
        <v>1337</v>
      </c>
      <c r="D87" s="23">
        <v>3910000</v>
      </c>
      <c r="E87" s="22"/>
      <c r="F87" s="22"/>
      <c r="G87" s="16"/>
      <c r="H87" s="16"/>
      <c r="J87" s="12"/>
      <c r="K87" s="23" t="s">
        <v>1297</v>
      </c>
      <c r="L87" s="24" t="s">
        <v>1337</v>
      </c>
      <c r="M87" s="23">
        <v>3910000</v>
      </c>
      <c r="N87" s="22"/>
      <c r="O87" s="22"/>
      <c r="P87" s="16"/>
      <c r="Q87" s="16"/>
    </row>
    <row r="88" spans="1:17">
      <c r="A88" s="12"/>
      <c r="B88" s="23" t="s">
        <v>1374</v>
      </c>
      <c r="C88" s="24" t="s">
        <v>1400</v>
      </c>
      <c r="D88" s="23">
        <v>893000</v>
      </c>
      <c r="E88" s="22"/>
      <c r="F88" s="22" t="s">
        <v>849</v>
      </c>
      <c r="G88" s="16"/>
      <c r="H88" s="16"/>
      <c r="J88" s="12"/>
      <c r="K88" s="23" t="s">
        <v>1374</v>
      </c>
      <c r="L88" s="24" t="s">
        <v>1400</v>
      </c>
      <c r="M88" s="23">
        <v>893000</v>
      </c>
      <c r="N88" s="22"/>
      <c r="O88" s="22" t="s">
        <v>849</v>
      </c>
      <c r="P88" s="16"/>
      <c r="Q88" s="16"/>
    </row>
    <row r="89" spans="1:17">
      <c r="A89" s="12"/>
      <c r="B89" s="23" t="s">
        <v>1374</v>
      </c>
      <c r="C89" s="24" t="s">
        <v>1358</v>
      </c>
      <c r="D89" s="23">
        <v>4705000</v>
      </c>
      <c r="E89" s="22"/>
      <c r="F89" s="22"/>
      <c r="G89" s="16"/>
      <c r="H89" s="16"/>
      <c r="J89" s="12"/>
      <c r="K89" s="23" t="s">
        <v>1374</v>
      </c>
      <c r="L89" s="24" t="s">
        <v>1358</v>
      </c>
      <c r="M89" s="23">
        <v>4705000</v>
      </c>
      <c r="N89" s="22"/>
      <c r="O89" s="22"/>
      <c r="P89" s="16"/>
      <c r="Q89" s="16"/>
    </row>
    <row r="90" spans="1:17">
      <c r="A90" s="12"/>
      <c r="B90" s="23" t="s">
        <v>1374</v>
      </c>
      <c r="C90" s="23" t="s">
        <v>1407</v>
      </c>
      <c r="D90" s="23">
        <v>1500000</v>
      </c>
      <c r="E90" s="22"/>
      <c r="F90" s="22"/>
      <c r="G90" s="16"/>
      <c r="H90" s="16"/>
      <c r="J90" s="12"/>
      <c r="K90" s="23" t="s">
        <v>1374</v>
      </c>
      <c r="L90" s="23" t="s">
        <v>1407</v>
      </c>
      <c r="M90" s="23">
        <v>1500000</v>
      </c>
      <c r="N90" s="22"/>
      <c r="O90" s="22"/>
      <c r="P90" s="16"/>
      <c r="Q90" s="16"/>
    </row>
    <row r="91" spans="1:17">
      <c r="A91" s="12"/>
      <c r="B91" s="23" t="s">
        <v>1441</v>
      </c>
      <c r="C91" s="24" t="s">
        <v>1442</v>
      </c>
      <c r="D91" s="23">
        <v>195000</v>
      </c>
      <c r="E91" s="22"/>
      <c r="F91" s="22"/>
      <c r="G91" s="16"/>
      <c r="H91" s="16"/>
      <c r="J91" s="12"/>
      <c r="K91" s="23" t="s">
        <v>1441</v>
      </c>
      <c r="L91" s="24" t="s">
        <v>1442</v>
      </c>
      <c r="M91" s="23">
        <v>195000</v>
      </c>
      <c r="N91" s="22"/>
      <c r="O91" s="22"/>
      <c r="P91" s="16"/>
      <c r="Q91" s="16"/>
    </row>
    <row r="92" spans="1:17">
      <c r="A92" s="12"/>
      <c r="B92" s="23" t="s">
        <v>1441</v>
      </c>
      <c r="C92" s="24" t="s">
        <v>1443</v>
      </c>
      <c r="D92" s="23">
        <v>796000</v>
      </c>
      <c r="E92" s="22"/>
      <c r="F92" s="22"/>
      <c r="G92" s="16"/>
      <c r="H92" s="16"/>
      <c r="J92" s="12"/>
      <c r="K92" s="23" t="s">
        <v>1441</v>
      </c>
      <c r="L92" s="24" t="s">
        <v>1443</v>
      </c>
      <c r="M92" s="23">
        <v>796000</v>
      </c>
      <c r="N92" s="22"/>
      <c r="O92" s="22"/>
      <c r="P92" s="16"/>
      <c r="Q92" s="16"/>
    </row>
    <row r="93" spans="1:17">
      <c r="A93" s="12"/>
      <c r="B93" s="23"/>
      <c r="C93" s="24" t="s">
        <v>1464</v>
      </c>
      <c r="D93" s="23">
        <v>6785000</v>
      </c>
      <c r="E93" s="22"/>
      <c r="F93" s="22"/>
      <c r="G93" s="16"/>
      <c r="H93" s="16"/>
      <c r="J93" s="12"/>
      <c r="K93" s="23"/>
      <c r="L93" s="24" t="s">
        <v>1464</v>
      </c>
      <c r="M93" s="23">
        <v>6785000</v>
      </c>
      <c r="N93" s="22"/>
      <c r="O93" s="22"/>
      <c r="P93" s="16"/>
      <c r="Q93" s="16"/>
    </row>
    <row r="94" spans="1:17">
      <c r="A94" s="12"/>
      <c r="B94" s="23" t="s">
        <v>1520</v>
      </c>
      <c r="C94" s="23" t="s">
        <v>1291</v>
      </c>
      <c r="D94" s="23">
        <v>8995000</v>
      </c>
      <c r="E94" s="22"/>
      <c r="F94" s="22"/>
      <c r="G94" s="16"/>
      <c r="H94" s="16"/>
      <c r="J94" s="12"/>
      <c r="K94" s="23" t="s">
        <v>1520</v>
      </c>
      <c r="L94" s="23" t="s">
        <v>1291</v>
      </c>
      <c r="M94" s="23">
        <v>8995000</v>
      </c>
      <c r="N94" s="22"/>
      <c r="O94" s="22"/>
      <c r="P94" s="16"/>
      <c r="Q94" s="16"/>
    </row>
    <row r="95" spans="1:17">
      <c r="A95" s="12"/>
      <c r="B95" s="23" t="s">
        <v>1520</v>
      </c>
      <c r="C95" s="23" t="s">
        <v>1175</v>
      </c>
      <c r="D95" s="23">
        <v>36000</v>
      </c>
      <c r="E95" s="22"/>
      <c r="F95" s="22"/>
      <c r="G95" s="16"/>
      <c r="H95" s="16"/>
      <c r="J95" s="12"/>
      <c r="K95" s="23" t="s">
        <v>1520</v>
      </c>
      <c r="L95" s="23" t="s">
        <v>1175</v>
      </c>
      <c r="M95" s="23">
        <v>36000</v>
      </c>
      <c r="N95" s="22"/>
      <c r="O95" s="22"/>
      <c r="P95" s="16"/>
      <c r="Q95" s="16"/>
    </row>
    <row r="96" spans="1:17">
      <c r="A96" s="12"/>
      <c r="B96" s="23" t="s">
        <v>1520</v>
      </c>
      <c r="C96" s="23" t="s">
        <v>1127</v>
      </c>
      <c r="D96" s="23">
        <v>600000</v>
      </c>
      <c r="E96" s="22"/>
      <c r="F96" s="22"/>
      <c r="G96" s="16"/>
      <c r="H96" s="16"/>
      <c r="J96" s="12"/>
      <c r="K96" s="23" t="s">
        <v>1520</v>
      </c>
      <c r="L96" s="23" t="s">
        <v>1127</v>
      </c>
      <c r="M96" s="23">
        <v>600000</v>
      </c>
      <c r="N96" s="22"/>
      <c r="O96" s="22"/>
      <c r="P96" s="16"/>
      <c r="Q96" s="16"/>
    </row>
    <row r="97" spans="1:18">
      <c r="A97" s="12"/>
      <c r="B97" s="23" t="s">
        <v>1474</v>
      </c>
      <c r="C97" s="23" t="s">
        <v>1521</v>
      </c>
      <c r="D97" s="23">
        <v>1000000</v>
      </c>
      <c r="E97" s="22"/>
      <c r="F97" s="22"/>
      <c r="G97" s="16"/>
      <c r="H97" s="16"/>
      <c r="J97" s="12"/>
      <c r="K97" s="23" t="s">
        <v>1474</v>
      </c>
      <c r="L97" s="23" t="s">
        <v>1521</v>
      </c>
      <c r="M97" s="23"/>
      <c r="N97" s="22"/>
      <c r="O97" s="22"/>
      <c r="P97" s="16"/>
      <c r="Q97" s="16"/>
    </row>
    <row r="98" spans="1:18">
      <c r="A98" s="12"/>
      <c r="B98" s="23" t="s">
        <v>1474</v>
      </c>
      <c r="C98" s="24" t="s">
        <v>1522</v>
      </c>
      <c r="D98" s="23">
        <v>758000</v>
      </c>
      <c r="E98" s="22"/>
      <c r="F98" s="22"/>
      <c r="G98" s="16"/>
      <c r="H98" s="16"/>
      <c r="J98" s="12"/>
      <c r="K98" s="23" t="s">
        <v>1474</v>
      </c>
      <c r="L98" s="24" t="s">
        <v>1522</v>
      </c>
      <c r="M98" s="23"/>
      <c r="N98" s="22"/>
      <c r="O98" s="22"/>
      <c r="P98" s="16"/>
      <c r="Q98" s="16"/>
    </row>
    <row r="99" spans="1:18">
      <c r="A99" s="12"/>
      <c r="B99" s="23" t="s">
        <v>1523</v>
      </c>
      <c r="C99" s="24" t="s">
        <v>1524</v>
      </c>
      <c r="D99" s="23">
        <v>1540000</v>
      </c>
      <c r="E99" s="22"/>
      <c r="F99" s="22"/>
      <c r="G99" s="16"/>
      <c r="H99" s="16"/>
      <c r="J99" s="12"/>
      <c r="K99" s="23" t="s">
        <v>1523</v>
      </c>
      <c r="L99" s="24" t="s">
        <v>1524</v>
      </c>
      <c r="M99" s="23"/>
      <c r="N99" s="22"/>
      <c r="O99" s="22"/>
      <c r="P99" s="16"/>
      <c r="Q99" s="16"/>
    </row>
    <row r="100" spans="1:18">
      <c r="A100" s="12"/>
      <c r="B100" s="23" t="s">
        <v>1523</v>
      </c>
      <c r="C100" s="24" t="s">
        <v>1525</v>
      </c>
      <c r="D100" s="23">
        <v>2000000</v>
      </c>
      <c r="E100" s="22"/>
      <c r="F100" s="22"/>
      <c r="G100" s="16"/>
      <c r="H100" s="16"/>
      <c r="J100" s="12"/>
      <c r="K100" s="23" t="s">
        <v>1523</v>
      </c>
      <c r="L100" s="24" t="s">
        <v>1525</v>
      </c>
      <c r="M100" s="23"/>
      <c r="N100" s="22"/>
      <c r="O100" s="22"/>
      <c r="P100" s="16"/>
      <c r="Q100" s="16"/>
    </row>
    <row r="101" spans="1:18">
      <c r="A101" s="12"/>
      <c r="B101" s="23"/>
      <c r="C101" s="24"/>
      <c r="D101" s="23"/>
      <c r="E101" s="22"/>
      <c r="F101" s="22"/>
      <c r="G101" s="16"/>
      <c r="H101" s="16"/>
      <c r="J101" s="12"/>
      <c r="K101" s="23"/>
      <c r="L101" s="24"/>
      <c r="M101" s="23"/>
      <c r="N101" s="22"/>
      <c r="O101" s="22"/>
      <c r="P101" s="16"/>
      <c r="Q101" s="16"/>
    </row>
    <row r="102" spans="1:18">
      <c r="A102" s="12"/>
      <c r="B102" s="23"/>
      <c r="C102" s="24"/>
      <c r="D102" s="23"/>
      <c r="E102" s="22"/>
      <c r="F102" s="22"/>
      <c r="G102" s="16"/>
      <c r="H102" s="16"/>
      <c r="J102" s="12"/>
      <c r="K102" s="23"/>
      <c r="L102" s="24"/>
      <c r="M102" s="23"/>
      <c r="N102" s="22"/>
      <c r="O102" s="22"/>
      <c r="P102" s="16"/>
      <c r="Q102" s="16"/>
    </row>
    <row r="103" spans="1:18">
      <c r="A103" s="12"/>
      <c r="B103" s="13"/>
      <c r="C103" s="26" t="s">
        <v>848</v>
      </c>
      <c r="D103" s="27">
        <f>SUM(D87:D102)</f>
        <v>33713000</v>
      </c>
      <c r="E103" s="27">
        <v>0</v>
      </c>
      <c r="F103" s="27">
        <v>0</v>
      </c>
      <c r="G103" s="27"/>
      <c r="H103" s="27"/>
      <c r="J103" s="12"/>
      <c r="K103" s="13"/>
      <c r="L103" s="26" t="s">
        <v>848</v>
      </c>
      <c r="M103" s="27">
        <f>SUM(M87:M102)</f>
        <v>28415000</v>
      </c>
      <c r="N103" s="27">
        <v>0</v>
      </c>
      <c r="O103" s="27">
        <v>0</v>
      </c>
      <c r="P103" s="27"/>
      <c r="Q103" s="27"/>
    </row>
    <row r="104" spans="1:18">
      <c r="A104" s="20"/>
      <c r="B104" s="19"/>
      <c r="C104" s="461" t="s">
        <v>21</v>
      </c>
      <c r="D104" s="10"/>
      <c r="E104" s="530">
        <f>D103</f>
        <v>33713000</v>
      </c>
      <c r="F104" s="530"/>
      <c r="G104" s="530"/>
      <c r="H104" s="530"/>
      <c r="J104" s="20"/>
      <c r="K104" s="19"/>
      <c r="L104" s="465" t="s">
        <v>21</v>
      </c>
      <c r="M104" s="10"/>
      <c r="N104" s="530">
        <f>M103</f>
        <v>28415000</v>
      </c>
      <c r="O104" s="530"/>
      <c r="P104" s="530"/>
      <c r="Q104" s="530"/>
    </row>
    <row r="105" spans="1:18">
      <c r="A105" s="527" t="s">
        <v>32</v>
      </c>
      <c r="B105" s="528"/>
      <c r="C105" s="528"/>
      <c r="D105" s="528"/>
      <c r="E105" s="528"/>
      <c r="F105" s="528"/>
      <c r="G105" s="528"/>
      <c r="H105" s="529"/>
      <c r="J105" s="527" t="s">
        <v>32</v>
      </c>
      <c r="K105" s="528"/>
      <c r="L105" s="528"/>
      <c r="M105" s="528"/>
      <c r="N105" s="528"/>
      <c r="O105" s="528"/>
      <c r="P105" s="528"/>
      <c r="Q105" s="529"/>
      <c r="R105" s="72">
        <f>+N85+N104</f>
        <v>84839500</v>
      </c>
    </row>
    <row r="106" spans="1:18">
      <c r="A106" s="12"/>
      <c r="B106" s="13"/>
      <c r="C106" s="22"/>
      <c r="D106" s="22"/>
      <c r="E106" s="461"/>
      <c r="F106" s="461"/>
      <c r="G106" s="461"/>
      <c r="H106" s="461"/>
      <c r="J106" s="12"/>
      <c r="K106" s="13"/>
      <c r="L106" s="22" t="s">
        <v>1535</v>
      </c>
      <c r="M106" s="467">
        <v>5585000</v>
      </c>
      <c r="N106" s="465"/>
      <c r="O106" s="465"/>
      <c r="P106" s="465"/>
      <c r="Q106" s="465"/>
    </row>
    <row r="107" spans="1:18">
      <c r="A107" s="12"/>
      <c r="B107" s="13"/>
      <c r="C107" s="22"/>
      <c r="D107" s="22"/>
      <c r="E107" s="461"/>
      <c r="F107" s="461"/>
      <c r="G107" s="461"/>
      <c r="H107" s="461"/>
      <c r="J107" s="12"/>
      <c r="K107" s="13"/>
      <c r="L107" s="22"/>
      <c r="M107" s="22"/>
      <c r="N107" s="465"/>
      <c r="O107" s="465"/>
      <c r="P107" s="465"/>
      <c r="Q107" s="465"/>
    </row>
    <row r="108" spans="1:18">
      <c r="A108" s="12"/>
      <c r="B108" s="13"/>
      <c r="C108" s="22"/>
      <c r="D108" s="77"/>
      <c r="E108" s="461"/>
      <c r="F108" s="461"/>
      <c r="G108" s="461"/>
      <c r="H108" s="461"/>
      <c r="J108" s="12"/>
      <c r="K108" s="13"/>
      <c r="L108" s="22"/>
      <c r="M108" s="77"/>
      <c r="N108" s="465"/>
      <c r="O108" s="465"/>
      <c r="P108" s="465"/>
      <c r="Q108" s="465"/>
    </row>
    <row r="109" spans="1:18">
      <c r="A109" s="12"/>
      <c r="B109" s="13"/>
      <c r="C109" s="22"/>
      <c r="D109" s="22"/>
      <c r="E109" s="461"/>
      <c r="F109" s="461"/>
      <c r="G109" s="461"/>
      <c r="H109" s="461"/>
      <c r="J109" s="12"/>
      <c r="K109" s="13"/>
      <c r="L109" s="22"/>
      <c r="M109" s="22"/>
      <c r="N109" s="465"/>
      <c r="O109" s="465"/>
      <c r="P109" s="465"/>
      <c r="Q109" s="465"/>
    </row>
    <row r="110" spans="1:18">
      <c r="A110" s="12"/>
      <c r="B110" s="22"/>
      <c r="C110" s="22"/>
      <c r="D110" s="22"/>
      <c r="E110" s="461"/>
      <c r="F110" s="461"/>
      <c r="G110" s="461"/>
      <c r="H110" s="461"/>
      <c r="J110" s="12"/>
      <c r="K110" s="22"/>
      <c r="L110" s="22"/>
      <c r="M110" s="22"/>
      <c r="N110" s="465"/>
      <c r="O110" s="465"/>
      <c r="P110" s="465"/>
      <c r="Q110" s="465"/>
    </row>
    <row r="111" spans="1:18">
      <c r="A111" s="12"/>
      <c r="B111" s="13"/>
      <c r="C111" s="22"/>
      <c r="D111" s="29"/>
      <c r="E111" s="461"/>
      <c r="F111" s="461"/>
      <c r="G111" s="461"/>
      <c r="H111" s="461"/>
      <c r="J111" s="12"/>
      <c r="K111" s="13"/>
      <c r="L111" s="22"/>
      <c r="M111" s="29"/>
      <c r="N111" s="465"/>
      <c r="O111" s="465"/>
      <c r="P111" s="465"/>
      <c r="Q111" s="465"/>
    </row>
    <row r="112" spans="1:18">
      <c r="A112" s="12"/>
      <c r="B112" s="13"/>
      <c r="C112" s="26" t="s">
        <v>34</v>
      </c>
      <c r="D112" s="27">
        <f>SUM(D106:D110)</f>
        <v>0</v>
      </c>
      <c r="E112" s="27">
        <v>0</v>
      </c>
      <c r="F112" s="27">
        <v>0</v>
      </c>
      <c r="G112" s="27"/>
      <c r="H112" s="27"/>
      <c r="J112" s="12"/>
      <c r="K112" s="13"/>
      <c r="L112" s="26" t="s">
        <v>34</v>
      </c>
      <c r="M112" s="27">
        <f>SUM(M106:M110)</f>
        <v>5585000</v>
      </c>
      <c r="N112" s="27">
        <v>0</v>
      </c>
      <c r="O112" s="27">
        <v>0</v>
      </c>
      <c r="P112" s="27"/>
      <c r="Q112" s="27"/>
    </row>
    <row r="113" spans="1:17">
      <c r="A113" s="20"/>
      <c r="B113" s="19"/>
      <c r="C113" s="461" t="s">
        <v>21</v>
      </c>
      <c r="D113" s="10"/>
      <c r="E113" s="531">
        <f>D112</f>
        <v>0</v>
      </c>
      <c r="F113" s="532"/>
      <c r="G113" s="532"/>
      <c r="H113" s="533"/>
      <c r="J113" s="20"/>
      <c r="K113" s="19"/>
      <c r="L113" s="465" t="s">
        <v>21</v>
      </c>
      <c r="M113" s="10"/>
      <c r="N113" s="531">
        <f>M112</f>
        <v>5585000</v>
      </c>
      <c r="O113" s="532"/>
      <c r="P113" s="532"/>
      <c r="Q113" s="533"/>
    </row>
    <row r="114" spans="1:17">
      <c r="A114" s="525" t="s">
        <v>35</v>
      </c>
      <c r="B114" s="525"/>
      <c r="C114" s="525"/>
      <c r="D114" s="458"/>
      <c r="E114" s="526">
        <f>+E42+E85+E104+E113</f>
        <v>277179457</v>
      </c>
      <c r="F114" s="526"/>
      <c r="G114" s="526"/>
      <c r="H114" s="526"/>
      <c r="J114" s="525" t="s">
        <v>35</v>
      </c>
      <c r="K114" s="525"/>
      <c r="L114" s="525"/>
      <c r="M114" s="464"/>
      <c r="N114" s="526">
        <f>+N42+N85+N104+N113</f>
        <v>91234500</v>
      </c>
      <c r="O114" s="526"/>
      <c r="P114" s="526"/>
      <c r="Q114" s="526"/>
    </row>
    <row r="115" spans="1:17">
      <c r="A115" s="522" t="s">
        <v>36</v>
      </c>
      <c r="B115" s="522"/>
      <c r="C115" s="522"/>
      <c r="D115" s="460"/>
      <c r="E115" s="523">
        <f>+E36+E114</f>
        <v>290363957</v>
      </c>
      <c r="F115" s="523"/>
      <c r="G115" s="523"/>
      <c r="H115" s="523"/>
      <c r="J115" s="522" t="s">
        <v>36</v>
      </c>
      <c r="K115" s="522"/>
      <c r="L115" s="522"/>
      <c r="M115" s="463"/>
      <c r="N115" s="523">
        <f>+N36+N114</f>
        <v>91834500</v>
      </c>
      <c r="O115" s="523"/>
      <c r="P115" s="523"/>
      <c r="Q115" s="523"/>
    </row>
    <row r="116" spans="1:17">
      <c r="A116" s="37"/>
      <c r="B116" s="38"/>
      <c r="C116" s="39"/>
      <c r="D116" s="47"/>
      <c r="E116" s="39"/>
      <c r="F116" s="39"/>
      <c r="G116" s="39"/>
      <c r="H116" s="39"/>
      <c r="J116" s="37"/>
      <c r="K116" s="38"/>
      <c r="L116" s="39"/>
      <c r="M116" s="47"/>
      <c r="N116" s="39"/>
      <c r="O116" s="39"/>
      <c r="P116" s="39"/>
      <c r="Q116" s="39"/>
    </row>
    <row r="117" spans="1:17">
      <c r="A117" s="519" t="s">
        <v>13</v>
      </c>
      <c r="B117" s="520"/>
      <c r="C117" s="520"/>
      <c r="D117" s="520"/>
      <c r="E117" s="521"/>
      <c r="F117" s="39"/>
      <c r="G117" s="39"/>
      <c r="H117" s="40"/>
      <c r="J117" s="519" t="s">
        <v>13</v>
      </c>
      <c r="K117" s="520"/>
      <c r="L117" s="520"/>
      <c r="M117" s="520"/>
      <c r="N117" s="521"/>
      <c r="O117" s="39"/>
      <c r="P117" s="39"/>
      <c r="Q117" s="40"/>
    </row>
    <row r="118" spans="1:17">
      <c r="A118" s="41" t="s">
        <v>39</v>
      </c>
      <c r="B118" s="42" t="s">
        <v>40</v>
      </c>
      <c r="C118" s="43" t="s">
        <v>980</v>
      </c>
      <c r="D118" s="43" t="s">
        <v>42</v>
      </c>
      <c r="E118" s="43" t="s">
        <v>43</v>
      </c>
      <c r="F118" s="39"/>
      <c r="G118" s="39"/>
      <c r="H118" s="39"/>
      <c r="J118" s="41" t="s">
        <v>39</v>
      </c>
      <c r="K118" s="42" t="s">
        <v>40</v>
      </c>
      <c r="L118" s="43" t="s">
        <v>980</v>
      </c>
      <c r="M118" s="43" t="s">
        <v>42</v>
      </c>
      <c r="N118" s="43" t="s">
        <v>43</v>
      </c>
      <c r="O118" s="39"/>
      <c r="P118" s="39"/>
      <c r="Q118" s="39"/>
    </row>
    <row r="119" spans="1:17">
      <c r="A119" s="41"/>
      <c r="B119" s="110"/>
      <c r="C119" s="45"/>
      <c r="D119" s="46"/>
      <c r="E119" s="46"/>
      <c r="F119" s="39"/>
      <c r="G119" s="39"/>
      <c r="H119" s="39"/>
      <c r="J119" s="41"/>
      <c r="K119" s="110"/>
      <c r="L119" s="45" t="s">
        <v>1534</v>
      </c>
      <c r="M119" s="46">
        <v>60000000</v>
      </c>
      <c r="N119" s="46"/>
      <c r="O119" s="39"/>
      <c r="P119" s="39"/>
      <c r="Q119" s="39"/>
    </row>
    <row r="120" spans="1:17">
      <c r="A120" s="41"/>
      <c r="B120" s="44"/>
      <c r="C120" s="45"/>
      <c r="D120" s="46"/>
      <c r="E120" s="46"/>
      <c r="F120" s="39"/>
      <c r="G120" s="39"/>
      <c r="H120" s="40"/>
      <c r="J120" s="41"/>
      <c r="K120" s="44"/>
      <c r="L120" s="45" t="s">
        <v>1418</v>
      </c>
      <c r="M120" s="46">
        <v>3000000</v>
      </c>
      <c r="N120" s="46"/>
      <c r="O120" s="39"/>
      <c r="P120" s="39"/>
      <c r="Q120" s="40"/>
    </row>
    <row r="121" spans="1:17">
      <c r="A121" s="41"/>
      <c r="B121" s="44"/>
      <c r="C121" s="46"/>
      <c r="D121" s="46"/>
      <c r="E121" s="46"/>
      <c r="F121" s="39"/>
      <c r="G121" s="39"/>
      <c r="H121" s="39"/>
      <c r="J121" s="41"/>
      <c r="K121" s="44"/>
      <c r="L121" s="46" t="s">
        <v>1536</v>
      </c>
      <c r="M121" s="46">
        <v>23000000</v>
      </c>
      <c r="N121" s="46"/>
      <c r="O121" s="39"/>
      <c r="P121" s="39"/>
      <c r="Q121" s="39"/>
    </row>
    <row r="122" spans="1:17">
      <c r="A122" s="41"/>
      <c r="B122" s="44"/>
      <c r="C122" s="327"/>
      <c r="D122" s="46"/>
      <c r="E122" s="46"/>
      <c r="F122" s="39"/>
      <c r="G122" s="39"/>
      <c r="H122" s="39"/>
      <c r="J122" s="41"/>
      <c r="K122" s="44"/>
      <c r="L122" s="327" t="s">
        <v>1537</v>
      </c>
      <c r="M122" s="46"/>
      <c r="N122" s="46"/>
      <c r="O122" s="39"/>
      <c r="P122" s="39"/>
      <c r="Q122" s="39"/>
    </row>
    <row r="123" spans="1:17">
      <c r="A123" s="41"/>
      <c r="B123" s="44"/>
      <c r="C123" s="46"/>
      <c r="D123" s="48"/>
      <c r="E123" s="46"/>
      <c r="F123" s="39"/>
      <c r="G123" s="39"/>
      <c r="H123" s="39"/>
      <c r="J123" s="41"/>
      <c r="K123" s="44"/>
      <c r="L123" s="46"/>
      <c r="M123" s="48"/>
      <c r="N123" s="46"/>
      <c r="O123" s="39"/>
      <c r="P123" s="39"/>
      <c r="Q123" s="39"/>
    </row>
    <row r="124" spans="1:17">
      <c r="A124" s="49"/>
      <c r="B124" s="50"/>
      <c r="C124" s="51" t="s">
        <v>44</v>
      </c>
      <c r="D124" s="51">
        <f>SUM(D119:D123)</f>
        <v>0</v>
      </c>
      <c r="E124" s="52"/>
      <c r="F124" s="39"/>
      <c r="G124" s="39"/>
      <c r="H124" s="39"/>
      <c r="J124" s="49"/>
      <c r="K124" s="50"/>
      <c r="L124" s="51" t="s">
        <v>44</v>
      </c>
      <c r="M124" s="51">
        <f>SUM(M119:M123)</f>
        <v>86000000</v>
      </c>
      <c r="N124" s="52"/>
      <c r="O124" s="39"/>
      <c r="P124" s="39"/>
      <c r="Q124" s="39"/>
    </row>
    <row r="125" spans="1:17">
      <c r="A125" s="53"/>
      <c r="B125" s="54"/>
      <c r="C125" s="55" t="s">
        <v>779</v>
      </c>
      <c r="D125" s="116"/>
      <c r="E125" s="3"/>
      <c r="F125" s="39"/>
      <c r="G125" s="39"/>
      <c r="H125" s="39"/>
      <c r="J125" s="53"/>
      <c r="K125" s="54"/>
      <c r="L125" s="55" t="s">
        <v>779</v>
      </c>
      <c r="M125" s="116">
        <f>+M124-N115</f>
        <v>-5834500</v>
      </c>
      <c r="N125" s="3"/>
      <c r="O125" s="39"/>
      <c r="P125" s="39"/>
      <c r="Q125" s="39"/>
    </row>
  </sheetData>
  <mergeCells count="46">
    <mergeCell ref="A115:C115"/>
    <mergeCell ref="E115:H115"/>
    <mergeCell ref="A117:E117"/>
    <mergeCell ref="A86:H86"/>
    <mergeCell ref="E104:H104"/>
    <mergeCell ref="A105:H105"/>
    <mergeCell ref="E113:H113"/>
    <mergeCell ref="A114:C114"/>
    <mergeCell ref="E114:H114"/>
    <mergeCell ref="E85:H85"/>
    <mergeCell ref="A3:H3"/>
    <mergeCell ref="A12:G12"/>
    <mergeCell ref="A13:H13"/>
    <mergeCell ref="A14:A15"/>
    <mergeCell ref="B14:B15"/>
    <mergeCell ref="C14:C15"/>
    <mergeCell ref="D14:D15"/>
    <mergeCell ref="E14:H14"/>
    <mergeCell ref="A36:D36"/>
    <mergeCell ref="E36:H36"/>
    <mergeCell ref="A37:H37"/>
    <mergeCell ref="E42:H42"/>
    <mergeCell ref="A43:H43"/>
    <mergeCell ref="J3:Q3"/>
    <mergeCell ref="J12:P12"/>
    <mergeCell ref="J13:Q13"/>
    <mergeCell ref="J14:J15"/>
    <mergeCell ref="K14:K15"/>
    <mergeCell ref="L14:L15"/>
    <mergeCell ref="M14:M15"/>
    <mergeCell ref="N14:Q14"/>
    <mergeCell ref="J36:M36"/>
    <mergeCell ref="N36:Q36"/>
    <mergeCell ref="J37:Q37"/>
    <mergeCell ref="N42:Q42"/>
    <mergeCell ref="J43:Q43"/>
    <mergeCell ref="N85:Q85"/>
    <mergeCell ref="J86:Q86"/>
    <mergeCell ref="N104:Q104"/>
    <mergeCell ref="J105:Q105"/>
    <mergeCell ref="N113:Q113"/>
    <mergeCell ref="J114:L114"/>
    <mergeCell ref="N114:Q114"/>
    <mergeCell ref="J115:L115"/>
    <mergeCell ref="N115:Q115"/>
    <mergeCell ref="J117:N117"/>
  </mergeCells>
  <pageMargins left="0.23" right="0.13" top="0.48" bottom="0.33" header="0.22" footer="0.18"/>
  <pageSetup paperSize="9" scale="85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B155F-D5CE-4AF4-B043-6D1C850AB51D}">
  <dimension ref="A1:L30"/>
  <sheetViews>
    <sheetView workbookViewId="0">
      <selection activeCell="A14" sqref="A14"/>
    </sheetView>
  </sheetViews>
  <sheetFormatPr defaultRowHeight="15"/>
  <cols>
    <col min="1" max="1" width="59.85546875" bestFit="1" customWidth="1"/>
    <col min="2" max="2" width="12.5703125" style="77" bestFit="1" customWidth="1"/>
    <col min="3" max="3" width="26.5703125" bestFit="1" customWidth="1"/>
    <col min="4" max="4" width="10.5703125" style="77" bestFit="1" customWidth="1"/>
    <col min="5" max="5" width="32.5703125" bestFit="1" customWidth="1"/>
    <col min="6" max="6" width="11.5703125" bestFit="1" customWidth="1"/>
    <col min="7" max="7" width="60.85546875" bestFit="1" customWidth="1"/>
    <col min="8" max="8" width="12.5703125" bestFit="1" customWidth="1"/>
    <col min="9" max="9" width="19.5703125" bestFit="1" customWidth="1"/>
    <col min="10" max="10" width="10.5703125" bestFit="1" customWidth="1"/>
    <col min="12" max="12" width="12.5703125" bestFit="1" customWidth="1"/>
  </cols>
  <sheetData>
    <row r="1" spans="1:10">
      <c r="A1" t="s">
        <v>1533</v>
      </c>
    </row>
    <row r="3" spans="1:10">
      <c r="A3" s="57" t="s">
        <v>47</v>
      </c>
      <c r="B3" s="58"/>
      <c r="C3" s="58" t="s">
        <v>48</v>
      </c>
      <c r="D3" s="58"/>
      <c r="E3" s="58" t="s">
        <v>49</v>
      </c>
      <c r="F3" s="58"/>
      <c r="G3" s="542" t="s">
        <v>50</v>
      </c>
      <c r="H3" s="543"/>
      <c r="I3" s="58" t="s">
        <v>51</v>
      </c>
      <c r="J3" s="59"/>
    </row>
    <row r="4" spans="1:10">
      <c r="A4" s="446"/>
      <c r="B4" s="69"/>
      <c r="C4" s="446" t="s">
        <v>1517</v>
      </c>
      <c r="D4" s="67">
        <v>450000</v>
      </c>
      <c r="E4" s="120" t="s">
        <v>1508</v>
      </c>
      <c r="F4" s="455">
        <v>180000</v>
      </c>
      <c r="G4" s="119" t="s">
        <v>686</v>
      </c>
      <c r="H4" s="120">
        <v>450000</v>
      </c>
      <c r="I4" s="120"/>
      <c r="J4" s="455"/>
    </row>
    <row r="5" spans="1:10">
      <c r="A5" s="446"/>
      <c r="B5" s="446"/>
      <c r="C5" s="455" t="s">
        <v>1127</v>
      </c>
      <c r="D5" s="455">
        <v>600000</v>
      </c>
      <c r="E5" s="120" t="s">
        <v>1023</v>
      </c>
      <c r="F5" s="455">
        <v>630000</v>
      </c>
      <c r="G5" s="119" t="s">
        <v>1311</v>
      </c>
      <c r="H5" s="120">
        <v>150000</v>
      </c>
      <c r="I5" s="119"/>
      <c r="J5" s="120"/>
    </row>
    <row r="6" spans="1:10">
      <c r="A6" s="446"/>
      <c r="B6" s="446"/>
      <c r="C6" s="455"/>
      <c r="D6" s="455"/>
      <c r="E6" s="455" t="s">
        <v>1291</v>
      </c>
      <c r="F6" s="455">
        <v>8995000</v>
      </c>
      <c r="G6" s="119" t="s">
        <v>802</v>
      </c>
      <c r="H6" s="120">
        <v>185000</v>
      </c>
      <c r="I6" s="119"/>
      <c r="J6" s="120"/>
    </row>
    <row r="7" spans="1:10">
      <c r="A7" s="446"/>
      <c r="B7" s="446"/>
      <c r="C7" s="455"/>
      <c r="D7" s="455"/>
      <c r="E7" s="455" t="s">
        <v>1175</v>
      </c>
      <c r="F7" s="455">
        <v>36000</v>
      </c>
      <c r="G7" s="119" t="s">
        <v>1429</v>
      </c>
      <c r="H7" s="120">
        <v>1194000</v>
      </c>
      <c r="I7" s="119"/>
      <c r="J7" s="120"/>
    </row>
    <row r="8" spans="1:10">
      <c r="A8" s="446"/>
      <c r="B8" s="446"/>
      <c r="C8" s="455"/>
      <c r="D8" s="455"/>
      <c r="E8" s="120"/>
      <c r="F8" s="455"/>
      <c r="G8" s="119" t="s">
        <v>1005</v>
      </c>
      <c r="H8" s="120">
        <v>202500</v>
      </c>
      <c r="I8" s="119"/>
      <c r="J8" s="120"/>
    </row>
    <row r="9" spans="1:10">
      <c r="A9" s="446"/>
      <c r="B9" s="446"/>
      <c r="C9" s="455"/>
      <c r="D9" s="455"/>
      <c r="E9" s="120"/>
      <c r="F9" s="455"/>
      <c r="G9" s="119" t="s">
        <v>1003</v>
      </c>
      <c r="H9" s="120">
        <v>450500</v>
      </c>
      <c r="I9" s="119"/>
      <c r="J9" s="120"/>
    </row>
    <row r="10" spans="1:10">
      <c r="A10" s="446"/>
      <c r="B10" s="446"/>
      <c r="C10" s="455"/>
      <c r="D10" s="455"/>
      <c r="E10" s="120"/>
      <c r="F10" s="455"/>
      <c r="G10" s="119" t="s">
        <v>1430</v>
      </c>
      <c r="H10" s="120">
        <v>503500</v>
      </c>
      <c r="I10" s="119"/>
      <c r="J10" s="120"/>
    </row>
    <row r="11" spans="1:10">
      <c r="A11" s="446"/>
      <c r="B11" s="446"/>
      <c r="C11" s="455"/>
      <c r="D11" s="455"/>
      <c r="E11" s="120"/>
      <c r="F11" s="455"/>
      <c r="G11" s="119" t="s">
        <v>1431</v>
      </c>
      <c r="H11" s="120">
        <v>600000</v>
      </c>
      <c r="I11" s="119"/>
      <c r="J11" s="120"/>
    </row>
    <row r="12" spans="1:10">
      <c r="A12" s="446"/>
      <c r="B12" s="446"/>
      <c r="C12" s="455"/>
      <c r="D12" s="455"/>
      <c r="E12" s="120"/>
      <c r="F12" s="455"/>
      <c r="G12" s="119" t="s">
        <v>1531</v>
      </c>
      <c r="H12" s="120">
        <v>600000</v>
      </c>
      <c r="I12" s="119"/>
      <c r="J12" s="120"/>
    </row>
    <row r="13" spans="1:10">
      <c r="A13" s="446"/>
      <c r="B13" s="446"/>
      <c r="C13" s="455"/>
      <c r="D13" s="455"/>
      <c r="E13" s="120"/>
      <c r="F13" s="455"/>
      <c r="G13" s="446" t="s">
        <v>1512</v>
      </c>
      <c r="H13" s="67">
        <v>600000</v>
      </c>
      <c r="I13" s="119"/>
      <c r="J13" s="120"/>
    </row>
    <row r="14" spans="1:10">
      <c r="A14" s="446"/>
      <c r="B14" s="446"/>
      <c r="C14" s="455"/>
      <c r="D14" s="455"/>
      <c r="E14" s="120"/>
      <c r="F14" s="455"/>
      <c r="G14" s="446" t="s">
        <v>1514</v>
      </c>
      <c r="H14" s="67">
        <v>20000000</v>
      </c>
      <c r="I14" s="119"/>
      <c r="J14" s="120"/>
    </row>
    <row r="15" spans="1:10">
      <c r="A15" s="446"/>
      <c r="B15" s="446"/>
      <c r="C15" s="455"/>
      <c r="D15" s="455"/>
      <c r="E15" s="120"/>
      <c r="F15" s="455"/>
      <c r="G15" s="446" t="s">
        <v>1515</v>
      </c>
      <c r="H15" s="67">
        <v>10000000</v>
      </c>
      <c r="I15" s="119"/>
      <c r="J15" s="120"/>
    </row>
    <row r="16" spans="1:10">
      <c r="A16" s="446"/>
      <c r="B16" s="446"/>
      <c r="C16" s="455"/>
      <c r="D16" s="455"/>
      <c r="E16" s="120"/>
      <c r="F16" s="455"/>
      <c r="G16" s="446" t="s">
        <v>1516</v>
      </c>
      <c r="H16" s="67">
        <v>10000000</v>
      </c>
      <c r="I16" s="119"/>
      <c r="J16" s="120"/>
    </row>
    <row r="17" spans="1:12">
      <c r="A17" s="446"/>
      <c r="B17" s="446"/>
      <c r="C17" s="455"/>
      <c r="D17" s="455"/>
      <c r="E17" s="120"/>
      <c r="F17" s="455"/>
      <c r="G17" s="446" t="s">
        <v>1519</v>
      </c>
      <c r="H17" s="67">
        <v>2000000</v>
      </c>
      <c r="I17" s="119"/>
      <c r="J17" s="120"/>
    </row>
    <row r="18" spans="1:12">
      <c r="A18" s="446"/>
      <c r="B18" s="446"/>
      <c r="C18" s="455"/>
      <c r="D18" s="455"/>
      <c r="E18" s="120"/>
      <c r="F18" s="455"/>
      <c r="G18" s="446" t="s">
        <v>1526</v>
      </c>
      <c r="H18" s="67">
        <v>18000000</v>
      </c>
      <c r="I18" s="119"/>
      <c r="J18" s="120"/>
    </row>
    <row r="19" spans="1:12">
      <c r="A19" s="446"/>
      <c r="B19" s="446"/>
      <c r="C19" s="455"/>
      <c r="D19" s="455"/>
      <c r="E19" s="120"/>
      <c r="F19" s="455"/>
      <c r="G19" s="455" t="s">
        <v>1521</v>
      </c>
      <c r="H19" s="455">
        <v>1000000</v>
      </c>
      <c r="I19" s="119"/>
      <c r="J19" s="120"/>
    </row>
    <row r="20" spans="1:12">
      <c r="A20" s="455"/>
      <c r="B20" s="455"/>
      <c r="C20" s="446"/>
      <c r="D20" s="455"/>
      <c r="E20" s="120"/>
      <c r="F20" s="455"/>
      <c r="G20" s="456" t="s">
        <v>1522</v>
      </c>
      <c r="H20" s="455">
        <v>758000</v>
      </c>
      <c r="I20" s="119"/>
      <c r="J20" s="120"/>
    </row>
    <row r="21" spans="1:12">
      <c r="A21" s="455"/>
      <c r="B21" s="455"/>
      <c r="C21" s="446"/>
      <c r="D21" s="446"/>
      <c r="E21" s="455"/>
      <c r="F21" s="455"/>
      <c r="G21" s="456" t="s">
        <v>1524</v>
      </c>
      <c r="H21" s="455">
        <v>1540000</v>
      </c>
      <c r="I21" s="119"/>
      <c r="J21" s="120"/>
    </row>
    <row r="22" spans="1:12">
      <c r="A22" s="455"/>
      <c r="B22" s="455"/>
      <c r="C22" s="120"/>
      <c r="D22" s="455"/>
      <c r="E22" s="455"/>
      <c r="F22" s="455"/>
      <c r="G22" s="456" t="s">
        <v>1525</v>
      </c>
      <c r="H22" s="455">
        <v>2000000</v>
      </c>
      <c r="I22" s="119"/>
      <c r="J22" s="120"/>
    </row>
    <row r="23" spans="1:12">
      <c r="A23" s="455"/>
      <c r="B23" s="455"/>
      <c r="C23" s="455"/>
      <c r="D23" s="455"/>
      <c r="E23" s="455"/>
      <c r="F23" s="455"/>
      <c r="G23" s="455"/>
      <c r="H23" s="455"/>
      <c r="I23" s="119"/>
      <c r="J23" s="120"/>
    </row>
    <row r="24" spans="1:12">
      <c r="A24" s="455"/>
      <c r="B24" s="455"/>
      <c r="C24" s="455"/>
      <c r="D24" s="455"/>
      <c r="E24" s="455"/>
      <c r="F24" s="455"/>
      <c r="G24" s="456"/>
      <c r="H24" s="455"/>
      <c r="I24" s="119"/>
      <c r="J24" s="120"/>
    </row>
    <row r="25" spans="1:12">
      <c r="A25" s="455"/>
      <c r="B25" s="455"/>
      <c r="C25" s="455"/>
      <c r="D25" s="455"/>
      <c r="E25" s="120"/>
      <c r="F25" s="455"/>
      <c r="G25" s="455"/>
      <c r="H25" s="455"/>
      <c r="I25" s="119"/>
      <c r="J25" s="120"/>
    </row>
    <row r="26" spans="1:12">
      <c r="A26" s="68"/>
      <c r="B26" s="69"/>
      <c r="C26" s="69"/>
      <c r="D26" s="69"/>
      <c r="E26" s="69"/>
      <c r="F26" s="69"/>
      <c r="G26" s="119"/>
      <c r="H26" s="120"/>
      <c r="I26" s="68"/>
      <c r="J26" s="69"/>
    </row>
    <row r="27" spans="1:12">
      <c r="A27" s="70"/>
      <c r="B27" s="71">
        <f>SUM(B4:B21)</f>
        <v>0</v>
      </c>
      <c r="C27" s="71">
        <f>SUM(C4:C21)</f>
        <v>0</v>
      </c>
      <c r="D27" s="71">
        <f>SUM(D4:D22)</f>
        <v>1050000</v>
      </c>
      <c r="E27" s="71">
        <f>SUM(E4:E21)</f>
        <v>0</v>
      </c>
      <c r="F27" s="71">
        <f>SUM(F4:F26)</f>
        <v>9841000</v>
      </c>
      <c r="G27" s="71">
        <f>SUM(G4:G21)</f>
        <v>0</v>
      </c>
      <c r="H27" s="71">
        <f>SUM(H4:H26)</f>
        <v>70233500</v>
      </c>
      <c r="I27" s="71">
        <f>SUM(I4:I21)</f>
        <v>0</v>
      </c>
      <c r="J27" s="71">
        <f>SUM(J4:J21)</f>
        <v>0</v>
      </c>
      <c r="L27" s="72">
        <f>+D27+F27+H27</f>
        <v>81124500</v>
      </c>
    </row>
    <row r="28" spans="1:12">
      <c r="C28" t="s">
        <v>1471</v>
      </c>
      <c r="D28" s="77">
        <v>100000</v>
      </c>
      <c r="H28" s="77"/>
    </row>
    <row r="29" spans="1:12">
      <c r="C29" t="s">
        <v>1208</v>
      </c>
      <c r="D29" s="77">
        <f>+D27-D28</f>
        <v>950000</v>
      </c>
      <c r="H29" s="77"/>
    </row>
    <row r="30" spans="1:12">
      <c r="H30" s="77"/>
    </row>
  </sheetData>
  <mergeCells count="1">
    <mergeCell ref="G3:H3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EB44-2BCA-4B82-8673-58481D30BBED}">
  <dimension ref="A1:R126"/>
  <sheetViews>
    <sheetView topLeftCell="M76" workbookViewId="0">
      <selection activeCell="R102" sqref="R102"/>
    </sheetView>
  </sheetViews>
  <sheetFormatPr defaultRowHeight="15"/>
  <cols>
    <col min="1" max="1" width="4.7109375" customWidth="1"/>
    <col min="3" max="3" width="58" customWidth="1"/>
    <col min="4" max="4" width="12.5703125" bestFit="1" customWidth="1"/>
    <col min="5" max="5" width="6.85546875" customWidth="1"/>
    <col min="6" max="6" width="6.28515625" bestFit="1" customWidth="1"/>
    <col min="7" max="7" width="6" bestFit="1" customWidth="1"/>
    <col min="8" max="8" width="12" bestFit="1" customWidth="1"/>
    <col min="10" max="10" width="10.5703125" bestFit="1" customWidth="1"/>
    <col min="11" max="11" width="4.7109375" customWidth="1"/>
    <col min="13" max="13" width="80.7109375" bestFit="1" customWidth="1"/>
    <col min="14" max="14" width="12.5703125" bestFit="1" customWidth="1"/>
    <col min="15" max="15" width="6.85546875" customWidth="1"/>
    <col min="16" max="16" width="6.28515625" bestFit="1" customWidth="1"/>
    <col min="17" max="17" width="6" bestFit="1" customWidth="1"/>
    <col min="18" max="18" width="12" bestFit="1" customWidth="1"/>
  </cols>
  <sheetData>
    <row r="1" spans="1:18" ht="15.75">
      <c r="A1" s="347" t="s">
        <v>0</v>
      </c>
      <c r="B1" s="2"/>
      <c r="C1" s="3"/>
      <c r="D1" s="3"/>
      <c r="E1" s="3"/>
      <c r="F1" s="3"/>
      <c r="G1" s="3"/>
      <c r="H1" s="3"/>
      <c r="K1" s="347" t="s">
        <v>0</v>
      </c>
      <c r="L1" s="2"/>
      <c r="M1" s="3"/>
      <c r="N1" s="3"/>
      <c r="O1" s="3"/>
      <c r="P1" s="3"/>
      <c r="Q1" s="3"/>
      <c r="R1" s="3"/>
    </row>
    <row r="2" spans="1:18" ht="15.75">
      <c r="A2" s="347" t="s">
        <v>1578</v>
      </c>
      <c r="B2" s="2"/>
      <c r="C2" s="3"/>
      <c r="D2" s="3"/>
      <c r="E2" s="3"/>
      <c r="F2" s="3"/>
      <c r="G2" s="3"/>
      <c r="H2" s="3"/>
      <c r="K2" s="347" t="s">
        <v>1578</v>
      </c>
      <c r="L2" s="2"/>
      <c r="M2" s="3"/>
      <c r="N2" s="3"/>
      <c r="O2" s="3"/>
      <c r="P2" s="3"/>
      <c r="Q2" s="3"/>
      <c r="R2" s="3"/>
    </row>
    <row r="3" spans="1:18">
      <c r="A3" s="550" t="s">
        <v>1</v>
      </c>
      <c r="B3" s="550"/>
      <c r="C3" s="550"/>
      <c r="D3" s="550"/>
      <c r="E3" s="550"/>
      <c r="F3" s="550"/>
      <c r="G3" s="550"/>
      <c r="H3" s="550"/>
      <c r="K3" s="550" t="s">
        <v>1</v>
      </c>
      <c r="L3" s="550"/>
      <c r="M3" s="550"/>
      <c r="N3" s="550"/>
      <c r="O3" s="550"/>
      <c r="P3" s="550"/>
      <c r="Q3" s="550"/>
      <c r="R3" s="550"/>
    </row>
    <row r="4" spans="1:18">
      <c r="A4" s="473"/>
      <c r="B4" s="44"/>
      <c r="C4" s="46" t="s">
        <v>2</v>
      </c>
      <c r="D4" s="69">
        <v>124000000</v>
      </c>
      <c r="E4" s="46"/>
      <c r="F4" s="46"/>
      <c r="G4" s="46"/>
      <c r="H4" s="46"/>
      <c r="K4" s="473"/>
      <c r="L4" s="44"/>
      <c r="M4" s="46" t="s">
        <v>2</v>
      </c>
      <c r="N4" s="69">
        <v>0</v>
      </c>
      <c r="O4" s="46"/>
      <c r="P4" s="46"/>
      <c r="Q4" s="46"/>
      <c r="R4" s="46"/>
    </row>
    <row r="5" spans="1:18">
      <c r="A5" s="473"/>
      <c r="B5" s="44"/>
      <c r="C5" s="46" t="s">
        <v>590</v>
      </c>
      <c r="D5" s="327">
        <v>0</v>
      </c>
      <c r="E5" s="46"/>
      <c r="F5" s="46"/>
      <c r="G5" s="46"/>
      <c r="H5" s="46"/>
      <c r="K5" s="473"/>
      <c r="L5" s="44"/>
      <c r="M5" s="46" t="s">
        <v>590</v>
      </c>
      <c r="N5" s="327">
        <v>0</v>
      </c>
      <c r="O5" s="46"/>
      <c r="P5" s="46"/>
      <c r="Q5" s="46"/>
      <c r="R5" s="46"/>
    </row>
    <row r="6" spans="1:18">
      <c r="A6" s="473"/>
      <c r="B6" s="44"/>
      <c r="C6" s="46" t="s">
        <v>3</v>
      </c>
      <c r="D6" s="474">
        <v>0</v>
      </c>
      <c r="E6" s="46"/>
      <c r="F6" s="46"/>
      <c r="G6" s="46"/>
      <c r="H6" s="46"/>
      <c r="K6" s="473"/>
      <c r="L6" s="44"/>
      <c r="M6" s="46" t="s">
        <v>3</v>
      </c>
      <c r="N6" s="474">
        <v>0</v>
      </c>
      <c r="O6" s="46"/>
      <c r="P6" s="46"/>
      <c r="Q6" s="46"/>
      <c r="R6" s="46"/>
    </row>
    <row r="7" spans="1:18">
      <c r="A7" s="473"/>
      <c r="B7" s="44"/>
      <c r="C7" s="46" t="s">
        <v>4</v>
      </c>
      <c r="D7" s="475">
        <v>1139810</v>
      </c>
      <c r="E7" s="46"/>
      <c r="F7" s="46"/>
      <c r="G7" s="46"/>
      <c r="H7" s="46"/>
      <c r="K7" s="473"/>
      <c r="L7" s="44"/>
      <c r="M7" s="46" t="s">
        <v>4</v>
      </c>
      <c r="N7" s="475">
        <v>1139810</v>
      </c>
      <c r="O7" s="46"/>
      <c r="P7" s="46"/>
      <c r="Q7" s="46"/>
      <c r="R7" s="46"/>
    </row>
    <row r="8" spans="1:18">
      <c r="A8" s="473"/>
      <c r="B8" s="44"/>
      <c r="C8" s="46" t="s">
        <v>5</v>
      </c>
      <c r="D8" s="46">
        <v>1146153</v>
      </c>
      <c r="E8" s="46"/>
      <c r="F8" s="46"/>
      <c r="G8" s="46"/>
      <c r="H8" s="46"/>
      <c r="K8" s="473"/>
      <c r="L8" s="44"/>
      <c r="M8" s="46" t="s">
        <v>5</v>
      </c>
      <c r="N8" s="46">
        <v>1146153</v>
      </c>
      <c r="O8" s="46"/>
      <c r="P8" s="46"/>
      <c r="Q8" s="46"/>
      <c r="R8" s="46"/>
    </row>
    <row r="9" spans="1:18">
      <c r="A9" s="473"/>
      <c r="B9" s="44"/>
      <c r="C9" s="46" t="s">
        <v>6</v>
      </c>
      <c r="D9" s="46">
        <v>3297735.5133333281</v>
      </c>
      <c r="E9" s="46"/>
      <c r="F9" s="46"/>
      <c r="G9" s="46"/>
      <c r="H9" s="46"/>
      <c r="K9" s="473"/>
      <c r="L9" s="44"/>
      <c r="M9" s="46" t="s">
        <v>6</v>
      </c>
      <c r="N9" s="46">
        <v>3297735.5133333281</v>
      </c>
      <c r="O9" s="46"/>
      <c r="P9" s="46"/>
      <c r="Q9" s="46"/>
      <c r="R9" s="46"/>
    </row>
    <row r="10" spans="1:18">
      <c r="A10" s="473"/>
      <c r="B10" s="44"/>
      <c r="C10" s="46" t="s">
        <v>7</v>
      </c>
      <c r="D10" s="46">
        <v>2363662</v>
      </c>
      <c r="E10" s="46"/>
      <c r="F10" s="46"/>
      <c r="G10" s="46"/>
      <c r="H10" s="46"/>
      <c r="K10" s="473"/>
      <c r="L10" s="44"/>
      <c r="M10" s="46" t="s">
        <v>7</v>
      </c>
      <c r="N10" s="46">
        <v>2363662</v>
      </c>
      <c r="O10" s="46"/>
      <c r="P10" s="46"/>
      <c r="Q10" s="46"/>
      <c r="R10" s="46"/>
    </row>
    <row r="11" spans="1:18">
      <c r="A11" s="473"/>
      <c r="B11" s="44"/>
      <c r="C11" s="46"/>
      <c r="D11" s="46"/>
      <c r="E11" s="46"/>
      <c r="F11" s="46"/>
      <c r="G11" s="46"/>
      <c r="H11" s="46"/>
      <c r="K11" s="473"/>
      <c r="L11" s="44"/>
      <c r="M11" s="46"/>
      <c r="N11" s="46"/>
      <c r="O11" s="46"/>
      <c r="P11" s="46"/>
      <c r="Q11" s="46"/>
      <c r="R11" s="46"/>
    </row>
    <row r="12" spans="1:18">
      <c r="A12" s="547" t="s">
        <v>1071</v>
      </c>
      <c r="B12" s="547"/>
      <c r="C12" s="547"/>
      <c r="D12" s="547"/>
      <c r="E12" s="547"/>
      <c r="F12" s="547"/>
      <c r="G12" s="547"/>
      <c r="H12" s="48">
        <f>SUM(D4:D10)</f>
        <v>131947360.51333332</v>
      </c>
      <c r="K12" s="547" t="s">
        <v>1071</v>
      </c>
      <c r="L12" s="547"/>
      <c r="M12" s="547"/>
      <c r="N12" s="547"/>
      <c r="O12" s="547"/>
      <c r="P12" s="547"/>
      <c r="Q12" s="547"/>
      <c r="R12" s="48">
        <f>SUM(N4:N10)</f>
        <v>7947360.5133333281</v>
      </c>
    </row>
    <row r="13" spans="1:18">
      <c r="A13" s="551" t="s">
        <v>8</v>
      </c>
      <c r="B13" s="551"/>
      <c r="C13" s="551"/>
      <c r="D13" s="551"/>
      <c r="E13" s="551"/>
      <c r="F13" s="551"/>
      <c r="G13" s="551"/>
      <c r="H13" s="551"/>
      <c r="K13" s="551" t="s">
        <v>8</v>
      </c>
      <c r="L13" s="551"/>
      <c r="M13" s="551"/>
      <c r="N13" s="551"/>
      <c r="O13" s="551"/>
      <c r="P13" s="551"/>
      <c r="Q13" s="551"/>
      <c r="R13" s="551"/>
    </row>
    <row r="14" spans="1:18">
      <c r="A14" s="552" t="s">
        <v>9</v>
      </c>
      <c r="B14" s="553" t="s">
        <v>10</v>
      </c>
      <c r="C14" s="554" t="s">
        <v>11</v>
      </c>
      <c r="D14" s="554" t="s">
        <v>12</v>
      </c>
      <c r="E14" s="547" t="s">
        <v>13</v>
      </c>
      <c r="F14" s="547"/>
      <c r="G14" s="547"/>
      <c r="H14" s="547"/>
      <c r="K14" s="552" t="s">
        <v>9</v>
      </c>
      <c r="L14" s="553" t="s">
        <v>10</v>
      </c>
      <c r="M14" s="554" t="s">
        <v>11</v>
      </c>
      <c r="N14" s="554" t="s">
        <v>12</v>
      </c>
      <c r="O14" s="547" t="s">
        <v>13</v>
      </c>
      <c r="P14" s="547"/>
      <c r="Q14" s="547"/>
      <c r="R14" s="547"/>
    </row>
    <row r="15" spans="1:18">
      <c r="A15" s="552"/>
      <c r="B15" s="553"/>
      <c r="C15" s="554"/>
      <c r="D15" s="554"/>
      <c r="E15" s="43" t="s">
        <v>14</v>
      </c>
      <c r="F15" s="43" t="s">
        <v>15</v>
      </c>
      <c r="G15" s="43" t="s">
        <v>16</v>
      </c>
      <c r="H15" s="43" t="s">
        <v>17</v>
      </c>
      <c r="K15" s="552"/>
      <c r="L15" s="553"/>
      <c r="M15" s="554"/>
      <c r="N15" s="554"/>
      <c r="O15" s="43" t="s">
        <v>14</v>
      </c>
      <c r="P15" s="43" t="s">
        <v>15</v>
      </c>
      <c r="Q15" s="43" t="s">
        <v>16</v>
      </c>
      <c r="R15" s="43" t="s">
        <v>17</v>
      </c>
    </row>
    <row r="16" spans="1:18">
      <c r="A16" s="476"/>
      <c r="B16" s="477" t="s">
        <v>1214</v>
      </c>
      <c r="C16" s="119" t="s">
        <v>1215</v>
      </c>
      <c r="D16" s="120">
        <v>1600000</v>
      </c>
      <c r="E16" s="469"/>
      <c r="F16" s="469"/>
      <c r="G16" s="469"/>
      <c r="H16" s="469"/>
      <c r="K16" s="476"/>
      <c r="L16" s="477" t="s">
        <v>1214</v>
      </c>
      <c r="M16" s="119" t="s">
        <v>1215</v>
      </c>
      <c r="N16" s="120"/>
      <c r="O16" s="469"/>
      <c r="P16" s="469"/>
      <c r="Q16" s="469"/>
      <c r="R16" s="469"/>
    </row>
    <row r="17" spans="1:18">
      <c r="A17" s="476"/>
      <c r="B17" s="477" t="s">
        <v>1214</v>
      </c>
      <c r="C17" s="119" t="s">
        <v>1242</v>
      </c>
      <c r="D17" s="120">
        <v>1250000</v>
      </c>
      <c r="E17" s="469"/>
      <c r="F17" s="469"/>
      <c r="G17" s="469"/>
      <c r="H17" s="469"/>
      <c r="K17" s="476"/>
      <c r="L17" s="477" t="s">
        <v>1214</v>
      </c>
      <c r="M17" s="119" t="s">
        <v>1242</v>
      </c>
      <c r="N17" s="120">
        <v>1250000</v>
      </c>
      <c r="O17" s="469"/>
      <c r="P17" s="469"/>
      <c r="Q17" s="469"/>
      <c r="R17" s="469"/>
    </row>
    <row r="18" spans="1:18">
      <c r="A18" s="476"/>
      <c r="B18" s="477" t="s">
        <v>1347</v>
      </c>
      <c r="C18" s="119" t="s">
        <v>1349</v>
      </c>
      <c r="D18" s="120">
        <f>60000*7</f>
        <v>420000</v>
      </c>
      <c r="E18" s="469"/>
      <c r="F18" s="469"/>
      <c r="G18" s="469"/>
      <c r="H18" s="469"/>
      <c r="K18" s="476"/>
      <c r="L18" s="477" t="s">
        <v>1347</v>
      </c>
      <c r="M18" s="119" t="s">
        <v>1349</v>
      </c>
      <c r="N18" s="120"/>
      <c r="O18" s="469"/>
      <c r="P18" s="469"/>
      <c r="Q18" s="469"/>
      <c r="R18" s="469"/>
    </row>
    <row r="19" spans="1:18">
      <c r="A19" s="476"/>
      <c r="B19" s="477" t="s">
        <v>1347</v>
      </c>
      <c r="C19" s="119" t="s">
        <v>1348</v>
      </c>
      <c r="D19" s="120">
        <f>300000*7</f>
        <v>2100000</v>
      </c>
      <c r="E19" s="469"/>
      <c r="F19" s="469"/>
      <c r="G19" s="469"/>
      <c r="H19" s="469"/>
      <c r="K19" s="476"/>
      <c r="L19" s="477" t="s">
        <v>1347</v>
      </c>
      <c r="M19" s="119" t="s">
        <v>1348</v>
      </c>
      <c r="N19" s="120"/>
      <c r="O19" s="469"/>
      <c r="P19" s="469"/>
      <c r="Q19" s="469"/>
      <c r="R19" s="469"/>
    </row>
    <row r="20" spans="1:18">
      <c r="A20" s="476"/>
      <c r="B20" s="477" t="s">
        <v>1379</v>
      </c>
      <c r="C20" s="119" t="s">
        <v>1380</v>
      </c>
      <c r="D20" s="120">
        <v>175000</v>
      </c>
      <c r="E20" s="469"/>
      <c r="F20" s="469"/>
      <c r="G20" s="469"/>
      <c r="H20" s="469"/>
      <c r="K20" s="476"/>
      <c r="L20" s="477" t="s">
        <v>1379</v>
      </c>
      <c r="M20" s="119" t="s">
        <v>1380</v>
      </c>
      <c r="N20" s="120">
        <v>175000</v>
      </c>
      <c r="O20" s="469"/>
      <c r="P20" s="469"/>
      <c r="Q20" s="469"/>
      <c r="R20" s="469"/>
    </row>
    <row r="21" spans="1:18">
      <c r="A21" s="476"/>
      <c r="B21" s="477" t="s">
        <v>1379</v>
      </c>
      <c r="C21" s="119" t="s">
        <v>1408</v>
      </c>
      <c r="D21" s="120">
        <v>500000</v>
      </c>
      <c r="E21" s="469"/>
      <c r="F21" s="469"/>
      <c r="G21" s="469"/>
      <c r="H21" s="469"/>
      <c r="K21" s="476"/>
      <c r="L21" s="477" t="s">
        <v>1379</v>
      </c>
      <c r="M21" s="119" t="s">
        <v>1408</v>
      </c>
      <c r="N21" s="120">
        <v>500000</v>
      </c>
      <c r="O21" s="469"/>
      <c r="P21" s="469"/>
      <c r="Q21" s="469"/>
      <c r="R21" s="469"/>
    </row>
    <row r="22" spans="1:18">
      <c r="A22" s="476"/>
      <c r="B22" s="477" t="s">
        <v>1379</v>
      </c>
      <c r="C22" s="119" t="s">
        <v>1404</v>
      </c>
      <c r="D22" s="120">
        <v>300000</v>
      </c>
      <c r="E22" s="469"/>
      <c r="F22" s="469"/>
      <c r="G22" s="469"/>
      <c r="H22" s="469"/>
      <c r="K22" s="476"/>
      <c r="L22" s="477" t="s">
        <v>1379</v>
      </c>
      <c r="M22" s="119" t="s">
        <v>1404</v>
      </c>
      <c r="N22" s="120">
        <v>300000</v>
      </c>
      <c r="O22" s="469"/>
      <c r="P22" s="469"/>
      <c r="Q22" s="469"/>
      <c r="R22" s="469"/>
    </row>
    <row r="23" spans="1:18">
      <c r="A23" s="476"/>
      <c r="B23" s="477" t="s">
        <v>1428</v>
      </c>
      <c r="C23" s="119" t="s">
        <v>686</v>
      </c>
      <c r="D23" s="120">
        <v>450000</v>
      </c>
      <c r="E23" s="469"/>
      <c r="F23" s="469"/>
      <c r="G23" s="469"/>
      <c r="H23" s="469"/>
      <c r="K23" s="476"/>
      <c r="L23" s="477" t="s">
        <v>1428</v>
      </c>
      <c r="M23" s="119" t="s">
        <v>686</v>
      </c>
      <c r="N23" s="120">
        <v>450000</v>
      </c>
      <c r="O23" s="469"/>
      <c r="P23" s="469"/>
      <c r="Q23" s="469"/>
      <c r="R23" s="469"/>
    </row>
    <row r="24" spans="1:18">
      <c r="A24" s="476"/>
      <c r="B24" s="477" t="s">
        <v>1428</v>
      </c>
      <c r="C24" s="119" t="s">
        <v>1311</v>
      </c>
      <c r="D24" s="120">
        <v>150000</v>
      </c>
      <c r="E24" s="469"/>
      <c r="F24" s="469"/>
      <c r="G24" s="469"/>
      <c r="H24" s="469"/>
      <c r="K24" s="476"/>
      <c r="L24" s="477" t="s">
        <v>1428</v>
      </c>
      <c r="M24" s="119" t="s">
        <v>1311</v>
      </c>
      <c r="N24" s="120">
        <v>150000</v>
      </c>
      <c r="O24" s="469"/>
      <c r="P24" s="469"/>
      <c r="Q24" s="469"/>
      <c r="R24" s="469"/>
    </row>
    <row r="25" spans="1:18">
      <c r="A25" s="476"/>
      <c r="B25" s="477" t="s">
        <v>1428</v>
      </c>
      <c r="C25" s="119" t="s">
        <v>802</v>
      </c>
      <c r="D25" s="120">
        <v>185000</v>
      </c>
      <c r="E25" s="469"/>
      <c r="F25" s="469"/>
      <c r="G25" s="469"/>
      <c r="H25" s="469"/>
      <c r="K25" s="476"/>
      <c r="L25" s="477" t="s">
        <v>1428</v>
      </c>
      <c r="M25" s="119" t="s">
        <v>802</v>
      </c>
      <c r="N25" s="120">
        <v>185000</v>
      </c>
      <c r="O25" s="469"/>
      <c r="P25" s="469"/>
      <c r="Q25" s="469"/>
      <c r="R25" s="469"/>
    </row>
    <row r="26" spans="1:18">
      <c r="A26" s="476"/>
      <c r="B26" s="477" t="s">
        <v>1428</v>
      </c>
      <c r="C26" s="119" t="s">
        <v>1429</v>
      </c>
      <c r="D26" s="120">
        <v>1194000</v>
      </c>
      <c r="E26" s="469"/>
      <c r="F26" s="469"/>
      <c r="G26" s="469"/>
      <c r="H26" s="469"/>
      <c r="K26" s="476"/>
      <c r="L26" s="477" t="s">
        <v>1428</v>
      </c>
      <c r="M26" s="119" t="s">
        <v>1429</v>
      </c>
      <c r="N26" s="120">
        <v>1194000</v>
      </c>
      <c r="O26" s="469"/>
      <c r="P26" s="469"/>
      <c r="Q26" s="469"/>
      <c r="R26" s="469"/>
    </row>
    <row r="27" spans="1:18">
      <c r="A27" s="476"/>
      <c r="B27" s="477" t="s">
        <v>1428</v>
      </c>
      <c r="C27" s="119" t="s">
        <v>1005</v>
      </c>
      <c r="D27" s="120">
        <v>202500</v>
      </c>
      <c r="E27" s="469"/>
      <c r="F27" s="469"/>
      <c r="G27" s="469"/>
      <c r="H27" s="469"/>
      <c r="K27" s="476"/>
      <c r="L27" s="477" t="s">
        <v>1428</v>
      </c>
      <c r="M27" s="119" t="s">
        <v>1005</v>
      </c>
      <c r="N27" s="120">
        <v>202500</v>
      </c>
      <c r="O27" s="469"/>
      <c r="P27" s="469"/>
      <c r="Q27" s="469"/>
      <c r="R27" s="469"/>
    </row>
    <row r="28" spans="1:18">
      <c r="A28" s="476"/>
      <c r="B28" s="477" t="s">
        <v>1428</v>
      </c>
      <c r="C28" s="119" t="s">
        <v>1003</v>
      </c>
      <c r="D28" s="120">
        <v>450500</v>
      </c>
      <c r="E28" s="469"/>
      <c r="F28" s="469"/>
      <c r="G28" s="469"/>
      <c r="H28" s="469"/>
      <c r="K28" s="476"/>
      <c r="L28" s="477" t="s">
        <v>1428</v>
      </c>
      <c r="M28" s="119" t="s">
        <v>1003</v>
      </c>
      <c r="N28" s="120">
        <v>450500</v>
      </c>
      <c r="O28" s="469"/>
      <c r="P28" s="469"/>
      <c r="Q28" s="469"/>
      <c r="R28" s="469"/>
    </row>
    <row r="29" spans="1:18">
      <c r="A29" s="476"/>
      <c r="B29" s="477" t="s">
        <v>1428</v>
      </c>
      <c r="C29" s="119" t="s">
        <v>1430</v>
      </c>
      <c r="D29" s="120">
        <v>503500</v>
      </c>
      <c r="E29" s="469"/>
      <c r="F29" s="469"/>
      <c r="G29" s="469"/>
      <c r="H29" s="469"/>
      <c r="K29" s="476"/>
      <c r="L29" s="477" t="s">
        <v>1428</v>
      </c>
      <c r="M29" s="119" t="s">
        <v>1430</v>
      </c>
      <c r="N29" s="120">
        <v>503500</v>
      </c>
      <c r="O29" s="469"/>
      <c r="P29" s="469"/>
      <c r="Q29" s="469"/>
      <c r="R29" s="469"/>
    </row>
    <row r="30" spans="1:18">
      <c r="A30" s="476"/>
      <c r="B30" s="477" t="s">
        <v>1428</v>
      </c>
      <c r="C30" s="119" t="s">
        <v>1431</v>
      </c>
      <c r="D30" s="120">
        <v>600000</v>
      </c>
      <c r="E30" s="469"/>
      <c r="F30" s="469"/>
      <c r="G30" s="469"/>
      <c r="H30" s="469"/>
      <c r="K30" s="476"/>
      <c r="L30" s="477" t="s">
        <v>1428</v>
      </c>
      <c r="M30" s="119" t="s">
        <v>1431</v>
      </c>
      <c r="N30" s="120">
        <v>600000</v>
      </c>
      <c r="O30" s="469"/>
      <c r="P30" s="469"/>
      <c r="Q30" s="469"/>
      <c r="R30" s="469"/>
    </row>
    <row r="31" spans="1:18">
      <c r="A31" s="476"/>
      <c r="B31" s="477" t="s">
        <v>1432</v>
      </c>
      <c r="C31" s="119" t="s">
        <v>1433</v>
      </c>
      <c r="D31" s="120">
        <v>504000</v>
      </c>
      <c r="E31" s="469"/>
      <c r="F31" s="469"/>
      <c r="G31" s="469"/>
      <c r="H31" s="469"/>
      <c r="K31" s="476"/>
      <c r="L31" s="477" t="s">
        <v>1432</v>
      </c>
      <c r="M31" s="119" t="s">
        <v>1433</v>
      </c>
      <c r="N31" s="120"/>
      <c r="O31" s="469"/>
      <c r="P31" s="469"/>
      <c r="Q31" s="469"/>
      <c r="R31" s="469"/>
    </row>
    <row r="32" spans="1:18">
      <c r="A32" s="476"/>
      <c r="B32" s="477" t="s">
        <v>1444</v>
      </c>
      <c r="C32" s="119" t="s">
        <v>1465</v>
      </c>
      <c r="D32" s="120">
        <v>2000000</v>
      </c>
      <c r="E32" s="469"/>
      <c r="F32" s="469"/>
      <c r="G32" s="469"/>
      <c r="H32" s="469"/>
      <c r="K32" s="476"/>
      <c r="L32" s="477" t="s">
        <v>1444</v>
      </c>
      <c r="M32" s="119" t="s">
        <v>1465</v>
      </c>
      <c r="N32" s="120"/>
      <c r="O32" s="469"/>
      <c r="P32" s="469"/>
      <c r="Q32" s="469"/>
      <c r="R32" s="469"/>
    </row>
    <row r="33" spans="1:18">
      <c r="A33" s="476"/>
      <c r="B33" s="477"/>
      <c r="C33" s="119" t="s">
        <v>1390</v>
      </c>
      <c r="D33" s="120">
        <v>16000</v>
      </c>
      <c r="E33" s="469"/>
      <c r="F33" s="469"/>
      <c r="G33" s="469"/>
      <c r="H33" s="469"/>
      <c r="K33" s="476"/>
      <c r="L33" s="477"/>
      <c r="M33" s="119" t="s">
        <v>1390</v>
      </c>
      <c r="N33" s="120">
        <v>16000</v>
      </c>
      <c r="O33" s="469"/>
      <c r="P33" s="469"/>
      <c r="Q33" s="469"/>
      <c r="R33" s="469"/>
    </row>
    <row r="34" spans="1:18">
      <c r="A34" s="476"/>
      <c r="B34" s="477" t="s">
        <v>1553</v>
      </c>
      <c r="C34" s="119" t="s">
        <v>1552</v>
      </c>
      <c r="D34" s="120">
        <v>75000</v>
      </c>
      <c r="E34" s="469"/>
      <c r="F34" s="469"/>
      <c r="G34" s="469"/>
      <c r="H34" s="469"/>
      <c r="K34" s="476"/>
      <c r="L34" s="477" t="s">
        <v>1553</v>
      </c>
      <c r="M34" s="119" t="s">
        <v>1552</v>
      </c>
      <c r="N34" s="120">
        <v>75000</v>
      </c>
      <c r="O34" s="469"/>
      <c r="P34" s="469"/>
      <c r="Q34" s="469"/>
      <c r="R34" s="469"/>
    </row>
    <row r="35" spans="1:18">
      <c r="A35" s="478"/>
      <c r="B35" s="477"/>
      <c r="C35" s="43" t="s">
        <v>20</v>
      </c>
      <c r="D35" s="48">
        <f>SUM(D16:D34)</f>
        <v>12675500</v>
      </c>
      <c r="E35" s="48"/>
      <c r="F35" s="48"/>
      <c r="G35" s="48"/>
      <c r="H35" s="48"/>
      <c r="K35" s="478"/>
      <c r="L35" s="477"/>
      <c r="M35" s="43" t="s">
        <v>20</v>
      </c>
      <c r="N35" s="48">
        <f>SUM(N16:N34)</f>
        <v>6051500</v>
      </c>
      <c r="O35" s="48"/>
      <c r="P35" s="48"/>
      <c r="Q35" s="48"/>
      <c r="R35" s="48"/>
    </row>
    <row r="36" spans="1:18">
      <c r="A36" s="479"/>
      <c r="B36" s="43"/>
      <c r="C36" s="480" t="s">
        <v>21</v>
      </c>
      <c r="D36" s="481"/>
      <c r="E36" s="481"/>
      <c r="F36" s="481"/>
      <c r="G36" s="481"/>
      <c r="H36" s="42">
        <f>+D35</f>
        <v>12675500</v>
      </c>
      <c r="K36" s="479"/>
      <c r="L36" s="43"/>
      <c r="M36" s="480" t="s">
        <v>21</v>
      </c>
      <c r="N36" s="481"/>
      <c r="O36" s="481"/>
      <c r="P36" s="481"/>
      <c r="Q36" s="481"/>
      <c r="R36" s="42">
        <f>+N35</f>
        <v>6051500</v>
      </c>
    </row>
    <row r="37" spans="1:18">
      <c r="A37" s="549" t="s">
        <v>22</v>
      </c>
      <c r="B37" s="549"/>
      <c r="C37" s="549"/>
      <c r="D37" s="549"/>
      <c r="E37" s="549">
        <f>+H36</f>
        <v>12675500</v>
      </c>
      <c r="F37" s="549"/>
      <c r="G37" s="549"/>
      <c r="H37" s="549"/>
      <c r="K37" s="549" t="s">
        <v>22</v>
      </c>
      <c r="L37" s="549"/>
      <c r="M37" s="549"/>
      <c r="N37" s="549"/>
      <c r="O37" s="549">
        <f>+R36</f>
        <v>6051500</v>
      </c>
      <c r="P37" s="549"/>
      <c r="Q37" s="549"/>
      <c r="R37" s="549"/>
    </row>
    <row r="38" spans="1:18">
      <c r="A38" s="546" t="s">
        <v>23</v>
      </c>
      <c r="B38" s="546"/>
      <c r="C38" s="546"/>
      <c r="D38" s="546"/>
      <c r="E38" s="546"/>
      <c r="F38" s="546"/>
      <c r="G38" s="546"/>
      <c r="H38" s="546"/>
      <c r="K38" s="546" t="s">
        <v>23</v>
      </c>
      <c r="L38" s="546"/>
      <c r="M38" s="546"/>
      <c r="N38" s="546"/>
      <c r="O38" s="546"/>
      <c r="P38" s="546"/>
      <c r="Q38" s="546"/>
      <c r="R38" s="546"/>
    </row>
    <row r="39" spans="1:18">
      <c r="A39" s="476"/>
      <c r="B39" s="470" t="s">
        <v>1554</v>
      </c>
      <c r="C39" s="120" t="s">
        <v>1542</v>
      </c>
      <c r="D39" s="455">
        <v>300000</v>
      </c>
      <c r="E39" s="446"/>
      <c r="F39" s="446"/>
      <c r="G39" s="469"/>
      <c r="H39" s="469"/>
      <c r="K39" s="476"/>
      <c r="L39" s="470" t="s">
        <v>1554</v>
      </c>
      <c r="M39" s="120" t="s">
        <v>1542</v>
      </c>
      <c r="N39" s="455">
        <v>300000</v>
      </c>
      <c r="O39" s="446"/>
      <c r="P39" s="446"/>
      <c r="Q39" s="469"/>
      <c r="R39" s="469"/>
    </row>
    <row r="40" spans="1:18">
      <c r="A40" s="476"/>
      <c r="B40" s="470" t="s">
        <v>1554</v>
      </c>
      <c r="C40" s="120" t="s">
        <v>1543</v>
      </c>
      <c r="D40" s="455">
        <v>150000</v>
      </c>
      <c r="E40" s="446"/>
      <c r="F40" s="446"/>
      <c r="G40" s="469"/>
      <c r="H40" s="469"/>
      <c r="K40" s="476"/>
      <c r="L40" s="470" t="s">
        <v>1554</v>
      </c>
      <c r="M40" s="120" t="s">
        <v>1543</v>
      </c>
      <c r="N40" s="455">
        <v>150000</v>
      </c>
      <c r="O40" s="446"/>
      <c r="P40" s="446"/>
      <c r="Q40" s="469"/>
      <c r="R40" s="469"/>
    </row>
    <row r="41" spans="1:18">
      <c r="A41" s="476"/>
      <c r="B41" s="470" t="s">
        <v>1549</v>
      </c>
      <c r="C41" s="120" t="s">
        <v>1547</v>
      </c>
      <c r="D41" s="455">
        <v>180000</v>
      </c>
      <c r="E41" s="446"/>
      <c r="F41" s="446"/>
      <c r="G41" s="469"/>
      <c r="H41" s="469"/>
      <c r="K41" s="476"/>
      <c r="L41" s="470" t="s">
        <v>1549</v>
      </c>
      <c r="M41" s="120" t="s">
        <v>1547</v>
      </c>
      <c r="N41" s="455">
        <v>180000</v>
      </c>
      <c r="O41" s="446"/>
      <c r="P41" s="446"/>
      <c r="Q41" s="469"/>
      <c r="R41" s="469"/>
    </row>
    <row r="42" spans="1:18">
      <c r="A42" s="476"/>
      <c r="B42" s="470" t="s">
        <v>1550</v>
      </c>
      <c r="C42" s="120" t="s">
        <v>1548</v>
      </c>
      <c r="D42" s="455">
        <v>130000</v>
      </c>
      <c r="E42" s="446"/>
      <c r="F42" s="446"/>
      <c r="G42" s="469"/>
      <c r="H42" s="469"/>
      <c r="K42" s="476"/>
      <c r="L42" s="470" t="s">
        <v>1550</v>
      </c>
      <c r="M42" s="120" t="s">
        <v>1548</v>
      </c>
      <c r="N42" s="455">
        <v>130000</v>
      </c>
      <c r="O42" s="446"/>
      <c r="P42" s="446"/>
      <c r="Q42" s="469"/>
      <c r="R42" s="469"/>
    </row>
    <row r="43" spans="1:18">
      <c r="A43" s="476"/>
      <c r="B43" s="470" t="s">
        <v>1550</v>
      </c>
      <c r="C43" s="120" t="s">
        <v>1546</v>
      </c>
      <c r="D43" s="455">
        <v>3000000</v>
      </c>
      <c r="E43" s="446"/>
      <c r="F43" s="446"/>
      <c r="G43" s="469"/>
      <c r="H43" s="469"/>
      <c r="K43" s="476"/>
      <c r="L43" s="470" t="s">
        <v>1550</v>
      </c>
      <c r="M43" s="120" t="s">
        <v>1546</v>
      </c>
      <c r="N43" s="455">
        <v>3000000</v>
      </c>
      <c r="O43" s="446"/>
      <c r="P43" s="446"/>
      <c r="Q43" s="469"/>
      <c r="R43" s="469"/>
    </row>
    <row r="44" spans="1:18">
      <c r="A44" s="482"/>
      <c r="B44" s="477"/>
      <c r="C44" s="471" t="s">
        <v>24</v>
      </c>
      <c r="D44" s="472">
        <f>SUM(D39:D43)</f>
        <v>3760000</v>
      </c>
      <c r="E44" s="472"/>
      <c r="F44" s="472"/>
      <c r="G44" s="472"/>
      <c r="H44" s="472"/>
      <c r="K44" s="482"/>
      <c r="L44" s="477"/>
      <c r="M44" s="471" t="s">
        <v>24</v>
      </c>
      <c r="N44" s="472">
        <f>SUM(N39:N43)</f>
        <v>3760000</v>
      </c>
      <c r="O44" s="472"/>
      <c r="P44" s="472"/>
      <c r="Q44" s="472"/>
      <c r="R44" s="472"/>
    </row>
    <row r="45" spans="1:18">
      <c r="A45" s="479"/>
      <c r="B45" s="477"/>
      <c r="C45" s="43" t="s">
        <v>21</v>
      </c>
      <c r="D45" s="48"/>
      <c r="E45" s="547">
        <f>D44</f>
        <v>3760000</v>
      </c>
      <c r="F45" s="547"/>
      <c r="G45" s="547"/>
      <c r="H45" s="547"/>
      <c r="K45" s="479"/>
      <c r="L45" s="477"/>
      <c r="M45" s="43" t="s">
        <v>21</v>
      </c>
      <c r="N45" s="48"/>
      <c r="O45" s="547">
        <f>N44</f>
        <v>3760000</v>
      </c>
      <c r="P45" s="547"/>
      <c r="Q45" s="547"/>
      <c r="R45" s="547"/>
    </row>
    <row r="46" spans="1:18">
      <c r="A46" s="546" t="s">
        <v>1280</v>
      </c>
      <c r="B46" s="546"/>
      <c r="C46" s="546"/>
      <c r="D46" s="546"/>
      <c r="E46" s="546"/>
      <c r="F46" s="546"/>
      <c r="G46" s="546"/>
      <c r="H46" s="546"/>
      <c r="K46" s="546" t="s">
        <v>1280</v>
      </c>
      <c r="L46" s="546"/>
      <c r="M46" s="546"/>
      <c r="N46" s="546"/>
      <c r="O46" s="546"/>
      <c r="P46" s="546"/>
      <c r="Q46" s="546"/>
      <c r="R46" s="546"/>
    </row>
    <row r="47" spans="1:18">
      <c r="A47" s="476"/>
      <c r="B47" s="455" t="s">
        <v>1391</v>
      </c>
      <c r="C47" s="446" t="s">
        <v>1434</v>
      </c>
      <c r="D47" s="446">
        <v>300000</v>
      </c>
      <c r="E47" s="43"/>
      <c r="F47" s="43"/>
      <c r="G47" s="43"/>
      <c r="H47" s="43"/>
      <c r="K47" s="476"/>
      <c r="L47" s="455" t="s">
        <v>1391</v>
      </c>
      <c r="M47" s="446" t="s">
        <v>1434</v>
      </c>
      <c r="N47" s="446">
        <v>300000</v>
      </c>
      <c r="O47" s="43"/>
      <c r="P47" s="43"/>
      <c r="Q47" s="43"/>
      <c r="R47" s="43"/>
    </row>
    <row r="48" spans="1:18">
      <c r="A48" s="476"/>
      <c r="B48" s="455" t="s">
        <v>1391</v>
      </c>
      <c r="C48" s="446" t="s">
        <v>1484</v>
      </c>
      <c r="D48" s="446">
        <v>500000</v>
      </c>
      <c r="E48" s="43"/>
      <c r="F48" s="43"/>
      <c r="G48" s="43"/>
      <c r="H48" s="43"/>
      <c r="K48" s="476"/>
      <c r="L48" s="455" t="s">
        <v>1391</v>
      </c>
      <c r="M48" s="446" t="s">
        <v>1484</v>
      </c>
      <c r="N48" s="446"/>
      <c r="O48" s="43"/>
      <c r="P48" s="43"/>
      <c r="Q48" s="43"/>
      <c r="R48" s="43"/>
    </row>
    <row r="49" spans="1:18">
      <c r="A49" s="476"/>
      <c r="B49" s="455" t="s">
        <v>1391</v>
      </c>
      <c r="C49" s="446" t="s">
        <v>1485</v>
      </c>
      <c r="D49" s="446">
        <v>500000</v>
      </c>
      <c r="E49" s="43"/>
      <c r="F49" s="43"/>
      <c r="G49" s="43"/>
      <c r="H49" s="43"/>
      <c r="K49" s="476"/>
      <c r="L49" s="455" t="s">
        <v>1391</v>
      </c>
      <c r="M49" s="446" t="s">
        <v>1485</v>
      </c>
      <c r="N49" s="446"/>
      <c r="O49" s="43"/>
      <c r="P49" s="43"/>
      <c r="Q49" s="43"/>
      <c r="R49" s="43"/>
    </row>
    <row r="50" spans="1:18">
      <c r="A50" s="476"/>
      <c r="B50" s="455" t="s">
        <v>1391</v>
      </c>
      <c r="C50" s="446" t="s">
        <v>1486</v>
      </c>
      <c r="D50" s="446">
        <v>1500000</v>
      </c>
      <c r="E50" s="43"/>
      <c r="F50" s="43"/>
      <c r="G50" s="43"/>
      <c r="H50" s="43"/>
      <c r="K50" s="476"/>
      <c r="L50" s="455" t="s">
        <v>1391</v>
      </c>
      <c r="M50" s="446" t="s">
        <v>1486</v>
      </c>
      <c r="N50" s="446"/>
      <c r="O50" s="43"/>
      <c r="P50" s="43"/>
      <c r="Q50" s="43"/>
      <c r="R50" s="43"/>
    </row>
    <row r="51" spans="1:18">
      <c r="A51" s="476"/>
      <c r="B51" s="455" t="s">
        <v>1391</v>
      </c>
      <c r="C51" s="446" t="s">
        <v>1487</v>
      </c>
      <c r="D51" s="446">
        <v>231000</v>
      </c>
      <c r="E51" s="43"/>
      <c r="F51" s="43"/>
      <c r="G51" s="43"/>
      <c r="H51" s="43"/>
      <c r="K51" s="476"/>
      <c r="L51" s="455" t="s">
        <v>1391</v>
      </c>
      <c r="M51" s="446" t="s">
        <v>1487</v>
      </c>
      <c r="N51" s="446">
        <v>231000</v>
      </c>
      <c r="O51" s="43"/>
      <c r="P51" s="43"/>
      <c r="Q51" s="43"/>
      <c r="R51" s="43"/>
    </row>
    <row r="52" spans="1:18">
      <c r="A52" s="476"/>
      <c r="B52" s="455" t="s">
        <v>1394</v>
      </c>
      <c r="C52" s="455" t="s">
        <v>1488</v>
      </c>
      <c r="D52" s="455">
        <v>1600000</v>
      </c>
      <c r="E52" s="43"/>
      <c r="F52" s="43"/>
      <c r="G52" s="43"/>
      <c r="H52" s="43"/>
      <c r="K52" s="476"/>
      <c r="L52" s="455" t="s">
        <v>1394</v>
      </c>
      <c r="M52" s="455" t="s">
        <v>1488</v>
      </c>
      <c r="N52" s="455">
        <v>1600000</v>
      </c>
      <c r="O52" s="43"/>
      <c r="P52" s="43"/>
      <c r="Q52" s="43"/>
      <c r="R52" s="43"/>
    </row>
    <row r="53" spans="1:18">
      <c r="A53" s="476"/>
      <c r="B53" s="470" t="s">
        <v>1456</v>
      </c>
      <c r="C53" s="446" t="s">
        <v>1502</v>
      </c>
      <c r="D53" s="446">
        <v>572900</v>
      </c>
      <c r="E53" s="43"/>
      <c r="F53" s="43"/>
      <c r="G53" s="43"/>
      <c r="H53" s="43"/>
      <c r="K53" s="476"/>
      <c r="L53" s="470" t="s">
        <v>1456</v>
      </c>
      <c r="M53" s="446" t="s">
        <v>1502</v>
      </c>
      <c r="N53" s="446">
        <v>572900</v>
      </c>
      <c r="O53" s="43"/>
      <c r="P53" s="43"/>
      <c r="Q53" s="43"/>
      <c r="R53" s="43"/>
    </row>
    <row r="54" spans="1:18">
      <c r="A54" s="476"/>
      <c r="B54" s="470" t="s">
        <v>1455</v>
      </c>
      <c r="C54" s="446" t="s">
        <v>1503</v>
      </c>
      <c r="D54" s="446">
        <v>957540</v>
      </c>
      <c r="E54" s="43"/>
      <c r="F54" s="43"/>
      <c r="G54" s="43"/>
      <c r="H54" s="43"/>
      <c r="K54" s="476"/>
      <c r="L54" s="470" t="s">
        <v>1455</v>
      </c>
      <c r="M54" s="446" t="s">
        <v>1503</v>
      </c>
      <c r="N54" s="446">
        <v>957540</v>
      </c>
      <c r="O54" s="43"/>
      <c r="P54" s="43"/>
      <c r="Q54" s="43"/>
      <c r="R54" s="43"/>
    </row>
    <row r="55" spans="1:18">
      <c r="A55" s="476"/>
      <c r="B55" s="470" t="s">
        <v>1454</v>
      </c>
      <c r="C55" s="446" t="s">
        <v>1504</v>
      </c>
      <c r="D55" s="446">
        <f>6725000-1715000</f>
        <v>5010000</v>
      </c>
      <c r="E55" s="43"/>
      <c r="F55" s="43"/>
      <c r="G55" s="43"/>
      <c r="H55" s="43"/>
      <c r="K55" s="476"/>
      <c r="L55" s="470" t="s">
        <v>1454</v>
      </c>
      <c r="M55" s="446" t="s">
        <v>1504</v>
      </c>
      <c r="N55" s="446">
        <f>6725000-1715000</f>
        <v>5010000</v>
      </c>
      <c r="O55" s="43"/>
      <c r="P55" s="43"/>
      <c r="Q55" s="43"/>
      <c r="R55" s="43"/>
    </row>
    <row r="56" spans="1:18">
      <c r="A56" s="483"/>
      <c r="B56" s="470" t="s">
        <v>1454</v>
      </c>
      <c r="C56" s="446" t="s">
        <v>1505</v>
      </c>
      <c r="D56" s="446">
        <v>1715000</v>
      </c>
      <c r="E56" s="471"/>
      <c r="F56" s="471"/>
      <c r="G56" s="471"/>
      <c r="H56" s="471"/>
      <c r="K56" s="483"/>
      <c r="L56" s="470" t="s">
        <v>1454</v>
      </c>
      <c r="M56" s="446" t="s">
        <v>1505</v>
      </c>
      <c r="N56" s="446">
        <v>1715000</v>
      </c>
      <c r="O56" s="471"/>
      <c r="P56" s="471"/>
      <c r="Q56" s="471"/>
      <c r="R56" s="471"/>
    </row>
    <row r="57" spans="1:18">
      <c r="A57" s="476"/>
      <c r="B57" s="470" t="s">
        <v>1393</v>
      </c>
      <c r="C57" s="446" t="s">
        <v>1506</v>
      </c>
      <c r="D57" s="446">
        <v>11474000</v>
      </c>
      <c r="E57" s="43"/>
      <c r="F57" s="43"/>
      <c r="G57" s="43"/>
      <c r="H57" s="43"/>
      <c r="K57" s="476"/>
      <c r="L57" s="470" t="s">
        <v>1393</v>
      </c>
      <c r="M57" s="446" t="s">
        <v>1506</v>
      </c>
      <c r="N57" s="446"/>
      <c r="O57" s="43"/>
      <c r="P57" s="43"/>
      <c r="Q57" s="43"/>
      <c r="R57" s="43"/>
    </row>
    <row r="58" spans="1:18">
      <c r="A58" s="483"/>
      <c r="B58" s="470"/>
      <c r="C58" s="446" t="s">
        <v>1507</v>
      </c>
      <c r="D58" s="67">
        <f>7269517-D56</f>
        <v>5554517</v>
      </c>
      <c r="E58" s="471"/>
      <c r="F58" s="471"/>
      <c r="G58" s="471"/>
      <c r="H58" s="471"/>
      <c r="K58" s="483"/>
      <c r="L58" s="470"/>
      <c r="M58" s="446" t="s">
        <v>1507</v>
      </c>
      <c r="N58" s="67">
        <f>7269517-N56</f>
        <v>5554517</v>
      </c>
      <c r="O58" s="471"/>
      <c r="P58" s="471"/>
      <c r="Q58" s="471"/>
      <c r="R58" s="471"/>
    </row>
    <row r="59" spans="1:18">
      <c r="A59" s="483"/>
      <c r="B59" s="455"/>
      <c r="C59" s="446" t="s">
        <v>1344</v>
      </c>
      <c r="D59" s="67">
        <v>1050000</v>
      </c>
      <c r="E59" s="471"/>
      <c r="F59" s="471"/>
      <c r="G59" s="471"/>
      <c r="H59" s="471"/>
      <c r="K59" s="483"/>
      <c r="L59" s="455"/>
      <c r="M59" s="446" t="s">
        <v>1344</v>
      </c>
      <c r="N59" s="67"/>
      <c r="O59" s="471"/>
      <c r="P59" s="471"/>
      <c r="Q59" s="471"/>
      <c r="R59" s="471"/>
    </row>
    <row r="60" spans="1:18">
      <c r="A60" s="476"/>
      <c r="B60" s="455" t="s">
        <v>1391</v>
      </c>
      <c r="C60" s="446" t="s">
        <v>1492</v>
      </c>
      <c r="D60" s="446">
        <v>363000</v>
      </c>
      <c r="E60" s="43"/>
      <c r="F60" s="43"/>
      <c r="G60" s="43"/>
      <c r="H60" s="43"/>
      <c r="K60" s="476"/>
      <c r="L60" s="455" t="s">
        <v>1391</v>
      </c>
      <c r="M60" s="446" t="s">
        <v>1492</v>
      </c>
      <c r="N60" s="446">
        <v>363000</v>
      </c>
      <c r="O60" s="43"/>
      <c r="P60" s="43"/>
      <c r="Q60" s="43"/>
      <c r="R60" s="43"/>
    </row>
    <row r="61" spans="1:18">
      <c r="A61" s="476"/>
      <c r="B61" s="455" t="s">
        <v>1391</v>
      </c>
      <c r="C61" s="456" t="s">
        <v>1501</v>
      </c>
      <c r="D61" s="455">
        <v>5000</v>
      </c>
      <c r="E61" s="446"/>
      <c r="F61" s="446"/>
      <c r="G61" s="469"/>
      <c r="H61" s="469"/>
      <c r="K61" s="476"/>
      <c r="L61" s="455" t="s">
        <v>1391</v>
      </c>
      <c r="M61" s="456" t="s">
        <v>1501</v>
      </c>
      <c r="N61" s="455">
        <v>5000</v>
      </c>
      <c r="O61" s="446"/>
      <c r="P61" s="446"/>
      <c r="Q61" s="469"/>
      <c r="R61" s="469"/>
    </row>
    <row r="62" spans="1:18">
      <c r="A62" s="483"/>
      <c r="B62" s="455" t="s">
        <v>1391</v>
      </c>
      <c r="C62" s="446" t="s">
        <v>1529</v>
      </c>
      <c r="D62" s="67">
        <v>5000</v>
      </c>
      <c r="E62" s="471"/>
      <c r="F62" s="471"/>
      <c r="G62" s="471"/>
      <c r="H62" s="471"/>
      <c r="K62" s="483"/>
      <c r="L62" s="455" t="s">
        <v>1391</v>
      </c>
      <c r="M62" s="446" t="s">
        <v>1529</v>
      </c>
      <c r="N62" s="67">
        <v>5000</v>
      </c>
      <c r="O62" s="471"/>
      <c r="P62" s="471"/>
      <c r="Q62" s="471"/>
      <c r="R62" s="471"/>
    </row>
    <row r="63" spans="1:18">
      <c r="A63" s="483"/>
      <c r="B63" s="455" t="s">
        <v>1391</v>
      </c>
      <c r="C63" s="446" t="s">
        <v>1529</v>
      </c>
      <c r="D63" s="67">
        <v>5000</v>
      </c>
      <c r="E63" s="471"/>
      <c r="F63" s="471"/>
      <c r="G63" s="471"/>
      <c r="H63" s="471"/>
      <c r="K63" s="483"/>
      <c r="L63" s="455" t="s">
        <v>1391</v>
      </c>
      <c r="M63" s="446" t="s">
        <v>1529</v>
      </c>
      <c r="N63" s="67">
        <v>5000</v>
      </c>
      <c r="O63" s="471"/>
      <c r="P63" s="471"/>
      <c r="Q63" s="471"/>
      <c r="R63" s="471"/>
    </row>
    <row r="64" spans="1:18">
      <c r="A64" s="483"/>
      <c r="B64" s="455" t="s">
        <v>1555</v>
      </c>
      <c r="C64" s="446" t="s">
        <v>1544</v>
      </c>
      <c r="D64" s="67">
        <v>4405000</v>
      </c>
      <c r="E64" s="471"/>
      <c r="F64" s="471"/>
      <c r="G64" s="471"/>
      <c r="H64" s="471"/>
      <c r="K64" s="483"/>
      <c r="L64" s="455" t="s">
        <v>1555</v>
      </c>
      <c r="M64" s="446" t="s">
        <v>1544</v>
      </c>
      <c r="N64" s="67">
        <v>4405000</v>
      </c>
      <c r="O64" s="471"/>
      <c r="P64" s="471"/>
      <c r="Q64" s="471"/>
      <c r="R64" s="471"/>
    </row>
    <row r="65" spans="1:18">
      <c r="A65" s="476"/>
      <c r="B65" s="455" t="s">
        <v>1555</v>
      </c>
      <c r="C65" s="446" t="s">
        <v>1275</v>
      </c>
      <c r="D65" s="446">
        <v>10000000</v>
      </c>
      <c r="E65" s="43"/>
      <c r="F65" s="43"/>
      <c r="G65" s="43"/>
      <c r="H65" s="43"/>
      <c r="K65" s="476"/>
      <c r="L65" s="455" t="s">
        <v>1555</v>
      </c>
      <c r="M65" s="446" t="s">
        <v>1275</v>
      </c>
      <c r="N65" s="446">
        <v>10000000</v>
      </c>
      <c r="O65" s="43"/>
      <c r="P65" s="43"/>
      <c r="Q65" s="43"/>
      <c r="R65" s="43"/>
    </row>
    <row r="66" spans="1:18">
      <c r="A66" s="476"/>
      <c r="B66" s="455" t="s">
        <v>1555</v>
      </c>
      <c r="C66" s="446" t="s">
        <v>1493</v>
      </c>
      <c r="D66" s="446">
        <v>10000000</v>
      </c>
      <c r="E66" s="43"/>
      <c r="F66" s="43"/>
      <c r="G66" s="43"/>
      <c r="H66" s="43"/>
      <c r="K66" s="476"/>
      <c r="L66" s="455" t="s">
        <v>1555</v>
      </c>
      <c r="M66" s="446" t="s">
        <v>1493</v>
      </c>
      <c r="N66" s="446">
        <v>10000000</v>
      </c>
      <c r="O66" s="43"/>
      <c r="P66" s="43"/>
      <c r="Q66" s="43"/>
      <c r="R66" s="43"/>
    </row>
    <row r="67" spans="1:18">
      <c r="A67" s="476"/>
      <c r="B67" s="455" t="s">
        <v>1555</v>
      </c>
      <c r="C67" s="455" t="s">
        <v>1496</v>
      </c>
      <c r="D67" s="455">
        <v>10000000</v>
      </c>
      <c r="E67" s="43"/>
      <c r="F67" s="43"/>
      <c r="G67" s="43"/>
      <c r="H67" s="43"/>
      <c r="K67" s="476"/>
      <c r="L67" s="455" t="s">
        <v>1555</v>
      </c>
      <c r="M67" s="455" t="s">
        <v>1496</v>
      </c>
      <c r="N67" s="455">
        <v>10000000</v>
      </c>
      <c r="O67" s="43"/>
      <c r="P67" s="43"/>
      <c r="Q67" s="43"/>
      <c r="R67" s="43"/>
    </row>
    <row r="68" spans="1:18">
      <c r="A68" s="476"/>
      <c r="B68" s="455" t="s">
        <v>1555</v>
      </c>
      <c r="C68" s="455" t="s">
        <v>1497</v>
      </c>
      <c r="D68" s="446">
        <v>3000000</v>
      </c>
      <c r="E68" s="43"/>
      <c r="F68" s="43"/>
      <c r="G68" s="43"/>
      <c r="H68" s="43"/>
      <c r="K68" s="476"/>
      <c r="L68" s="455" t="s">
        <v>1555</v>
      </c>
      <c r="M68" s="455" t="s">
        <v>1497</v>
      </c>
      <c r="N68" s="446">
        <v>3000000</v>
      </c>
      <c r="O68" s="43"/>
      <c r="P68" s="43"/>
      <c r="Q68" s="43"/>
      <c r="R68" s="43"/>
    </row>
    <row r="69" spans="1:18">
      <c r="A69" s="483"/>
      <c r="B69" s="455" t="s">
        <v>1556</v>
      </c>
      <c r="C69" s="446" t="s">
        <v>1541</v>
      </c>
      <c r="D69" s="67">
        <v>510000</v>
      </c>
      <c r="E69" s="471"/>
      <c r="F69" s="471"/>
      <c r="G69" s="471"/>
      <c r="H69" s="471"/>
      <c r="K69" s="483"/>
      <c r="L69" s="455" t="s">
        <v>1556</v>
      </c>
      <c r="M69" s="446" t="s">
        <v>1541</v>
      </c>
      <c r="N69" s="67">
        <v>510000</v>
      </c>
      <c r="O69" s="471"/>
      <c r="P69" s="471"/>
      <c r="Q69" s="471"/>
      <c r="R69" s="471"/>
    </row>
    <row r="70" spans="1:18">
      <c r="A70" s="483"/>
      <c r="B70" s="455" t="s">
        <v>1555</v>
      </c>
      <c r="C70" s="446" t="s">
        <v>1121</v>
      </c>
      <c r="D70" s="67">
        <v>300000</v>
      </c>
      <c r="E70" s="471"/>
      <c r="F70" s="471"/>
      <c r="G70" s="471"/>
      <c r="H70" s="471"/>
      <c r="K70" s="483"/>
      <c r="L70" s="455" t="s">
        <v>1555</v>
      </c>
      <c r="M70" s="446" t="s">
        <v>1121</v>
      </c>
      <c r="N70" s="67">
        <v>300000</v>
      </c>
      <c r="O70" s="471"/>
      <c r="P70" s="471"/>
      <c r="Q70" s="471"/>
      <c r="R70" s="471"/>
    </row>
    <row r="71" spans="1:18">
      <c r="A71" s="483"/>
      <c r="B71" s="455" t="s">
        <v>1555</v>
      </c>
      <c r="C71" s="446" t="s">
        <v>1545</v>
      </c>
      <c r="D71" s="67">
        <v>2200000</v>
      </c>
      <c r="E71" s="471"/>
      <c r="F71" s="471"/>
      <c r="G71" s="471"/>
      <c r="H71" s="471"/>
      <c r="K71" s="483"/>
      <c r="L71" s="455" t="s">
        <v>1555</v>
      </c>
      <c r="M71" s="446" t="s">
        <v>1545</v>
      </c>
      <c r="N71" s="67">
        <v>2200000</v>
      </c>
      <c r="O71" s="471"/>
      <c r="P71" s="471"/>
      <c r="Q71" s="471"/>
      <c r="R71" s="471"/>
    </row>
    <row r="72" spans="1:18">
      <c r="A72" s="483"/>
      <c r="B72" s="470" t="s">
        <v>1557</v>
      </c>
      <c r="C72" s="446" t="s">
        <v>1558</v>
      </c>
      <c r="D72" s="67">
        <v>625000</v>
      </c>
      <c r="E72" s="471"/>
      <c r="F72" s="471"/>
      <c r="G72" s="471"/>
      <c r="H72" s="471"/>
      <c r="K72" s="483"/>
      <c r="L72" s="470" t="s">
        <v>1557</v>
      </c>
      <c r="M72" s="446" t="s">
        <v>1558</v>
      </c>
      <c r="N72" s="67">
        <v>625000</v>
      </c>
      <c r="O72" s="471"/>
      <c r="P72" s="471"/>
      <c r="Q72" s="471"/>
      <c r="R72" s="471"/>
    </row>
    <row r="73" spans="1:18">
      <c r="A73" s="483"/>
      <c r="B73" s="455" t="s">
        <v>1551</v>
      </c>
      <c r="C73" s="446" t="s">
        <v>1538</v>
      </c>
      <c r="D73" s="67">
        <v>18000000</v>
      </c>
      <c r="E73" s="471"/>
      <c r="F73" s="471"/>
      <c r="G73" s="471"/>
      <c r="H73" s="471"/>
      <c r="K73" s="483"/>
      <c r="L73" s="455" t="s">
        <v>1551</v>
      </c>
      <c r="M73" s="446" t="s">
        <v>1538</v>
      </c>
      <c r="N73" s="67">
        <v>12000000</v>
      </c>
      <c r="O73" s="471"/>
      <c r="P73" s="471"/>
      <c r="Q73" s="471"/>
      <c r="R73" s="471"/>
    </row>
    <row r="74" spans="1:18">
      <c r="A74" s="483"/>
      <c r="B74" s="455" t="s">
        <v>1560</v>
      </c>
      <c r="C74" s="446" t="s">
        <v>1561</v>
      </c>
      <c r="D74" s="67">
        <v>200000</v>
      </c>
      <c r="E74" s="471"/>
      <c r="F74" s="471"/>
      <c r="G74" s="471"/>
      <c r="H74" s="471"/>
      <c r="K74" s="483"/>
      <c r="L74" s="455" t="s">
        <v>1560</v>
      </c>
      <c r="M74" s="446" t="s">
        <v>1561</v>
      </c>
      <c r="N74" s="67">
        <v>200000</v>
      </c>
      <c r="O74" s="471"/>
      <c r="P74" s="471"/>
      <c r="Q74" s="471"/>
      <c r="R74" s="471"/>
    </row>
    <row r="75" spans="1:18">
      <c r="A75" s="483"/>
      <c r="B75" s="470"/>
      <c r="C75" s="446"/>
      <c r="D75" s="67"/>
      <c r="E75" s="471"/>
      <c r="F75" s="471"/>
      <c r="G75" s="471"/>
      <c r="H75" s="471"/>
      <c r="K75" s="483"/>
      <c r="L75" s="470"/>
      <c r="M75" s="446"/>
      <c r="N75" s="67"/>
      <c r="O75" s="471"/>
      <c r="P75" s="471"/>
      <c r="Q75" s="471"/>
      <c r="R75" s="471"/>
    </row>
    <row r="76" spans="1:18">
      <c r="A76" s="476"/>
      <c r="B76" s="470"/>
      <c r="C76" s="471" t="s">
        <v>55</v>
      </c>
      <c r="D76" s="472">
        <f>SUM(D47:D75)</f>
        <v>90582957</v>
      </c>
      <c r="E76" s="472">
        <v>0</v>
      </c>
      <c r="F76" s="472">
        <v>0</v>
      </c>
      <c r="G76" s="472"/>
      <c r="H76" s="472"/>
      <c r="K76" s="476"/>
      <c r="L76" s="470"/>
      <c r="M76" s="471" t="s">
        <v>55</v>
      </c>
      <c r="N76" s="472">
        <f>SUM(N47:N75)</f>
        <v>69558957</v>
      </c>
      <c r="O76" s="472">
        <v>0</v>
      </c>
      <c r="P76" s="472">
        <v>0</v>
      </c>
      <c r="Q76" s="472"/>
      <c r="R76" s="472"/>
    </row>
    <row r="77" spans="1:18">
      <c r="A77" s="479"/>
      <c r="B77" s="477"/>
      <c r="C77" s="43" t="s">
        <v>21</v>
      </c>
      <c r="D77" s="48"/>
      <c r="E77" s="547">
        <f>D76</f>
        <v>90582957</v>
      </c>
      <c r="F77" s="547"/>
      <c r="G77" s="547"/>
      <c r="H77" s="547"/>
      <c r="K77" s="479"/>
      <c r="L77" s="477"/>
      <c r="M77" s="43" t="s">
        <v>21</v>
      </c>
      <c r="N77" s="48"/>
      <c r="O77" s="547">
        <f>N76</f>
        <v>69558957</v>
      </c>
      <c r="P77" s="547"/>
      <c r="Q77" s="547"/>
      <c r="R77" s="547"/>
    </row>
    <row r="78" spans="1:18">
      <c r="A78" s="546" t="s">
        <v>1047</v>
      </c>
      <c r="B78" s="546"/>
      <c r="C78" s="546"/>
      <c r="D78" s="546"/>
      <c r="E78" s="546"/>
      <c r="F78" s="546"/>
      <c r="G78" s="546"/>
      <c r="H78" s="546"/>
      <c r="K78" s="546" t="s">
        <v>1047</v>
      </c>
      <c r="L78" s="546"/>
      <c r="M78" s="546"/>
      <c r="N78" s="546"/>
      <c r="O78" s="546"/>
      <c r="P78" s="546"/>
      <c r="Q78" s="546"/>
      <c r="R78" s="546"/>
    </row>
    <row r="79" spans="1:18">
      <c r="A79" s="476"/>
      <c r="B79" s="455" t="s">
        <v>1474</v>
      </c>
      <c r="C79" s="455" t="s">
        <v>1521</v>
      </c>
      <c r="D79" s="455">
        <v>1623300</v>
      </c>
      <c r="E79" s="446"/>
      <c r="F79" s="446"/>
      <c r="G79" s="469"/>
      <c r="H79" s="469"/>
      <c r="K79" s="476"/>
      <c r="L79" s="455" t="s">
        <v>1474</v>
      </c>
      <c r="M79" s="455" t="s">
        <v>1521</v>
      </c>
      <c r="N79" s="455">
        <v>1623300</v>
      </c>
      <c r="O79" s="446"/>
      <c r="P79" s="446"/>
      <c r="Q79" s="469"/>
      <c r="R79" s="469"/>
    </row>
    <row r="80" spans="1:18">
      <c r="A80" s="476"/>
      <c r="B80" s="455" t="s">
        <v>1474</v>
      </c>
      <c r="C80" s="455" t="s">
        <v>1563</v>
      </c>
      <c r="D80" s="455">
        <v>758000</v>
      </c>
      <c r="E80" s="446"/>
      <c r="F80" s="446"/>
      <c r="G80" s="469"/>
      <c r="H80" s="469"/>
      <c r="K80" s="476"/>
      <c r="L80" s="455" t="s">
        <v>1474</v>
      </c>
      <c r="M80" s="455" t="s">
        <v>1563</v>
      </c>
      <c r="N80" s="455">
        <v>758000</v>
      </c>
      <c r="O80" s="446"/>
      <c r="P80" s="446"/>
      <c r="Q80" s="469"/>
      <c r="R80" s="469"/>
    </row>
    <row r="81" spans="1:18">
      <c r="A81" s="476"/>
      <c r="B81" s="455" t="s">
        <v>1564</v>
      </c>
      <c r="C81" s="455" t="s">
        <v>1291</v>
      </c>
      <c r="D81" s="455">
        <v>9822000</v>
      </c>
      <c r="E81" s="446"/>
      <c r="F81" s="446"/>
      <c r="G81" s="469"/>
      <c r="H81" s="469"/>
      <c r="K81" s="476"/>
      <c r="L81" s="455" t="s">
        <v>1564</v>
      </c>
      <c r="M81" s="455" t="s">
        <v>1291</v>
      </c>
      <c r="N81" s="455">
        <v>9822000</v>
      </c>
      <c r="O81" s="446"/>
      <c r="P81" s="446"/>
      <c r="Q81" s="469"/>
      <c r="R81" s="469"/>
    </row>
    <row r="82" spans="1:18">
      <c r="A82" s="476"/>
      <c r="B82" s="455" t="s">
        <v>1564</v>
      </c>
      <c r="C82" s="455" t="s">
        <v>1175</v>
      </c>
      <c r="D82" s="455">
        <v>36000</v>
      </c>
      <c r="E82" s="446"/>
      <c r="F82" s="446"/>
      <c r="G82" s="469"/>
      <c r="H82" s="469"/>
      <c r="K82" s="476"/>
      <c r="L82" s="455" t="s">
        <v>1564</v>
      </c>
      <c r="M82" s="455" t="s">
        <v>1175</v>
      </c>
      <c r="N82" s="455">
        <v>36000</v>
      </c>
      <c r="O82" s="446"/>
      <c r="P82" s="446"/>
      <c r="Q82" s="469"/>
      <c r="R82" s="469"/>
    </row>
    <row r="83" spans="1:18">
      <c r="A83" s="476"/>
      <c r="B83" s="455" t="s">
        <v>1564</v>
      </c>
      <c r="C83" s="455" t="s">
        <v>1127</v>
      </c>
      <c r="D83" s="455">
        <v>750000</v>
      </c>
      <c r="E83" s="446"/>
      <c r="F83" s="446"/>
      <c r="G83" s="469"/>
      <c r="H83" s="469"/>
      <c r="K83" s="476"/>
      <c r="L83" s="455" t="s">
        <v>1564</v>
      </c>
      <c r="M83" s="455" t="s">
        <v>1127</v>
      </c>
      <c r="N83" s="455">
        <v>750000</v>
      </c>
      <c r="O83" s="446"/>
      <c r="P83" s="446"/>
      <c r="Q83" s="469"/>
      <c r="R83" s="469"/>
    </row>
    <row r="84" spans="1:18">
      <c r="A84" s="476"/>
      <c r="B84" s="455" t="s">
        <v>1559</v>
      </c>
      <c r="C84" s="456" t="s">
        <v>1565</v>
      </c>
      <c r="D84" s="455">
        <f>4000*650</f>
        <v>2600000</v>
      </c>
      <c r="E84" s="446"/>
      <c r="F84" s="446"/>
      <c r="G84" s="469"/>
      <c r="H84" s="469"/>
      <c r="K84" s="476"/>
      <c r="L84" s="455" t="s">
        <v>1559</v>
      </c>
      <c r="M84" s="456" t="s">
        <v>1565</v>
      </c>
      <c r="N84" s="455"/>
      <c r="O84" s="446"/>
      <c r="P84" s="446"/>
      <c r="Q84" s="469"/>
      <c r="R84" s="469"/>
    </row>
    <row r="85" spans="1:18">
      <c r="A85" s="476"/>
      <c r="B85" s="455" t="s">
        <v>1559</v>
      </c>
      <c r="C85" s="456" t="s">
        <v>1566</v>
      </c>
      <c r="D85" s="455">
        <v>640000</v>
      </c>
      <c r="E85" s="446"/>
      <c r="F85" s="446"/>
      <c r="G85" s="469"/>
      <c r="H85" s="469"/>
      <c r="K85" s="476"/>
      <c r="L85" s="455" t="s">
        <v>1559</v>
      </c>
      <c r="M85" s="456" t="s">
        <v>1566</v>
      </c>
      <c r="N85" s="455">
        <v>640000</v>
      </c>
      <c r="O85" s="446"/>
      <c r="P85" s="446"/>
      <c r="Q85" s="469"/>
      <c r="R85" s="469"/>
    </row>
    <row r="86" spans="1:18">
      <c r="A86" s="476"/>
      <c r="B86" s="470"/>
      <c r="C86" s="471" t="s">
        <v>848</v>
      </c>
      <c r="D86" s="472">
        <f>SUM(D79:D85)</f>
        <v>16229300</v>
      </c>
      <c r="E86" s="472">
        <v>0</v>
      </c>
      <c r="F86" s="472">
        <v>0</v>
      </c>
      <c r="G86" s="472"/>
      <c r="H86" s="472"/>
      <c r="K86" s="476"/>
      <c r="L86" s="470"/>
      <c r="M86" s="471" t="s">
        <v>848</v>
      </c>
      <c r="N86" s="472">
        <f>SUM(N79:N85)</f>
        <v>13629300</v>
      </c>
      <c r="O86" s="472">
        <v>0</v>
      </c>
      <c r="P86" s="472">
        <v>0</v>
      </c>
      <c r="Q86" s="472"/>
      <c r="R86" s="472"/>
    </row>
    <row r="87" spans="1:18">
      <c r="A87" s="479"/>
      <c r="B87" s="477"/>
      <c r="C87" s="43" t="s">
        <v>21</v>
      </c>
      <c r="D87" s="48"/>
      <c r="E87" s="547">
        <f>D86</f>
        <v>16229300</v>
      </c>
      <c r="F87" s="547"/>
      <c r="G87" s="547"/>
      <c r="H87" s="547"/>
      <c r="K87" s="479"/>
      <c r="L87" s="477"/>
      <c r="M87" s="43" t="s">
        <v>21</v>
      </c>
      <c r="N87" s="48"/>
      <c r="O87" s="547">
        <f>N86</f>
        <v>13629300</v>
      </c>
      <c r="P87" s="547"/>
      <c r="Q87" s="547"/>
      <c r="R87" s="547"/>
    </row>
    <row r="88" spans="1:18">
      <c r="A88" s="546" t="s">
        <v>1562</v>
      </c>
      <c r="B88" s="546"/>
      <c r="C88" s="546"/>
      <c r="D88" s="546"/>
      <c r="E88" s="546"/>
      <c r="F88" s="546"/>
      <c r="G88" s="546"/>
      <c r="H88" s="546"/>
      <c r="K88" s="546" t="s">
        <v>1562</v>
      </c>
      <c r="L88" s="546"/>
      <c r="M88" s="546"/>
      <c r="N88" s="546"/>
      <c r="O88" s="546"/>
      <c r="P88" s="546"/>
      <c r="Q88" s="546"/>
      <c r="R88" s="546"/>
    </row>
    <row r="89" spans="1:18" s="501" customFormat="1">
      <c r="A89" s="499"/>
      <c r="B89" s="488" t="s">
        <v>1374</v>
      </c>
      <c r="C89" s="490" t="s">
        <v>1358</v>
      </c>
      <c r="D89" s="488">
        <v>4705000</v>
      </c>
      <c r="E89" s="489"/>
      <c r="F89" s="489"/>
      <c r="G89" s="500"/>
      <c r="H89" s="500"/>
      <c r="K89" s="499"/>
      <c r="L89" s="488" t="s">
        <v>1374</v>
      </c>
      <c r="M89" s="490" t="s">
        <v>1358</v>
      </c>
      <c r="N89" s="488">
        <v>4705000</v>
      </c>
      <c r="O89" s="489"/>
      <c r="P89" s="489"/>
      <c r="Q89" s="500"/>
      <c r="R89" s="500"/>
    </row>
    <row r="90" spans="1:18" s="501" customFormat="1">
      <c r="A90" s="499"/>
      <c r="B90" s="488" t="s">
        <v>1374</v>
      </c>
      <c r="C90" s="488" t="s">
        <v>1407</v>
      </c>
      <c r="D90" s="488">
        <v>1500000</v>
      </c>
      <c r="E90" s="489"/>
      <c r="F90" s="489"/>
      <c r="G90" s="500"/>
      <c r="H90" s="500"/>
      <c r="K90" s="499"/>
      <c r="L90" s="488" t="s">
        <v>1374</v>
      </c>
      <c r="M90" s="488" t="s">
        <v>1407</v>
      </c>
      <c r="N90" s="488">
        <v>1500000</v>
      </c>
      <c r="O90" s="489"/>
      <c r="P90" s="489"/>
      <c r="Q90" s="500"/>
      <c r="R90" s="500"/>
    </row>
    <row r="91" spans="1:18" s="501" customFormat="1">
      <c r="A91" s="499"/>
      <c r="B91" s="488" t="s">
        <v>1441</v>
      </c>
      <c r="C91" s="490" t="s">
        <v>1442</v>
      </c>
      <c r="D91" s="488">
        <v>195000</v>
      </c>
      <c r="E91" s="489"/>
      <c r="F91" s="489"/>
      <c r="G91" s="500"/>
      <c r="H91" s="500"/>
      <c r="K91" s="499"/>
      <c r="L91" s="488" t="s">
        <v>1441</v>
      </c>
      <c r="M91" s="490" t="s">
        <v>1442</v>
      </c>
      <c r="N91" s="488">
        <v>195000</v>
      </c>
      <c r="O91" s="489"/>
      <c r="P91" s="489"/>
      <c r="Q91" s="500"/>
      <c r="R91" s="500"/>
    </row>
    <row r="92" spans="1:18">
      <c r="A92" s="476"/>
      <c r="B92" s="455" t="s">
        <v>1441</v>
      </c>
      <c r="C92" s="456" t="s">
        <v>1443</v>
      </c>
      <c r="D92" s="455">
        <v>796000</v>
      </c>
      <c r="E92" s="446"/>
      <c r="F92" s="446"/>
      <c r="G92" s="469"/>
      <c r="H92" s="469"/>
      <c r="K92" s="476"/>
      <c r="L92" s="455" t="s">
        <v>1441</v>
      </c>
      <c r="M92" s="456" t="s">
        <v>1443</v>
      </c>
      <c r="N92" s="455">
        <v>796000</v>
      </c>
      <c r="O92" s="446"/>
      <c r="P92" s="446"/>
      <c r="Q92" s="469"/>
      <c r="R92" s="469"/>
    </row>
    <row r="93" spans="1:18">
      <c r="A93" s="476"/>
      <c r="B93" s="455"/>
      <c r="C93" s="456" t="s">
        <v>1464</v>
      </c>
      <c r="D93" s="455">
        <v>6785000</v>
      </c>
      <c r="E93" s="446"/>
      <c r="F93" s="446"/>
      <c r="G93" s="469"/>
      <c r="H93" s="469"/>
      <c r="K93" s="476"/>
      <c r="L93" s="455"/>
      <c r="M93" s="456" t="s">
        <v>1464</v>
      </c>
      <c r="N93" s="455">
        <v>6785000</v>
      </c>
      <c r="O93" s="446"/>
      <c r="P93" s="446"/>
      <c r="Q93" s="469"/>
      <c r="R93" s="469"/>
    </row>
    <row r="94" spans="1:18">
      <c r="A94" s="476"/>
      <c r="B94" s="455" t="s">
        <v>1523</v>
      </c>
      <c r="C94" s="456" t="s">
        <v>1539</v>
      </c>
      <c r="D94" s="455">
        <v>1540000</v>
      </c>
      <c r="E94" s="446"/>
      <c r="F94" s="446"/>
      <c r="G94" s="469"/>
      <c r="H94" s="469"/>
      <c r="K94" s="476"/>
      <c r="L94" s="455" t="s">
        <v>1523</v>
      </c>
      <c r="M94" s="456" t="s">
        <v>1539</v>
      </c>
      <c r="N94" s="455">
        <v>1540000</v>
      </c>
      <c r="O94" s="446"/>
      <c r="P94" s="446"/>
      <c r="Q94" s="469"/>
      <c r="R94" s="469"/>
    </row>
    <row r="95" spans="1:18">
      <c r="A95" s="476"/>
      <c r="B95" s="455" t="s">
        <v>1523</v>
      </c>
      <c r="C95" s="456" t="s">
        <v>1540</v>
      </c>
      <c r="D95" s="455">
        <v>2000000</v>
      </c>
      <c r="E95" s="446"/>
      <c r="F95" s="446"/>
      <c r="G95" s="469"/>
      <c r="H95" s="469"/>
      <c r="K95" s="476"/>
      <c r="L95" s="455" t="s">
        <v>1523</v>
      </c>
      <c r="M95" s="456" t="s">
        <v>1540</v>
      </c>
      <c r="N95" s="455">
        <v>2000000</v>
      </c>
      <c r="O95" s="446"/>
      <c r="P95" s="446"/>
      <c r="Q95" s="469"/>
      <c r="R95" s="469"/>
    </row>
    <row r="96" spans="1:18">
      <c r="A96" s="476"/>
      <c r="B96" s="455" t="s">
        <v>1567</v>
      </c>
      <c r="C96" s="456" t="s">
        <v>1569</v>
      </c>
      <c r="D96" s="455">
        <v>110000</v>
      </c>
      <c r="E96" s="446"/>
      <c r="F96" s="446"/>
      <c r="G96" s="469"/>
      <c r="H96" s="469"/>
      <c r="K96" s="476"/>
      <c r="L96" s="455" t="s">
        <v>1567</v>
      </c>
      <c r="M96" s="456" t="s">
        <v>1569</v>
      </c>
      <c r="N96" s="455"/>
      <c r="O96" s="446"/>
      <c r="P96" s="446"/>
      <c r="Q96" s="469"/>
      <c r="R96" s="469"/>
    </row>
    <row r="97" spans="1:18">
      <c r="A97" s="476"/>
      <c r="B97" s="455" t="s">
        <v>1570</v>
      </c>
      <c r="C97" s="456" t="s">
        <v>1571</v>
      </c>
      <c r="D97" s="455">
        <v>8264500</v>
      </c>
      <c r="E97" s="446"/>
      <c r="F97" s="446"/>
      <c r="G97" s="469"/>
      <c r="H97" s="469"/>
      <c r="K97" s="476"/>
      <c r="L97" s="455" t="s">
        <v>1570</v>
      </c>
      <c r="M97" s="456" t="s">
        <v>1571</v>
      </c>
      <c r="N97" s="455">
        <v>8264500</v>
      </c>
      <c r="O97" s="446"/>
      <c r="P97" s="446"/>
      <c r="Q97" s="469"/>
      <c r="R97" s="469"/>
    </row>
    <row r="98" spans="1:18">
      <c r="A98" s="476"/>
      <c r="B98" s="455" t="s">
        <v>1570</v>
      </c>
      <c r="C98" s="456" t="s">
        <v>1572</v>
      </c>
      <c r="D98" s="455">
        <v>4043000</v>
      </c>
      <c r="E98" s="446"/>
      <c r="F98" s="446"/>
      <c r="G98" s="469"/>
      <c r="H98" s="469"/>
      <c r="K98" s="476"/>
      <c r="L98" s="455" t="s">
        <v>1570</v>
      </c>
      <c r="M98" s="456" t="s">
        <v>1572</v>
      </c>
      <c r="N98" s="455"/>
      <c r="O98" s="446"/>
      <c r="P98" s="446"/>
      <c r="Q98" s="469"/>
      <c r="R98" s="469"/>
    </row>
    <row r="99" spans="1:18">
      <c r="A99" s="476"/>
      <c r="B99" s="455" t="s">
        <v>1573</v>
      </c>
      <c r="C99" s="456" t="s">
        <v>1568</v>
      </c>
      <c r="D99" s="455">
        <v>280000</v>
      </c>
      <c r="E99" s="446"/>
      <c r="F99" s="446"/>
      <c r="G99" s="469"/>
      <c r="H99" s="469"/>
      <c r="K99" s="476"/>
      <c r="L99" s="455" t="s">
        <v>1573</v>
      </c>
      <c r="M99" s="456" t="s">
        <v>1568</v>
      </c>
      <c r="N99" s="455"/>
      <c r="O99" s="446"/>
      <c r="P99" s="446"/>
      <c r="Q99" s="469"/>
      <c r="R99" s="469"/>
    </row>
    <row r="100" spans="1:18">
      <c r="A100" s="476"/>
      <c r="B100" s="455" t="s">
        <v>1575</v>
      </c>
      <c r="C100" s="456" t="s">
        <v>1574</v>
      </c>
      <c r="D100" s="455">
        <v>900000</v>
      </c>
      <c r="E100" s="446"/>
      <c r="F100" s="446"/>
      <c r="G100" s="469"/>
      <c r="H100" s="469"/>
      <c r="K100" s="476"/>
      <c r="L100" s="455" t="s">
        <v>1575</v>
      </c>
      <c r="M100" s="456" t="s">
        <v>1574</v>
      </c>
      <c r="N100" s="455">
        <v>900000</v>
      </c>
      <c r="O100" s="446"/>
      <c r="P100" s="446"/>
      <c r="Q100" s="469"/>
      <c r="R100" s="469"/>
    </row>
    <row r="101" spans="1:18">
      <c r="A101" s="476"/>
      <c r="B101" s="455" t="s">
        <v>1575</v>
      </c>
      <c r="C101" s="456" t="s">
        <v>1540</v>
      </c>
      <c r="D101" s="455">
        <v>2000000</v>
      </c>
      <c r="E101" s="446"/>
      <c r="F101" s="446"/>
      <c r="G101" s="469"/>
      <c r="H101" s="469"/>
      <c r="K101" s="476"/>
      <c r="L101" s="455" t="s">
        <v>1575</v>
      </c>
      <c r="M101" s="456" t="s">
        <v>1540</v>
      </c>
      <c r="N101" s="455">
        <v>2000000</v>
      </c>
      <c r="O101" s="446"/>
      <c r="P101" s="446"/>
      <c r="Q101" s="469"/>
      <c r="R101" s="469"/>
    </row>
    <row r="102" spans="1:18">
      <c r="A102" s="476"/>
      <c r="B102" s="455" t="s">
        <v>1576</v>
      </c>
      <c r="C102" s="456" t="s">
        <v>1577</v>
      </c>
      <c r="D102" s="455">
        <v>2330000</v>
      </c>
      <c r="E102" s="446"/>
      <c r="F102" s="446"/>
      <c r="G102" s="469"/>
      <c r="H102" s="469"/>
      <c r="K102" s="476"/>
      <c r="L102" s="455" t="s">
        <v>1576</v>
      </c>
      <c r="M102" s="456" t="s">
        <v>1577</v>
      </c>
      <c r="N102" s="455">
        <v>2330000</v>
      </c>
      <c r="O102" s="446"/>
      <c r="P102" s="446"/>
      <c r="Q102" s="469"/>
      <c r="R102" s="469"/>
    </row>
    <row r="103" spans="1:18">
      <c r="A103" s="476"/>
      <c r="B103" s="470"/>
      <c r="C103" s="446"/>
      <c r="D103" s="484"/>
      <c r="E103" s="43"/>
      <c r="F103" s="43"/>
      <c r="G103" s="43"/>
      <c r="H103" s="43"/>
      <c r="K103" s="476"/>
      <c r="L103" s="470"/>
      <c r="M103" s="446"/>
      <c r="N103" s="484"/>
      <c r="O103" s="43"/>
      <c r="P103" s="43"/>
      <c r="Q103" s="43"/>
      <c r="R103" s="43"/>
    </row>
    <row r="104" spans="1:18">
      <c r="A104" s="476"/>
      <c r="B104" s="470"/>
      <c r="C104" s="471" t="s">
        <v>34</v>
      </c>
      <c r="D104" s="472">
        <f>SUM(D89:D103)</f>
        <v>35448500</v>
      </c>
      <c r="E104" s="472">
        <v>0</v>
      </c>
      <c r="F104" s="472">
        <v>0</v>
      </c>
      <c r="G104" s="472"/>
      <c r="H104" s="472"/>
      <c r="K104" s="476"/>
      <c r="L104" s="470"/>
      <c r="M104" s="471" t="s">
        <v>34</v>
      </c>
      <c r="N104" s="472">
        <f>SUM(N89:N103)</f>
        <v>31015500</v>
      </c>
      <c r="O104" s="472">
        <v>0</v>
      </c>
      <c r="P104" s="472">
        <v>0</v>
      </c>
      <c r="Q104" s="472"/>
      <c r="R104" s="472"/>
    </row>
    <row r="105" spans="1:18">
      <c r="A105" s="479"/>
      <c r="B105" s="477"/>
      <c r="C105" s="43" t="s">
        <v>21</v>
      </c>
      <c r="D105" s="48"/>
      <c r="E105" s="547">
        <f>D104</f>
        <v>35448500</v>
      </c>
      <c r="F105" s="547"/>
      <c r="G105" s="547"/>
      <c r="H105" s="547"/>
      <c r="K105" s="479"/>
      <c r="L105" s="477"/>
      <c r="M105" s="43" t="s">
        <v>21</v>
      </c>
      <c r="N105" s="48"/>
      <c r="O105" s="547">
        <f>N104</f>
        <v>31015500</v>
      </c>
      <c r="P105" s="547"/>
      <c r="Q105" s="547"/>
      <c r="R105" s="547"/>
    </row>
    <row r="106" spans="1:18">
      <c r="A106" s="546" t="s">
        <v>32</v>
      </c>
      <c r="B106" s="546"/>
      <c r="C106" s="546"/>
      <c r="D106" s="546"/>
      <c r="E106" s="546"/>
      <c r="F106" s="546"/>
      <c r="G106" s="546"/>
      <c r="H106" s="546"/>
      <c r="K106" s="546" t="s">
        <v>32</v>
      </c>
      <c r="L106" s="546"/>
      <c r="M106" s="546"/>
      <c r="N106" s="546"/>
      <c r="O106" s="546"/>
      <c r="P106" s="546"/>
      <c r="Q106" s="546"/>
      <c r="R106" s="546"/>
    </row>
    <row r="107" spans="1:18" hidden="1">
      <c r="A107" s="476"/>
      <c r="B107" s="470"/>
      <c r="C107" s="446"/>
      <c r="D107" s="446"/>
      <c r="E107" s="43"/>
      <c r="F107" s="43"/>
      <c r="G107" s="43"/>
      <c r="H107" s="43"/>
      <c r="K107" s="476"/>
      <c r="L107" s="470"/>
      <c r="M107" s="446"/>
      <c r="N107" s="446"/>
      <c r="O107" s="43"/>
      <c r="P107" s="43"/>
      <c r="Q107" s="43"/>
      <c r="R107" s="43"/>
    </row>
    <row r="108" spans="1:18" hidden="1">
      <c r="A108" s="476"/>
      <c r="B108" s="470"/>
      <c r="C108" s="446"/>
      <c r="D108" s="446"/>
      <c r="E108" s="43"/>
      <c r="F108" s="43"/>
      <c r="G108" s="43"/>
      <c r="H108" s="43"/>
      <c r="K108" s="476"/>
      <c r="L108" s="470"/>
      <c r="M108" s="446"/>
      <c r="N108" s="446"/>
      <c r="O108" s="43"/>
      <c r="P108" s="43"/>
      <c r="Q108" s="43"/>
      <c r="R108" s="43"/>
    </row>
    <row r="109" spans="1:18" hidden="1">
      <c r="A109" s="476"/>
      <c r="B109" s="470"/>
      <c r="C109" s="446"/>
      <c r="D109" s="69"/>
      <c r="E109" s="43"/>
      <c r="F109" s="43"/>
      <c r="G109" s="43"/>
      <c r="H109" s="43"/>
      <c r="K109" s="476"/>
      <c r="L109" s="470"/>
      <c r="M109" s="446"/>
      <c r="N109" s="69"/>
      <c r="O109" s="43"/>
      <c r="P109" s="43"/>
      <c r="Q109" s="43"/>
      <c r="R109" s="43"/>
    </row>
    <row r="110" spans="1:18" hidden="1">
      <c r="A110" s="476"/>
      <c r="B110" s="470"/>
      <c r="C110" s="446"/>
      <c r="D110" s="446"/>
      <c r="E110" s="43"/>
      <c r="F110" s="43"/>
      <c r="G110" s="43"/>
      <c r="H110" s="43"/>
      <c r="K110" s="476"/>
      <c r="L110" s="470"/>
      <c r="M110" s="446"/>
      <c r="N110" s="446"/>
      <c r="O110" s="43"/>
      <c r="P110" s="43"/>
      <c r="Q110" s="43"/>
      <c r="R110" s="43"/>
    </row>
    <row r="111" spans="1:18" hidden="1">
      <c r="A111" s="476"/>
      <c r="B111" s="446"/>
      <c r="C111" s="446"/>
      <c r="D111" s="446"/>
      <c r="E111" s="43"/>
      <c r="F111" s="43"/>
      <c r="G111" s="43"/>
      <c r="H111" s="43"/>
      <c r="K111" s="476"/>
      <c r="L111" s="446"/>
      <c r="M111" s="446"/>
      <c r="N111" s="446"/>
      <c r="O111" s="43"/>
      <c r="P111" s="43"/>
      <c r="Q111" s="43"/>
      <c r="R111" s="43"/>
    </row>
    <row r="112" spans="1:18" hidden="1">
      <c r="A112" s="476"/>
      <c r="B112" s="470"/>
      <c r="C112" s="446"/>
      <c r="D112" s="484"/>
      <c r="E112" s="43"/>
      <c r="F112" s="43"/>
      <c r="G112" s="43"/>
      <c r="H112" s="43"/>
      <c r="K112" s="476"/>
      <c r="L112" s="470"/>
      <c r="M112" s="446"/>
      <c r="N112" s="484"/>
      <c r="O112" s="43"/>
      <c r="P112" s="43"/>
      <c r="Q112" s="43"/>
      <c r="R112" s="43"/>
    </row>
    <row r="113" spans="1:18" hidden="1">
      <c r="A113" s="476"/>
      <c r="B113" s="470"/>
      <c r="C113" s="471" t="s">
        <v>34</v>
      </c>
      <c r="D113" s="472">
        <f>SUM(D107:D111)</f>
        <v>0</v>
      </c>
      <c r="E113" s="472">
        <v>0</v>
      </c>
      <c r="F113" s="472">
        <v>0</v>
      </c>
      <c r="G113" s="472"/>
      <c r="H113" s="472"/>
      <c r="K113" s="476"/>
      <c r="L113" s="470"/>
      <c r="M113" s="471" t="s">
        <v>34</v>
      </c>
      <c r="N113" s="472">
        <f>SUM(N107:N111)</f>
        <v>0</v>
      </c>
      <c r="O113" s="472">
        <v>0</v>
      </c>
      <c r="P113" s="472">
        <v>0</v>
      </c>
      <c r="Q113" s="472"/>
      <c r="R113" s="472"/>
    </row>
    <row r="114" spans="1:18" hidden="1">
      <c r="A114" s="479"/>
      <c r="B114" s="477"/>
      <c r="C114" s="43" t="s">
        <v>21</v>
      </c>
      <c r="D114" s="48"/>
      <c r="E114" s="547">
        <f>D113</f>
        <v>0</v>
      </c>
      <c r="F114" s="547"/>
      <c r="G114" s="547"/>
      <c r="H114" s="547"/>
      <c r="K114" s="479"/>
      <c r="L114" s="477"/>
      <c r="M114" s="43" t="s">
        <v>21</v>
      </c>
      <c r="N114" s="48"/>
      <c r="O114" s="547">
        <f>N113</f>
        <v>0</v>
      </c>
      <c r="P114" s="547"/>
      <c r="Q114" s="547"/>
      <c r="R114" s="547"/>
    </row>
    <row r="115" spans="1:18">
      <c r="A115" s="548" t="s">
        <v>35</v>
      </c>
      <c r="B115" s="548"/>
      <c r="C115" s="548"/>
      <c r="D115" s="485"/>
      <c r="E115" s="549">
        <f>+E45+E77+E87+E114+E105</f>
        <v>146020757</v>
      </c>
      <c r="F115" s="549"/>
      <c r="G115" s="549"/>
      <c r="H115" s="549"/>
      <c r="K115" s="548" t="s">
        <v>35</v>
      </c>
      <c r="L115" s="548"/>
      <c r="M115" s="548"/>
      <c r="N115" s="485"/>
      <c r="O115" s="549">
        <f>+O45+O77+O87+O114+O105</f>
        <v>117963757</v>
      </c>
      <c r="P115" s="549"/>
      <c r="Q115" s="549"/>
      <c r="R115" s="549"/>
    </row>
    <row r="116" spans="1:18">
      <c r="A116" s="544" t="s">
        <v>36</v>
      </c>
      <c r="B116" s="544"/>
      <c r="C116" s="544"/>
      <c r="D116" s="486"/>
      <c r="E116" s="545">
        <f>+E37+E115</f>
        <v>158696257</v>
      </c>
      <c r="F116" s="545"/>
      <c r="G116" s="545"/>
      <c r="H116" s="545"/>
      <c r="K116" s="544" t="s">
        <v>36</v>
      </c>
      <c r="L116" s="544"/>
      <c r="M116" s="544"/>
      <c r="N116" s="486"/>
      <c r="O116" s="545">
        <f>+O37+O115</f>
        <v>124015257</v>
      </c>
      <c r="P116" s="545"/>
      <c r="Q116" s="545"/>
      <c r="R116" s="545"/>
    </row>
    <row r="117" spans="1:18">
      <c r="A117" s="37"/>
      <c r="B117" s="38"/>
      <c r="C117" s="39"/>
      <c r="D117" s="47"/>
      <c r="E117" s="39"/>
      <c r="F117" s="39"/>
      <c r="G117" s="39"/>
      <c r="H117" s="39"/>
      <c r="K117" s="37"/>
      <c r="L117" s="38"/>
      <c r="M117" s="39"/>
      <c r="N117" s="47"/>
      <c r="O117" s="39"/>
      <c r="P117" s="39"/>
      <c r="Q117" s="39"/>
      <c r="R117" s="39"/>
    </row>
    <row r="118" spans="1:18">
      <c r="A118" s="519" t="s">
        <v>13</v>
      </c>
      <c r="B118" s="520"/>
      <c r="C118" s="520"/>
      <c r="D118" s="520"/>
      <c r="E118" s="521"/>
      <c r="F118" s="39"/>
      <c r="G118" s="39"/>
      <c r="H118" s="40"/>
      <c r="K118" s="519" t="s">
        <v>13</v>
      </c>
      <c r="L118" s="520"/>
      <c r="M118" s="520"/>
      <c r="N118" s="520"/>
      <c r="O118" s="521"/>
      <c r="P118" s="39"/>
      <c r="Q118" s="39"/>
      <c r="R118" s="40">
        <v>123652257</v>
      </c>
    </row>
    <row r="119" spans="1:18">
      <c r="A119" s="41" t="s">
        <v>39</v>
      </c>
      <c r="B119" s="42" t="s">
        <v>40</v>
      </c>
      <c r="C119" s="43" t="s">
        <v>980</v>
      </c>
      <c r="D119" s="43" t="s">
        <v>42</v>
      </c>
      <c r="E119" s="43" t="s">
        <v>43</v>
      </c>
      <c r="F119" s="39"/>
      <c r="G119" s="39"/>
      <c r="H119" s="39"/>
      <c r="K119" s="41" t="s">
        <v>39</v>
      </c>
      <c r="L119" s="42" t="s">
        <v>40</v>
      </c>
      <c r="M119" s="43" t="s">
        <v>980</v>
      </c>
      <c r="N119" s="43" t="s">
        <v>42</v>
      </c>
      <c r="O119" s="43" t="s">
        <v>43</v>
      </c>
      <c r="P119" s="39"/>
      <c r="Q119" s="39"/>
      <c r="R119" s="40">
        <f>+O116-R118</f>
        <v>363000</v>
      </c>
    </row>
    <row r="120" spans="1:18">
      <c r="A120" s="41"/>
      <c r="B120" s="110"/>
      <c r="C120" s="45"/>
      <c r="D120" s="46"/>
      <c r="E120" s="46"/>
      <c r="F120" s="39"/>
      <c r="G120" s="39"/>
      <c r="H120" s="39"/>
      <c r="K120" s="41"/>
      <c r="L120" s="110"/>
      <c r="M120" s="45" t="s">
        <v>1579</v>
      </c>
      <c r="N120" s="46">
        <v>124000000</v>
      </c>
      <c r="O120" s="46"/>
      <c r="P120" s="39"/>
      <c r="Q120" s="39"/>
      <c r="R120" s="39"/>
    </row>
    <row r="121" spans="1:18">
      <c r="A121" s="41"/>
      <c r="B121" s="44"/>
      <c r="C121" s="45"/>
      <c r="D121" s="46"/>
      <c r="E121" s="46"/>
      <c r="F121" s="39"/>
      <c r="G121" s="39"/>
      <c r="H121" s="40"/>
      <c r="K121" s="41"/>
      <c r="L121" s="44"/>
      <c r="M121" s="45"/>
      <c r="N121" s="46"/>
      <c r="O121" s="46"/>
      <c r="P121" s="39"/>
      <c r="Q121" s="39"/>
      <c r="R121" s="40"/>
    </row>
    <row r="122" spans="1:18">
      <c r="A122" s="41"/>
      <c r="B122" s="44"/>
      <c r="C122" s="46"/>
      <c r="D122" s="46"/>
      <c r="E122" s="46"/>
      <c r="F122" s="39"/>
      <c r="G122" s="39"/>
      <c r="H122" s="39"/>
      <c r="K122" s="41"/>
      <c r="L122" s="44"/>
      <c r="M122" s="46"/>
      <c r="N122" s="46"/>
      <c r="O122" s="46"/>
      <c r="P122" s="39"/>
      <c r="Q122" s="39"/>
      <c r="R122" s="39"/>
    </row>
    <row r="123" spans="1:18">
      <c r="A123" s="41"/>
      <c r="B123" s="44"/>
      <c r="C123" s="327"/>
      <c r="D123" s="46"/>
      <c r="E123" s="46"/>
      <c r="F123" s="39"/>
      <c r="G123" s="39"/>
      <c r="H123" s="39"/>
      <c r="K123" s="41"/>
      <c r="L123" s="44"/>
      <c r="M123" s="327"/>
      <c r="N123" s="46"/>
      <c r="O123" s="46"/>
      <c r="P123" s="39"/>
      <c r="Q123" s="39"/>
      <c r="R123" s="39"/>
    </row>
    <row r="124" spans="1:18">
      <c r="A124" s="41"/>
      <c r="B124" s="44"/>
      <c r="C124" s="46"/>
      <c r="D124" s="48"/>
      <c r="E124" s="46"/>
      <c r="F124" s="39"/>
      <c r="G124" s="39"/>
      <c r="H124" s="39"/>
      <c r="K124" s="41"/>
      <c r="L124" s="44"/>
      <c r="M124" s="46"/>
      <c r="N124" s="48"/>
      <c r="O124" s="46"/>
      <c r="P124" s="39"/>
      <c r="Q124" s="39"/>
      <c r="R124" s="39"/>
    </row>
    <row r="125" spans="1:18">
      <c r="A125" s="49"/>
      <c r="B125" s="50"/>
      <c r="C125" s="51" t="s">
        <v>44</v>
      </c>
      <c r="D125" s="51">
        <f>SUM(D120:D124)</f>
        <v>0</v>
      </c>
      <c r="E125" s="52"/>
      <c r="F125" s="39"/>
      <c r="G125" s="39"/>
      <c r="H125" s="39"/>
      <c r="K125" s="49"/>
      <c r="L125" s="50"/>
      <c r="M125" s="51" t="s">
        <v>44</v>
      </c>
      <c r="N125" s="51">
        <f>SUM(N120:N124)</f>
        <v>124000000</v>
      </c>
      <c r="O125" s="52"/>
      <c r="P125" s="39"/>
      <c r="Q125" s="39"/>
      <c r="R125" s="39"/>
    </row>
    <row r="126" spans="1:18">
      <c r="A126" s="53"/>
      <c r="B126" s="54"/>
      <c r="C126" s="55" t="s">
        <v>779</v>
      </c>
      <c r="D126" s="116"/>
      <c r="E126" s="3"/>
      <c r="F126" s="39"/>
      <c r="G126" s="39"/>
      <c r="H126" s="39"/>
      <c r="K126" s="53"/>
      <c r="L126" s="54"/>
      <c r="M126" s="55" t="s">
        <v>779</v>
      </c>
      <c r="N126" s="116">
        <f>+N125-O116</f>
        <v>-15257</v>
      </c>
      <c r="O126" s="3"/>
      <c r="P126" s="39"/>
      <c r="Q126" s="39"/>
      <c r="R126" s="39"/>
    </row>
  </sheetData>
  <mergeCells count="50">
    <mergeCell ref="K118:O118"/>
    <mergeCell ref="K106:R106"/>
    <mergeCell ref="O114:R114"/>
    <mergeCell ref="K115:M115"/>
    <mergeCell ref="O115:R115"/>
    <mergeCell ref="K116:M116"/>
    <mergeCell ref="O116:R116"/>
    <mergeCell ref="O77:R77"/>
    <mergeCell ref="K78:R78"/>
    <mergeCell ref="O87:R87"/>
    <mergeCell ref="K88:R88"/>
    <mergeCell ref="O105:R105"/>
    <mergeCell ref="K37:N37"/>
    <mergeCell ref="O37:R37"/>
    <mergeCell ref="K38:R38"/>
    <mergeCell ref="O45:R45"/>
    <mergeCell ref="K46:R46"/>
    <mergeCell ref="K3:R3"/>
    <mergeCell ref="K12:Q12"/>
    <mergeCell ref="K13:R13"/>
    <mergeCell ref="K14:K15"/>
    <mergeCell ref="L14:L15"/>
    <mergeCell ref="M14:M15"/>
    <mergeCell ref="N14:N15"/>
    <mergeCell ref="O14:R14"/>
    <mergeCell ref="E77:H77"/>
    <mergeCell ref="A3:H3"/>
    <mergeCell ref="A12:G12"/>
    <mergeCell ref="A13:H13"/>
    <mergeCell ref="A14:A15"/>
    <mergeCell ref="B14:B15"/>
    <mergeCell ref="C14:C15"/>
    <mergeCell ref="D14:D15"/>
    <mergeCell ref="E14:H14"/>
    <mergeCell ref="A37:D37"/>
    <mergeCell ref="E37:H37"/>
    <mergeCell ref="A38:H38"/>
    <mergeCell ref="E45:H45"/>
    <mergeCell ref="A46:H46"/>
    <mergeCell ref="A116:C116"/>
    <mergeCell ref="E116:H116"/>
    <mergeCell ref="A118:E118"/>
    <mergeCell ref="A78:H78"/>
    <mergeCell ref="E87:H87"/>
    <mergeCell ref="A106:H106"/>
    <mergeCell ref="E114:H114"/>
    <mergeCell ref="A115:C115"/>
    <mergeCell ref="E115:H115"/>
    <mergeCell ref="A88:H88"/>
    <mergeCell ref="E105:H105"/>
  </mergeCells>
  <phoneticPr fontId="16" type="noConversion"/>
  <pageMargins left="0.28999999999999998" right="0.11811023622047245" top="0.35433070866141736" bottom="0.15748031496062992" header="0.31496062992125984" footer="0.15748031496062992"/>
  <pageSetup paperSize="9" scale="85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8E5C-FD60-49A3-AA4C-CBD964F64F26}">
  <dimension ref="A1:J64"/>
  <sheetViews>
    <sheetView topLeftCell="G1" workbookViewId="0">
      <selection activeCell="G32" sqref="G32"/>
    </sheetView>
  </sheetViews>
  <sheetFormatPr defaultRowHeight="15"/>
  <cols>
    <col min="1" max="1" width="80.140625" bestFit="1" customWidth="1"/>
    <col min="2" max="2" width="12.5703125" style="77" bestFit="1" customWidth="1"/>
    <col min="3" max="3" width="26.5703125" bestFit="1" customWidth="1"/>
    <col min="4" max="4" width="10.5703125" style="77" bestFit="1" customWidth="1"/>
    <col min="5" max="5" width="32.5703125" bestFit="1" customWidth="1"/>
    <col min="6" max="6" width="11.5703125" bestFit="1" customWidth="1"/>
    <col min="7" max="7" width="60.85546875" bestFit="1" customWidth="1"/>
    <col min="8" max="8" width="12.5703125" bestFit="1" customWidth="1"/>
    <col min="9" max="9" width="19.5703125" bestFit="1" customWidth="1"/>
    <col min="10" max="10" width="10.5703125" bestFit="1" customWidth="1"/>
  </cols>
  <sheetData>
    <row r="1" spans="1:10">
      <c r="A1" t="s">
        <v>1580</v>
      </c>
    </row>
    <row r="3" spans="1:10">
      <c r="A3" s="57" t="s">
        <v>47</v>
      </c>
      <c r="B3" s="58"/>
      <c r="C3" s="58" t="s">
        <v>48</v>
      </c>
      <c r="D3" s="58"/>
      <c r="E3" s="58" t="s">
        <v>49</v>
      </c>
      <c r="F3" s="58"/>
      <c r="G3" s="542" t="s">
        <v>50</v>
      </c>
      <c r="H3" s="543"/>
      <c r="I3" s="58" t="s">
        <v>51</v>
      </c>
      <c r="J3" s="59"/>
    </row>
    <row r="4" spans="1:10">
      <c r="A4" s="489" t="s">
        <v>1434</v>
      </c>
      <c r="B4" s="489">
        <v>300000</v>
      </c>
      <c r="C4" s="119" t="s">
        <v>1408</v>
      </c>
      <c r="D4" s="120">
        <v>500000</v>
      </c>
      <c r="E4" s="491" t="s">
        <v>1547</v>
      </c>
      <c r="F4" s="488">
        <v>180000</v>
      </c>
      <c r="G4" s="119" t="s">
        <v>1242</v>
      </c>
      <c r="H4" s="120">
        <v>1250000</v>
      </c>
      <c r="I4" s="119" t="s">
        <v>1380</v>
      </c>
      <c r="J4" s="120">
        <v>175000</v>
      </c>
    </row>
    <row r="5" spans="1:10">
      <c r="A5" s="489" t="s">
        <v>1487</v>
      </c>
      <c r="B5" s="489">
        <v>231000</v>
      </c>
      <c r="C5" s="119" t="s">
        <v>1431</v>
      </c>
      <c r="D5" s="120">
        <v>600000</v>
      </c>
      <c r="E5" s="491" t="s">
        <v>1548</v>
      </c>
      <c r="F5" s="488">
        <v>130000</v>
      </c>
      <c r="G5" s="119" t="s">
        <v>1404</v>
      </c>
      <c r="H5" s="120">
        <v>300000</v>
      </c>
      <c r="I5" s="119"/>
      <c r="J5" s="120"/>
    </row>
    <row r="6" spans="1:10">
      <c r="A6" s="489" t="s">
        <v>1502</v>
      </c>
      <c r="B6" s="489">
        <v>572900</v>
      </c>
      <c r="C6" s="119" t="s">
        <v>1552</v>
      </c>
      <c r="D6" s="120">
        <v>75000</v>
      </c>
      <c r="E6" s="488" t="s">
        <v>1291</v>
      </c>
      <c r="F6" s="488">
        <v>9822000</v>
      </c>
      <c r="G6" s="119" t="s">
        <v>686</v>
      </c>
      <c r="H6" s="120">
        <v>450000</v>
      </c>
      <c r="I6" s="119"/>
      <c r="J6" s="120"/>
    </row>
    <row r="7" spans="1:10">
      <c r="A7" s="489" t="s">
        <v>1503</v>
      </c>
      <c r="B7" s="489">
        <v>957540</v>
      </c>
      <c r="C7" s="446" t="s">
        <v>1121</v>
      </c>
      <c r="D7" s="67">
        <v>300000</v>
      </c>
      <c r="E7" s="488" t="s">
        <v>1175</v>
      </c>
      <c r="F7" s="488">
        <v>36000</v>
      </c>
      <c r="G7" s="119" t="s">
        <v>1311</v>
      </c>
      <c r="H7" s="120">
        <v>150000</v>
      </c>
      <c r="I7" s="119"/>
      <c r="J7" s="120"/>
    </row>
    <row r="8" spans="1:10">
      <c r="A8" s="489" t="s">
        <v>1504</v>
      </c>
      <c r="B8" s="489">
        <v>5010000</v>
      </c>
      <c r="C8" s="455" t="s">
        <v>1127</v>
      </c>
      <c r="D8" s="455">
        <v>750000</v>
      </c>
      <c r="E8" s="491"/>
      <c r="F8" s="488"/>
      <c r="G8" s="119" t="s">
        <v>802</v>
      </c>
      <c r="H8" s="120">
        <v>185000</v>
      </c>
      <c r="I8" s="119"/>
      <c r="J8" s="120"/>
    </row>
    <row r="9" spans="1:10">
      <c r="A9" s="489" t="s">
        <v>1544</v>
      </c>
      <c r="B9" s="493">
        <v>4405000</v>
      </c>
      <c r="C9" s="455"/>
      <c r="D9" s="455"/>
      <c r="E9" s="491"/>
      <c r="F9" s="488"/>
      <c r="G9" s="492" t="s">
        <v>1429</v>
      </c>
      <c r="H9" s="491">
        <v>1194000</v>
      </c>
      <c r="I9" s="119"/>
      <c r="J9" s="120"/>
    </row>
    <row r="10" spans="1:10">
      <c r="A10" s="489" t="s">
        <v>1545</v>
      </c>
      <c r="B10" s="493">
        <v>2200000</v>
      </c>
      <c r="C10" s="455"/>
      <c r="D10" s="455"/>
      <c r="E10" s="120"/>
      <c r="F10" s="455"/>
      <c r="G10" s="492" t="s">
        <v>1005</v>
      </c>
      <c r="H10" s="491">
        <v>202500</v>
      </c>
      <c r="I10" s="119"/>
      <c r="J10" s="120"/>
    </row>
    <row r="11" spans="1:10">
      <c r="A11" s="489" t="s">
        <v>1538</v>
      </c>
      <c r="B11" s="493">
        <v>12000000</v>
      </c>
      <c r="C11" s="455"/>
      <c r="D11" s="455"/>
      <c r="E11" s="120"/>
      <c r="F11" s="455"/>
      <c r="G11" s="119" t="s">
        <v>1003</v>
      </c>
      <c r="H11" s="120">
        <v>450500</v>
      </c>
      <c r="I11" s="119"/>
      <c r="J11" s="120"/>
    </row>
    <row r="12" spans="1:10">
      <c r="A12" s="489"/>
      <c r="B12" s="489"/>
      <c r="C12" s="455"/>
      <c r="D12" s="455"/>
      <c r="E12" s="120"/>
      <c r="F12" s="455"/>
      <c r="G12" s="492" t="s">
        <v>1430</v>
      </c>
      <c r="H12" s="491">
        <v>503500</v>
      </c>
      <c r="I12" s="119"/>
      <c r="J12" s="120"/>
    </row>
    <row r="13" spans="1:10">
      <c r="A13" s="489"/>
      <c r="B13" s="489"/>
      <c r="C13" s="455"/>
      <c r="D13" s="455"/>
      <c r="E13" s="120"/>
      <c r="F13" s="455"/>
      <c r="G13" s="119" t="s">
        <v>1390</v>
      </c>
      <c r="H13" s="120">
        <v>16000</v>
      </c>
      <c r="I13" s="119"/>
      <c r="J13" s="120"/>
    </row>
    <row r="14" spans="1:10">
      <c r="A14" s="489"/>
      <c r="B14" s="489"/>
      <c r="C14" s="455"/>
      <c r="D14" s="455"/>
      <c r="E14" s="120"/>
      <c r="F14" s="455"/>
      <c r="G14" s="491" t="s">
        <v>1542</v>
      </c>
      <c r="H14" s="488">
        <v>300000</v>
      </c>
      <c r="I14" s="119"/>
      <c r="J14" s="120"/>
    </row>
    <row r="15" spans="1:10">
      <c r="A15" s="489"/>
      <c r="B15" s="489"/>
      <c r="C15" s="455"/>
      <c r="D15" s="455"/>
      <c r="E15" s="120"/>
      <c r="F15" s="455"/>
      <c r="G15" s="491" t="s">
        <v>1543</v>
      </c>
      <c r="H15" s="488">
        <v>150000</v>
      </c>
      <c r="I15" s="119"/>
      <c r="J15" s="120"/>
    </row>
    <row r="16" spans="1:10">
      <c r="A16" s="489"/>
      <c r="B16" s="489"/>
      <c r="C16" s="455"/>
      <c r="D16" s="455"/>
      <c r="E16" s="120"/>
      <c r="F16" s="455"/>
      <c r="G16" s="491" t="s">
        <v>1546</v>
      </c>
      <c r="H16" s="488">
        <v>3000000</v>
      </c>
      <c r="I16" s="119"/>
      <c r="J16" s="120"/>
    </row>
    <row r="17" spans="1:10">
      <c r="A17" s="489"/>
      <c r="B17" s="489"/>
      <c r="C17" s="455"/>
      <c r="D17" s="455"/>
      <c r="E17" s="120"/>
      <c r="F17" s="455"/>
      <c r="G17" s="455" t="s">
        <v>1488</v>
      </c>
      <c r="H17" s="455">
        <v>1600000</v>
      </c>
      <c r="I17" s="119"/>
      <c r="J17" s="120"/>
    </row>
    <row r="18" spans="1:10">
      <c r="A18" s="489"/>
      <c r="B18" s="489"/>
      <c r="C18" s="455"/>
      <c r="D18" s="455"/>
      <c r="E18" s="120"/>
      <c r="F18" s="455"/>
      <c r="G18" s="446" t="s">
        <v>1505</v>
      </c>
      <c r="H18" s="446">
        <v>1715000</v>
      </c>
      <c r="I18" s="119"/>
      <c r="J18" s="120"/>
    </row>
    <row r="19" spans="1:10">
      <c r="A19" s="446"/>
      <c r="B19" s="446"/>
      <c r="C19" s="455"/>
      <c r="D19" s="455"/>
      <c r="E19" s="120"/>
      <c r="F19" s="455"/>
      <c r="G19" s="446" t="s">
        <v>1507</v>
      </c>
      <c r="H19" s="67">
        <v>5554517</v>
      </c>
      <c r="I19" s="119"/>
      <c r="J19" s="120"/>
    </row>
    <row r="20" spans="1:10">
      <c r="A20" s="455"/>
      <c r="B20" s="455"/>
      <c r="C20" s="446"/>
      <c r="D20" s="455"/>
      <c r="E20" s="120"/>
      <c r="F20" s="455"/>
      <c r="G20" s="490" t="s">
        <v>1501</v>
      </c>
      <c r="H20" s="488">
        <v>5000</v>
      </c>
      <c r="I20" s="119"/>
      <c r="J20" s="120"/>
    </row>
    <row r="21" spans="1:10">
      <c r="A21" s="455"/>
      <c r="B21" s="455"/>
      <c r="C21" s="446"/>
      <c r="D21" s="446"/>
      <c r="E21" s="455"/>
      <c r="F21" s="455"/>
      <c r="G21" s="489" t="s">
        <v>1529</v>
      </c>
      <c r="H21" s="493">
        <v>5000</v>
      </c>
      <c r="I21" s="119"/>
      <c r="J21" s="120"/>
    </row>
    <row r="22" spans="1:10">
      <c r="A22" s="455"/>
      <c r="B22" s="455"/>
      <c r="C22" s="120"/>
      <c r="D22" s="455"/>
      <c r="E22" s="455"/>
      <c r="F22" s="455"/>
      <c r="G22" s="489" t="s">
        <v>1529</v>
      </c>
      <c r="H22" s="493">
        <v>5000</v>
      </c>
      <c r="I22" s="119"/>
      <c r="J22" s="120"/>
    </row>
    <row r="23" spans="1:10">
      <c r="A23" s="455"/>
      <c r="B23" s="455"/>
      <c r="C23" s="455"/>
      <c r="D23" s="455"/>
      <c r="E23" s="455"/>
      <c r="F23" s="455"/>
      <c r="G23" s="489" t="s">
        <v>1275</v>
      </c>
      <c r="H23" s="489">
        <v>10000000</v>
      </c>
      <c r="I23" s="119"/>
      <c r="J23" s="120"/>
    </row>
    <row r="24" spans="1:10">
      <c r="A24" s="455"/>
      <c r="B24" s="455"/>
      <c r="C24" s="455"/>
      <c r="D24" s="455"/>
      <c r="E24" s="455"/>
      <c r="F24" s="455"/>
      <c r="G24" s="489" t="s">
        <v>1493</v>
      </c>
      <c r="H24" s="489">
        <v>10000000</v>
      </c>
      <c r="I24" s="119"/>
      <c r="J24" s="120"/>
    </row>
    <row r="25" spans="1:10">
      <c r="A25" s="455"/>
      <c r="B25" s="455"/>
      <c r="C25" s="455"/>
      <c r="D25" s="455"/>
      <c r="E25" s="120"/>
      <c r="F25" s="455"/>
      <c r="G25" s="488" t="s">
        <v>1496</v>
      </c>
      <c r="H25" s="488">
        <v>10000000</v>
      </c>
      <c r="I25" s="119"/>
      <c r="J25" s="120"/>
    </row>
    <row r="26" spans="1:10">
      <c r="A26" s="455"/>
      <c r="B26" s="455"/>
      <c r="C26" s="455"/>
      <c r="D26" s="455"/>
      <c r="E26" s="120"/>
      <c r="F26" s="455"/>
      <c r="G26" s="488" t="s">
        <v>1497</v>
      </c>
      <c r="H26" s="489">
        <v>3000000</v>
      </c>
      <c r="I26" s="119"/>
      <c r="J26" s="120"/>
    </row>
    <row r="27" spans="1:10">
      <c r="A27" s="455"/>
      <c r="B27" s="455"/>
      <c r="C27" s="455"/>
      <c r="D27" s="455"/>
      <c r="E27" s="120"/>
      <c r="F27" s="455"/>
      <c r="G27" s="446" t="s">
        <v>1541</v>
      </c>
      <c r="H27" s="67">
        <v>510000</v>
      </c>
      <c r="I27" s="119"/>
      <c r="J27" s="120"/>
    </row>
    <row r="28" spans="1:10">
      <c r="A28" s="455"/>
      <c r="B28" s="455"/>
      <c r="C28" s="455"/>
      <c r="D28" s="455"/>
      <c r="E28" s="120"/>
      <c r="F28" s="455"/>
      <c r="G28" s="446" t="s">
        <v>1558</v>
      </c>
      <c r="H28" s="67">
        <v>625000</v>
      </c>
      <c r="I28" s="119"/>
      <c r="J28" s="120"/>
    </row>
    <row r="29" spans="1:10">
      <c r="A29" s="455"/>
      <c r="B29" s="455"/>
      <c r="C29" s="455"/>
      <c r="D29" s="455"/>
      <c r="E29" s="120"/>
      <c r="F29" s="455"/>
      <c r="G29" s="446" t="s">
        <v>1561</v>
      </c>
      <c r="H29" s="67">
        <v>200000</v>
      </c>
      <c r="I29" s="119"/>
      <c r="J29" s="120"/>
    </row>
    <row r="30" spans="1:10">
      <c r="A30" s="455"/>
      <c r="B30" s="455"/>
      <c r="C30" s="455"/>
      <c r="D30" s="455"/>
      <c r="E30" s="120"/>
      <c r="F30" s="455"/>
      <c r="G30" s="488" t="s">
        <v>1521</v>
      </c>
      <c r="H30" s="488">
        <v>1623300</v>
      </c>
      <c r="I30" s="119"/>
      <c r="J30" s="120"/>
    </row>
    <row r="31" spans="1:10">
      <c r="A31" s="455"/>
      <c r="B31" s="455"/>
      <c r="C31" s="455"/>
      <c r="D31" s="455"/>
      <c r="E31" s="120"/>
      <c r="F31" s="455"/>
      <c r="G31" s="455" t="s">
        <v>1563</v>
      </c>
      <c r="H31" s="455">
        <v>758000</v>
      </c>
      <c r="I31" s="119"/>
      <c r="J31" s="120"/>
    </row>
    <row r="32" spans="1:10">
      <c r="A32" s="455"/>
      <c r="B32" s="455"/>
      <c r="C32" s="455"/>
      <c r="D32" s="455"/>
      <c r="E32" s="120"/>
      <c r="F32" s="455"/>
      <c r="G32" s="456" t="s">
        <v>1566</v>
      </c>
      <c r="H32" s="455">
        <v>640000</v>
      </c>
      <c r="I32" s="119"/>
      <c r="J32" s="120"/>
    </row>
    <row r="33" spans="1:10">
      <c r="A33" s="455"/>
      <c r="B33" s="455"/>
      <c r="C33" s="455"/>
      <c r="D33" s="455"/>
      <c r="E33" s="120"/>
      <c r="F33" s="455"/>
      <c r="G33" s="456" t="s">
        <v>1358</v>
      </c>
      <c r="H33" s="455">
        <v>4705000</v>
      </c>
      <c r="I33" s="119"/>
      <c r="J33" s="120"/>
    </row>
    <row r="34" spans="1:10">
      <c r="A34" s="455"/>
      <c r="B34" s="455"/>
      <c r="C34" s="455"/>
      <c r="D34" s="455"/>
      <c r="E34" s="120"/>
      <c r="F34" s="455"/>
      <c r="G34" s="455" t="s">
        <v>1407</v>
      </c>
      <c r="H34" s="455">
        <v>1500000</v>
      </c>
      <c r="I34" s="119"/>
      <c r="J34" s="120"/>
    </row>
    <row r="35" spans="1:10">
      <c r="A35" s="455"/>
      <c r="B35" s="455"/>
      <c r="C35" s="455"/>
      <c r="D35" s="455"/>
      <c r="E35" s="120"/>
      <c r="F35" s="455"/>
      <c r="G35" s="456" t="s">
        <v>1442</v>
      </c>
      <c r="H35" s="455">
        <v>195000</v>
      </c>
      <c r="I35" s="119"/>
      <c r="J35" s="120"/>
    </row>
    <row r="36" spans="1:10">
      <c r="A36" s="455"/>
      <c r="B36" s="455"/>
      <c r="C36" s="455"/>
      <c r="D36" s="455"/>
      <c r="E36" s="120"/>
      <c r="F36" s="455"/>
      <c r="G36" s="490" t="s">
        <v>1443</v>
      </c>
      <c r="H36" s="488">
        <v>796000</v>
      </c>
      <c r="I36" s="119"/>
      <c r="J36" s="120"/>
    </row>
    <row r="37" spans="1:10">
      <c r="A37" s="455"/>
      <c r="B37" s="455"/>
      <c r="C37" s="455"/>
      <c r="D37" s="455"/>
      <c r="E37" s="120"/>
      <c r="F37" s="455"/>
      <c r="G37" s="490" t="s">
        <v>1464</v>
      </c>
      <c r="H37" s="488">
        <v>6785000</v>
      </c>
      <c r="I37" s="119"/>
      <c r="J37" s="120"/>
    </row>
    <row r="38" spans="1:10">
      <c r="A38" s="455"/>
      <c r="B38" s="455"/>
      <c r="C38" s="455"/>
      <c r="D38" s="455"/>
      <c r="E38" s="120"/>
      <c r="F38" s="455"/>
      <c r="G38" s="490" t="s">
        <v>1539</v>
      </c>
      <c r="H38" s="488">
        <v>1540000</v>
      </c>
      <c r="I38" s="119"/>
      <c r="J38" s="120"/>
    </row>
    <row r="39" spans="1:10">
      <c r="A39" s="455"/>
      <c r="B39" s="455"/>
      <c r="C39" s="455"/>
      <c r="D39" s="455"/>
      <c r="E39" s="120"/>
      <c r="F39" s="455"/>
      <c r="G39" s="490" t="s">
        <v>1540</v>
      </c>
      <c r="H39" s="488">
        <v>2000000</v>
      </c>
      <c r="I39" s="119"/>
      <c r="J39" s="120"/>
    </row>
    <row r="40" spans="1:10">
      <c r="A40" s="455"/>
      <c r="B40" s="455"/>
      <c r="C40" s="455"/>
      <c r="D40" s="455"/>
      <c r="E40" s="120"/>
      <c r="F40" s="455"/>
      <c r="G40" s="490" t="s">
        <v>1571</v>
      </c>
      <c r="H40" s="488">
        <v>8264500</v>
      </c>
      <c r="I40" s="119"/>
      <c r="J40" s="120"/>
    </row>
    <row r="41" spans="1:10">
      <c r="A41" s="455"/>
      <c r="B41" s="455"/>
      <c r="C41" s="455"/>
      <c r="D41" s="455"/>
      <c r="E41" s="120"/>
      <c r="F41" s="455"/>
      <c r="G41" s="490" t="s">
        <v>1574</v>
      </c>
      <c r="H41" s="488">
        <v>900000</v>
      </c>
      <c r="I41" s="119"/>
      <c r="J41" s="120"/>
    </row>
    <row r="42" spans="1:10">
      <c r="A42" s="455"/>
      <c r="B42" s="455"/>
      <c r="C42" s="455"/>
      <c r="D42" s="455"/>
      <c r="E42" s="120"/>
      <c r="F42" s="455"/>
      <c r="G42" s="490" t="s">
        <v>1540</v>
      </c>
      <c r="H42" s="488">
        <v>2000000</v>
      </c>
      <c r="I42" s="119"/>
      <c r="J42" s="120"/>
    </row>
    <row r="43" spans="1:10">
      <c r="A43" s="455"/>
      <c r="B43" s="455"/>
      <c r="C43" s="455"/>
      <c r="D43" s="455"/>
      <c r="E43" s="120"/>
      <c r="F43" s="455"/>
      <c r="G43" s="490" t="s">
        <v>1577</v>
      </c>
      <c r="H43" s="488">
        <v>2330000</v>
      </c>
      <c r="I43" s="119"/>
      <c r="J43" s="120"/>
    </row>
    <row r="44" spans="1:10">
      <c r="A44" s="455"/>
      <c r="B44" s="455"/>
      <c r="C44" s="455"/>
      <c r="D44" s="455"/>
      <c r="E44" s="120"/>
      <c r="F44" s="455"/>
      <c r="G44" s="489" t="s">
        <v>1492</v>
      </c>
      <c r="H44" s="489">
        <v>363000</v>
      </c>
      <c r="I44" s="119"/>
      <c r="J44" s="120"/>
    </row>
    <row r="45" spans="1:10">
      <c r="A45" s="455"/>
      <c r="B45" s="455"/>
      <c r="C45" s="455"/>
      <c r="D45" s="455"/>
      <c r="E45" s="120"/>
      <c r="F45" s="455"/>
      <c r="G45" s="456"/>
      <c r="H45" s="455"/>
      <c r="I45" s="119"/>
      <c r="J45" s="120"/>
    </row>
    <row r="46" spans="1:10">
      <c r="A46" s="455"/>
      <c r="B46" s="455"/>
      <c r="C46" s="455"/>
      <c r="D46" s="455"/>
      <c r="E46" s="120"/>
      <c r="F46" s="455"/>
      <c r="G46" s="446"/>
      <c r="H46" s="446"/>
      <c r="I46" s="119"/>
      <c r="J46" s="120"/>
    </row>
    <row r="47" spans="1:10">
      <c r="A47" s="68"/>
      <c r="B47" s="69"/>
      <c r="C47" s="69"/>
      <c r="D47" s="69"/>
      <c r="E47" s="69"/>
      <c r="F47" s="69"/>
      <c r="G47" s="119"/>
      <c r="H47" s="120"/>
      <c r="I47" s="68"/>
      <c r="J47" s="69"/>
    </row>
    <row r="48" spans="1:10">
      <c r="A48" s="70"/>
      <c r="B48" s="71">
        <f>SUM(B4:B21)</f>
        <v>25676440</v>
      </c>
      <c r="C48" s="71">
        <f>SUM(C4:C21)</f>
        <v>0</v>
      </c>
      <c r="D48" s="71">
        <f>SUM(D4:D22)</f>
        <v>2225000</v>
      </c>
      <c r="E48" s="71">
        <f>SUM(E4:E21)</f>
        <v>0</v>
      </c>
      <c r="F48" s="71">
        <f>SUM(F4:F47)</f>
        <v>10168000</v>
      </c>
      <c r="G48" s="71">
        <f>SUM(G4:G21)</f>
        <v>0</v>
      </c>
      <c r="H48" s="71">
        <f>SUM(H4:H47)</f>
        <v>85770817</v>
      </c>
      <c r="I48" s="71">
        <f>SUM(I4:I21)</f>
        <v>0</v>
      </c>
      <c r="J48" s="71">
        <f>SUM(J4:J21)</f>
        <v>175000</v>
      </c>
    </row>
    <row r="49" spans="2:10">
      <c r="C49" t="s">
        <v>1471</v>
      </c>
      <c r="D49" s="77">
        <v>100000</v>
      </c>
      <c r="H49" s="77"/>
    </row>
    <row r="50" spans="2:10">
      <c r="C50" t="s">
        <v>1208</v>
      </c>
      <c r="D50" s="77">
        <f>+D48-D49</f>
        <v>2125000</v>
      </c>
      <c r="G50" t="s">
        <v>1581</v>
      </c>
      <c r="H50" s="77"/>
    </row>
    <row r="51" spans="2:10">
      <c r="G51" t="s">
        <v>1369</v>
      </c>
      <c r="H51" s="77">
        <v>1100000</v>
      </c>
    </row>
    <row r="52" spans="2:10">
      <c r="B52" s="77">
        <f>+B4+B5+B6+B7+B8</f>
        <v>7071440</v>
      </c>
      <c r="G52" t="s">
        <v>1582</v>
      </c>
      <c r="H52" s="77">
        <v>300000</v>
      </c>
    </row>
    <row r="53" spans="2:10">
      <c r="G53" s="279" t="s">
        <v>1586</v>
      </c>
      <c r="H53" s="487">
        <f>+H51+H52</f>
        <v>1400000</v>
      </c>
    </row>
    <row r="54" spans="2:10">
      <c r="H54" s="72">
        <f>+H48-H53</f>
        <v>84370817</v>
      </c>
      <c r="J54" s="72">
        <f>+J48+H53</f>
        <v>1575000</v>
      </c>
    </row>
    <row r="55" spans="2:10">
      <c r="H55" s="72"/>
      <c r="J55">
        <v>2000000</v>
      </c>
    </row>
    <row r="56" spans="2:10">
      <c r="G56" t="s">
        <v>1583</v>
      </c>
      <c r="H56" s="72">
        <f>+H40</f>
        <v>8264500</v>
      </c>
      <c r="J56" s="72">
        <f>+J54+J55</f>
        <v>3575000</v>
      </c>
    </row>
    <row r="57" spans="2:10">
      <c r="G57" t="s">
        <v>1584</v>
      </c>
      <c r="H57" s="72">
        <f>+H36+H37+H41</f>
        <v>8481000</v>
      </c>
    </row>
    <row r="58" spans="2:10">
      <c r="G58" t="s">
        <v>1585</v>
      </c>
      <c r="H58" s="72">
        <f>+H38+H39+H42+H43</f>
        <v>7870000</v>
      </c>
    </row>
    <row r="59" spans="2:10">
      <c r="B59" s="77">
        <f>+B48+D48+F48+H48+J48</f>
        <v>124015257</v>
      </c>
      <c r="H59" s="72"/>
    </row>
    <row r="60" spans="2:10">
      <c r="G60" s="456" t="s">
        <v>50</v>
      </c>
      <c r="H60" s="72">
        <f>+H18+H19+H20+H21+H27+H30+H31+H32+H33+H34+H35</f>
        <v>17210817</v>
      </c>
    </row>
    <row r="61" spans="2:10">
      <c r="H61" s="72"/>
    </row>
    <row r="62" spans="2:10">
      <c r="H62" s="72"/>
    </row>
    <row r="63" spans="2:10">
      <c r="G63" t="s">
        <v>42</v>
      </c>
      <c r="H63" s="72">
        <f>SUM(H56:H60)</f>
        <v>41826317</v>
      </c>
    </row>
    <row r="64" spans="2:10">
      <c r="G64" t="s">
        <v>1587</v>
      </c>
      <c r="H64" s="72">
        <f>+H54-H63</f>
        <v>42544500</v>
      </c>
    </row>
  </sheetData>
  <mergeCells count="1">
    <mergeCell ref="G3:H3"/>
  </mergeCells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1CC7-F6F4-424C-B20D-7B8DB103EF73}">
  <dimension ref="B1:R113"/>
  <sheetViews>
    <sheetView topLeftCell="E27" workbookViewId="0">
      <selection activeCell="U54" sqref="U54"/>
    </sheetView>
  </sheetViews>
  <sheetFormatPr defaultRowHeight="15"/>
  <cols>
    <col min="1" max="1" width="1.7109375" customWidth="1"/>
    <col min="2" max="2" width="4.7109375" customWidth="1"/>
    <col min="4" max="4" width="54.28515625" customWidth="1"/>
    <col min="5" max="5" width="12.5703125" style="175" bestFit="1" customWidth="1"/>
    <col min="6" max="6" width="6.85546875" customWidth="1"/>
    <col min="7" max="7" width="6.28515625" bestFit="1" customWidth="1"/>
    <col min="8" max="8" width="6" bestFit="1" customWidth="1"/>
    <col min="9" max="9" width="12" bestFit="1" customWidth="1"/>
    <col min="11" max="11" width="4.7109375" customWidth="1"/>
    <col min="12" max="12" width="10.42578125" bestFit="1" customWidth="1"/>
    <col min="13" max="13" width="54.28515625" customWidth="1"/>
    <col min="14" max="14" width="12.5703125" style="175" bestFit="1" customWidth="1"/>
    <col min="15" max="15" width="6.85546875" customWidth="1"/>
    <col min="16" max="16" width="6.28515625" bestFit="1" customWidth="1"/>
    <col min="17" max="17" width="6" bestFit="1" customWidth="1"/>
    <col min="18" max="18" width="12" bestFit="1" customWidth="1"/>
  </cols>
  <sheetData>
    <row r="1" spans="2:18" ht="15.75">
      <c r="B1" s="347" t="s">
        <v>0</v>
      </c>
      <c r="C1" s="2"/>
      <c r="D1" s="3"/>
      <c r="E1" s="3"/>
      <c r="F1" s="3"/>
      <c r="G1" s="3"/>
      <c r="H1" s="3"/>
      <c r="I1" s="3"/>
      <c r="K1" s="347" t="s">
        <v>0</v>
      </c>
      <c r="L1" s="2"/>
      <c r="M1" s="3"/>
      <c r="N1" s="3"/>
      <c r="O1" s="3"/>
      <c r="P1" s="3"/>
      <c r="Q1" s="3"/>
      <c r="R1" s="3"/>
    </row>
    <row r="2" spans="2:18" ht="15.75">
      <c r="B2" s="347" t="s">
        <v>1629</v>
      </c>
      <c r="C2" s="2"/>
      <c r="D2" s="3"/>
      <c r="E2" s="3"/>
      <c r="F2" s="3"/>
      <c r="G2" s="3"/>
      <c r="H2" s="3"/>
      <c r="I2" s="3"/>
      <c r="K2" s="347" t="s">
        <v>1629</v>
      </c>
      <c r="L2" s="2"/>
      <c r="M2" s="3"/>
      <c r="N2" s="3"/>
      <c r="O2" s="3"/>
      <c r="P2" s="3"/>
      <c r="Q2" s="3"/>
      <c r="R2" s="3"/>
    </row>
    <row r="3" spans="2:18">
      <c r="B3" s="550" t="s">
        <v>1</v>
      </c>
      <c r="C3" s="550"/>
      <c r="D3" s="550"/>
      <c r="E3" s="550"/>
      <c r="F3" s="550"/>
      <c r="G3" s="550"/>
      <c r="H3" s="550"/>
      <c r="I3" s="550"/>
      <c r="K3" s="550" t="s">
        <v>1</v>
      </c>
      <c r="L3" s="550"/>
      <c r="M3" s="550"/>
      <c r="N3" s="550"/>
      <c r="O3" s="550"/>
      <c r="P3" s="550"/>
      <c r="Q3" s="550"/>
      <c r="R3" s="550"/>
    </row>
    <row r="4" spans="2:18">
      <c r="B4" s="473"/>
      <c r="C4" s="44"/>
      <c r="D4" s="46" t="s">
        <v>2</v>
      </c>
      <c r="E4" s="507">
        <v>0</v>
      </c>
      <c r="F4" s="46"/>
      <c r="G4" s="46"/>
      <c r="H4" s="46"/>
      <c r="I4" s="46"/>
      <c r="K4" s="473"/>
      <c r="L4" s="44"/>
      <c r="M4" s="46" t="s">
        <v>2</v>
      </c>
      <c r="N4" s="507">
        <v>0</v>
      </c>
      <c r="O4" s="46"/>
      <c r="P4" s="46"/>
      <c r="Q4" s="46"/>
      <c r="R4" s="46"/>
    </row>
    <row r="5" spans="2:18">
      <c r="B5" s="473"/>
      <c r="C5" s="44"/>
      <c r="D5" s="46" t="s">
        <v>590</v>
      </c>
      <c r="E5" s="46">
        <v>0</v>
      </c>
      <c r="F5" s="46"/>
      <c r="G5" s="46"/>
      <c r="H5" s="46"/>
      <c r="I5" s="46"/>
      <c r="K5" s="473"/>
      <c r="L5" s="44"/>
      <c r="M5" s="46" t="s">
        <v>590</v>
      </c>
      <c r="N5" s="46">
        <v>0</v>
      </c>
      <c r="O5" s="46"/>
      <c r="P5" s="46"/>
      <c r="Q5" s="46"/>
      <c r="R5" s="46"/>
    </row>
    <row r="6" spans="2:18">
      <c r="B6" s="473"/>
      <c r="C6" s="44"/>
      <c r="D6" s="46" t="s">
        <v>3</v>
      </c>
      <c r="E6" s="46">
        <f>99400000-5000000</f>
        <v>94400000</v>
      </c>
      <c r="F6" s="46"/>
      <c r="G6" s="46"/>
      <c r="H6" s="46"/>
      <c r="I6" s="46"/>
      <c r="K6" s="473"/>
      <c r="L6" s="44"/>
      <c r="M6" s="46" t="s">
        <v>3</v>
      </c>
      <c r="N6" s="46">
        <f>99400000-5000000</f>
        <v>94400000</v>
      </c>
      <c r="O6" s="46"/>
      <c r="P6" s="46"/>
      <c r="Q6" s="46"/>
      <c r="R6" s="46"/>
    </row>
    <row r="7" spans="2:18">
      <c r="B7" s="473"/>
      <c r="C7" s="44"/>
      <c r="D7" s="46" t="s">
        <v>4</v>
      </c>
      <c r="E7" s="508">
        <v>1139810</v>
      </c>
      <c r="F7" s="46"/>
      <c r="G7" s="46"/>
      <c r="H7" s="46"/>
      <c r="I7" s="46"/>
      <c r="K7" s="473"/>
      <c r="L7" s="44"/>
      <c r="M7" s="46" t="s">
        <v>4</v>
      </c>
      <c r="N7" s="508">
        <v>1139810</v>
      </c>
      <c r="O7" s="46"/>
      <c r="P7" s="46"/>
      <c r="Q7" s="46"/>
      <c r="R7" s="46"/>
    </row>
    <row r="8" spans="2:18">
      <c r="B8" s="473"/>
      <c r="C8" s="44"/>
      <c r="D8" s="46" t="s">
        <v>5</v>
      </c>
      <c r="E8" s="46">
        <v>1146153</v>
      </c>
      <c r="F8" s="46"/>
      <c r="G8" s="46"/>
      <c r="H8" s="46"/>
      <c r="I8" s="46"/>
      <c r="K8" s="473"/>
      <c r="L8" s="44"/>
      <c r="M8" s="46" t="s">
        <v>5</v>
      </c>
      <c r="N8" s="46">
        <v>1146153</v>
      </c>
      <c r="O8" s="46"/>
      <c r="P8" s="46"/>
      <c r="Q8" s="46"/>
      <c r="R8" s="46"/>
    </row>
    <row r="9" spans="2:18">
      <c r="B9" s="473"/>
      <c r="C9" s="44"/>
      <c r="D9" s="46" t="s">
        <v>6</v>
      </c>
      <c r="E9" s="46">
        <v>3297735.5133333281</v>
      </c>
      <c r="F9" s="46"/>
      <c r="G9" s="46"/>
      <c r="H9" s="46"/>
      <c r="I9" s="46"/>
      <c r="K9" s="473"/>
      <c r="L9" s="44"/>
      <c r="M9" s="46" t="s">
        <v>6</v>
      </c>
      <c r="N9" s="46">
        <v>3297735.5133333281</v>
      </c>
      <c r="O9" s="46"/>
      <c r="P9" s="46"/>
      <c r="Q9" s="46"/>
      <c r="R9" s="46"/>
    </row>
    <row r="10" spans="2:18">
      <c r="B10" s="473"/>
      <c r="C10" s="44"/>
      <c r="D10" s="46" t="s">
        <v>7</v>
      </c>
      <c r="E10" s="46">
        <v>2363662</v>
      </c>
      <c r="F10" s="46"/>
      <c r="G10" s="46"/>
      <c r="H10" s="46"/>
      <c r="I10" s="46"/>
      <c r="K10" s="473"/>
      <c r="L10" s="44"/>
      <c r="M10" s="46" t="s">
        <v>7</v>
      </c>
      <c r="N10" s="46">
        <v>2363662</v>
      </c>
      <c r="O10" s="46"/>
      <c r="P10" s="46"/>
      <c r="Q10" s="46"/>
      <c r="R10" s="46"/>
    </row>
    <row r="11" spans="2:18">
      <c r="B11" s="473"/>
      <c r="C11" s="44"/>
      <c r="D11" s="46"/>
      <c r="E11" s="46"/>
      <c r="F11" s="46"/>
      <c r="G11" s="46"/>
      <c r="H11" s="46"/>
      <c r="I11" s="46"/>
      <c r="K11" s="473"/>
      <c r="L11" s="44"/>
      <c r="M11" s="46"/>
      <c r="N11" s="46"/>
      <c r="O11" s="46"/>
      <c r="P11" s="46"/>
      <c r="Q11" s="46"/>
      <c r="R11" s="46"/>
    </row>
    <row r="12" spans="2:18">
      <c r="B12" s="547" t="s">
        <v>1071</v>
      </c>
      <c r="C12" s="547"/>
      <c r="D12" s="547"/>
      <c r="E12" s="547"/>
      <c r="F12" s="547"/>
      <c r="G12" s="547"/>
      <c r="H12" s="547"/>
      <c r="I12" s="48">
        <f>SUM(E4:E10)</f>
        <v>102347360.51333332</v>
      </c>
      <c r="K12" s="547" t="s">
        <v>1071</v>
      </c>
      <c r="L12" s="547"/>
      <c r="M12" s="547"/>
      <c r="N12" s="547"/>
      <c r="O12" s="547"/>
      <c r="P12" s="547"/>
      <c r="Q12" s="547"/>
      <c r="R12" s="48">
        <f>SUM(N4:N10)</f>
        <v>102347360.51333332</v>
      </c>
    </row>
    <row r="13" spans="2:18">
      <c r="B13" s="551" t="s">
        <v>8</v>
      </c>
      <c r="C13" s="551"/>
      <c r="D13" s="551"/>
      <c r="E13" s="551"/>
      <c r="F13" s="551"/>
      <c r="G13" s="551"/>
      <c r="H13" s="551"/>
      <c r="I13" s="551"/>
      <c r="K13" s="551" t="s">
        <v>8</v>
      </c>
      <c r="L13" s="551"/>
      <c r="M13" s="551"/>
      <c r="N13" s="551"/>
      <c r="O13" s="551"/>
      <c r="P13" s="551"/>
      <c r="Q13" s="551"/>
      <c r="R13" s="551"/>
    </row>
    <row r="14" spans="2:18">
      <c r="B14" s="552" t="s">
        <v>9</v>
      </c>
      <c r="C14" s="553" t="s">
        <v>10</v>
      </c>
      <c r="D14" s="554" t="s">
        <v>11</v>
      </c>
      <c r="E14" s="554" t="s">
        <v>12</v>
      </c>
      <c r="F14" s="547" t="s">
        <v>13</v>
      </c>
      <c r="G14" s="547"/>
      <c r="H14" s="547"/>
      <c r="I14" s="547"/>
      <c r="K14" s="552" t="s">
        <v>9</v>
      </c>
      <c r="L14" s="553" t="s">
        <v>10</v>
      </c>
      <c r="M14" s="554" t="s">
        <v>11</v>
      </c>
      <c r="N14" s="554" t="s">
        <v>12</v>
      </c>
      <c r="O14" s="547" t="s">
        <v>13</v>
      </c>
      <c r="P14" s="547"/>
      <c r="Q14" s="547"/>
      <c r="R14" s="547"/>
    </row>
    <row r="15" spans="2:18">
      <c r="B15" s="552"/>
      <c r="C15" s="553"/>
      <c r="D15" s="554"/>
      <c r="E15" s="554"/>
      <c r="F15" s="495" t="s">
        <v>14</v>
      </c>
      <c r="G15" s="495" t="s">
        <v>15</v>
      </c>
      <c r="H15" s="495" t="s">
        <v>16</v>
      </c>
      <c r="I15" s="495" t="s">
        <v>17</v>
      </c>
      <c r="K15" s="552"/>
      <c r="L15" s="553"/>
      <c r="M15" s="554"/>
      <c r="N15" s="554"/>
      <c r="O15" s="502" t="s">
        <v>14</v>
      </c>
      <c r="P15" s="502" t="s">
        <v>15</v>
      </c>
      <c r="Q15" s="502" t="s">
        <v>16</v>
      </c>
      <c r="R15" s="502" t="s">
        <v>17</v>
      </c>
    </row>
    <row r="16" spans="2:18">
      <c r="B16" s="476"/>
      <c r="C16" s="477" t="s">
        <v>1214</v>
      </c>
      <c r="D16" s="119" t="s">
        <v>1215</v>
      </c>
      <c r="E16" s="120">
        <v>1600000</v>
      </c>
      <c r="F16" s="469"/>
      <c r="G16" s="469"/>
      <c r="H16" s="469"/>
      <c r="I16" s="469"/>
      <c r="K16" s="476"/>
      <c r="L16" s="477" t="s">
        <v>1214</v>
      </c>
      <c r="M16" s="119" t="s">
        <v>1215</v>
      </c>
      <c r="N16" s="120"/>
      <c r="O16" s="469"/>
      <c r="P16" s="469"/>
      <c r="Q16" s="469"/>
      <c r="R16" s="469"/>
    </row>
    <row r="17" spans="2:18">
      <c r="B17" s="476"/>
      <c r="C17" s="477" t="s">
        <v>1347</v>
      </c>
      <c r="D17" s="119" t="s">
        <v>1349</v>
      </c>
      <c r="E17" s="120">
        <f>60000*7</f>
        <v>420000</v>
      </c>
      <c r="F17" s="469"/>
      <c r="G17" s="469"/>
      <c r="H17" s="469"/>
      <c r="I17" s="469"/>
      <c r="K17" s="476"/>
      <c r="L17" s="477" t="s">
        <v>1347</v>
      </c>
      <c r="M17" s="119" t="s">
        <v>1349</v>
      </c>
      <c r="N17" s="120"/>
      <c r="O17" s="469"/>
      <c r="P17" s="469"/>
      <c r="Q17" s="469"/>
      <c r="R17" s="469"/>
    </row>
    <row r="18" spans="2:18">
      <c r="B18" s="476"/>
      <c r="C18" s="477" t="s">
        <v>1347</v>
      </c>
      <c r="D18" s="119" t="s">
        <v>1348</v>
      </c>
      <c r="E18" s="120">
        <f>300000*7</f>
        <v>2100000</v>
      </c>
      <c r="F18" s="469"/>
      <c r="G18" s="469"/>
      <c r="H18" s="469"/>
      <c r="I18" s="469"/>
      <c r="K18" s="476"/>
      <c r="L18" s="477" t="s">
        <v>1347</v>
      </c>
      <c r="M18" s="119" t="s">
        <v>1348</v>
      </c>
      <c r="N18" s="120"/>
      <c r="O18" s="469"/>
      <c r="P18" s="469"/>
      <c r="Q18" s="469"/>
      <c r="R18" s="469"/>
    </row>
    <row r="19" spans="2:18">
      <c r="B19" s="476"/>
      <c r="C19" s="477" t="s">
        <v>1432</v>
      </c>
      <c r="D19" s="119" t="s">
        <v>1433</v>
      </c>
      <c r="E19" s="120">
        <v>504000</v>
      </c>
      <c r="F19" s="469"/>
      <c r="G19" s="469"/>
      <c r="H19" s="469"/>
      <c r="I19" s="469"/>
      <c r="K19" s="476"/>
      <c r="L19" s="477" t="s">
        <v>1432</v>
      </c>
      <c r="M19" s="119" t="s">
        <v>1433</v>
      </c>
      <c r="N19" s="120"/>
      <c r="O19" s="469"/>
      <c r="P19" s="469"/>
      <c r="Q19" s="469"/>
      <c r="R19" s="469"/>
    </row>
    <row r="20" spans="2:18">
      <c r="B20" s="476"/>
      <c r="C20" s="477" t="s">
        <v>1444</v>
      </c>
      <c r="D20" s="119" t="s">
        <v>1465</v>
      </c>
      <c r="E20" s="120">
        <v>2000000</v>
      </c>
      <c r="F20" s="469"/>
      <c r="G20" s="469"/>
      <c r="H20" s="469"/>
      <c r="I20" s="469"/>
      <c r="K20" s="476"/>
      <c r="L20" s="477" t="s">
        <v>1444</v>
      </c>
      <c r="M20" s="119" t="s">
        <v>1465</v>
      </c>
      <c r="N20" s="120"/>
      <c r="O20" s="469"/>
      <c r="P20" s="469"/>
      <c r="Q20" s="469"/>
      <c r="R20" s="469"/>
    </row>
    <row r="21" spans="2:18">
      <c r="B21" s="476"/>
      <c r="C21" s="477" t="s">
        <v>1634</v>
      </c>
      <c r="D21" s="119" t="s">
        <v>1630</v>
      </c>
      <c r="E21" s="120">
        <f>120000*6</f>
        <v>720000</v>
      </c>
      <c r="F21" s="469"/>
      <c r="G21" s="469"/>
      <c r="H21" s="469"/>
      <c r="I21" s="469"/>
      <c r="K21" s="476"/>
      <c r="L21" s="477" t="s">
        <v>1634</v>
      </c>
      <c r="M21" s="119" t="s">
        <v>1630</v>
      </c>
      <c r="N21" s="120"/>
      <c r="O21" s="469"/>
      <c r="P21" s="469"/>
      <c r="Q21" s="469"/>
      <c r="R21" s="469"/>
    </row>
    <row r="22" spans="2:18">
      <c r="B22" s="476"/>
      <c r="C22" s="477" t="s">
        <v>1634</v>
      </c>
      <c r="D22" s="119" t="s">
        <v>1631</v>
      </c>
      <c r="E22" s="120">
        <v>800000</v>
      </c>
      <c r="F22" s="469"/>
      <c r="G22" s="469"/>
      <c r="H22" s="469"/>
      <c r="I22" s="469"/>
      <c r="K22" s="476"/>
      <c r="L22" s="477" t="s">
        <v>1634</v>
      </c>
      <c r="M22" s="119" t="s">
        <v>1631</v>
      </c>
      <c r="N22" s="120">
        <v>800000</v>
      </c>
      <c r="O22" s="469"/>
      <c r="P22" s="469"/>
      <c r="Q22" s="469"/>
      <c r="R22" s="469"/>
    </row>
    <row r="23" spans="2:18">
      <c r="B23" s="476"/>
      <c r="C23" s="477" t="s">
        <v>1634</v>
      </c>
      <c r="D23" s="119" t="s">
        <v>1632</v>
      </c>
      <c r="E23" s="120">
        <v>300000</v>
      </c>
      <c r="F23" s="469"/>
      <c r="G23" s="469"/>
      <c r="H23" s="469"/>
      <c r="I23" s="469"/>
      <c r="K23" s="476"/>
      <c r="L23" s="477" t="s">
        <v>1634</v>
      </c>
      <c r="M23" s="119" t="s">
        <v>1632</v>
      </c>
      <c r="N23" s="120">
        <v>300000</v>
      </c>
      <c r="O23" s="469"/>
      <c r="P23" s="469"/>
      <c r="Q23" s="469"/>
      <c r="R23" s="469"/>
    </row>
    <row r="24" spans="2:18">
      <c r="B24" s="476"/>
      <c r="C24" s="477" t="s">
        <v>1634</v>
      </c>
      <c r="D24" s="119" t="s">
        <v>1633</v>
      </c>
      <c r="E24" s="120">
        <v>250000</v>
      </c>
      <c r="F24" s="469"/>
      <c r="G24" s="469"/>
      <c r="H24" s="469"/>
      <c r="I24" s="469"/>
      <c r="K24" s="476"/>
      <c r="L24" s="477" t="s">
        <v>1634</v>
      </c>
      <c r="M24" s="119" t="s">
        <v>1633</v>
      </c>
      <c r="N24" s="120">
        <v>250000</v>
      </c>
      <c r="O24" s="469"/>
      <c r="P24" s="469"/>
      <c r="Q24" s="469"/>
      <c r="R24" s="469"/>
    </row>
    <row r="25" spans="2:18">
      <c r="B25" s="476"/>
      <c r="C25" s="477" t="s">
        <v>1634</v>
      </c>
      <c r="D25" s="119" t="s">
        <v>1006</v>
      </c>
      <c r="E25" s="120">
        <v>200000</v>
      </c>
      <c r="F25" s="469"/>
      <c r="G25" s="469"/>
      <c r="H25" s="469"/>
      <c r="I25" s="469"/>
      <c r="K25" s="476"/>
      <c r="L25" s="477" t="s">
        <v>1634</v>
      </c>
      <c r="M25" s="119" t="s">
        <v>1006</v>
      </c>
      <c r="N25" s="120"/>
      <c r="O25" s="469"/>
      <c r="P25" s="469"/>
      <c r="Q25" s="469"/>
      <c r="R25" s="469"/>
    </row>
    <row r="26" spans="2:18">
      <c r="B26" s="478"/>
      <c r="C26" s="477"/>
      <c r="D26" s="495" t="s">
        <v>20</v>
      </c>
      <c r="E26" s="48">
        <f>SUM(E16:E25)</f>
        <v>8894000</v>
      </c>
      <c r="F26" s="48"/>
      <c r="G26" s="48"/>
      <c r="H26" s="48"/>
      <c r="I26" s="48"/>
      <c r="K26" s="478"/>
      <c r="L26" s="477"/>
      <c r="M26" s="502" t="s">
        <v>20</v>
      </c>
      <c r="N26" s="48">
        <f>SUM(N16:N25)</f>
        <v>1350000</v>
      </c>
      <c r="O26" s="48"/>
      <c r="P26" s="48"/>
      <c r="Q26" s="48"/>
      <c r="R26" s="48"/>
    </row>
    <row r="27" spans="2:18">
      <c r="B27" s="479"/>
      <c r="C27" s="495"/>
      <c r="D27" s="498" t="s">
        <v>21</v>
      </c>
      <c r="E27" s="497"/>
      <c r="F27" s="497"/>
      <c r="G27" s="497"/>
      <c r="H27" s="497"/>
      <c r="I27" s="42">
        <f>+E26</f>
        <v>8894000</v>
      </c>
      <c r="K27" s="479"/>
      <c r="L27" s="502"/>
      <c r="M27" s="506" t="s">
        <v>21</v>
      </c>
      <c r="N27" s="505"/>
      <c r="O27" s="505"/>
      <c r="P27" s="505"/>
      <c r="Q27" s="505"/>
      <c r="R27" s="42">
        <f>+N26</f>
        <v>1350000</v>
      </c>
    </row>
    <row r="28" spans="2:18">
      <c r="B28" s="549" t="s">
        <v>22</v>
      </c>
      <c r="C28" s="549"/>
      <c r="D28" s="549"/>
      <c r="E28" s="549"/>
      <c r="F28" s="549">
        <f>+I27</f>
        <v>8894000</v>
      </c>
      <c r="G28" s="549"/>
      <c r="H28" s="549"/>
      <c r="I28" s="549"/>
      <c r="K28" s="549" t="s">
        <v>22</v>
      </c>
      <c r="L28" s="549"/>
      <c r="M28" s="549"/>
      <c r="N28" s="549"/>
      <c r="O28" s="549">
        <f>+R27</f>
        <v>1350000</v>
      </c>
      <c r="P28" s="549"/>
      <c r="Q28" s="549"/>
      <c r="R28" s="549"/>
    </row>
    <row r="29" spans="2:18">
      <c r="B29" s="546" t="s">
        <v>23</v>
      </c>
      <c r="C29" s="546"/>
      <c r="D29" s="546"/>
      <c r="E29" s="546"/>
      <c r="F29" s="546"/>
      <c r="G29" s="546"/>
      <c r="H29" s="546"/>
      <c r="I29" s="546"/>
      <c r="K29" s="546" t="s">
        <v>23</v>
      </c>
      <c r="L29" s="546"/>
      <c r="M29" s="546"/>
      <c r="N29" s="546"/>
      <c r="O29" s="546"/>
      <c r="P29" s="546"/>
      <c r="Q29" s="546"/>
      <c r="R29" s="546"/>
    </row>
    <row r="30" spans="2:18">
      <c r="B30" s="476"/>
      <c r="C30" s="470" t="s">
        <v>1588</v>
      </c>
      <c r="D30" s="120" t="s">
        <v>1508</v>
      </c>
      <c r="E30" s="455">
        <v>225000</v>
      </c>
      <c r="F30" s="446"/>
      <c r="G30" s="446"/>
      <c r="H30" s="469"/>
      <c r="I30" s="469"/>
      <c r="K30" s="476"/>
      <c r="L30" s="470" t="s">
        <v>1588</v>
      </c>
      <c r="M30" s="120" t="s">
        <v>1508</v>
      </c>
      <c r="N30" s="455">
        <v>225000</v>
      </c>
      <c r="O30" s="446"/>
      <c r="P30" s="446"/>
      <c r="Q30" s="469"/>
      <c r="R30" s="469"/>
    </row>
    <row r="31" spans="2:18">
      <c r="B31" s="476"/>
      <c r="C31" s="470" t="s">
        <v>1589</v>
      </c>
      <c r="D31" s="120" t="s">
        <v>1023</v>
      </c>
      <c r="E31" s="455">
        <v>360000</v>
      </c>
      <c r="F31" s="446"/>
      <c r="G31" s="446"/>
      <c r="H31" s="469"/>
      <c r="I31" s="469"/>
      <c r="K31" s="476"/>
      <c r="L31" s="470" t="s">
        <v>1589</v>
      </c>
      <c r="M31" s="120" t="s">
        <v>1023</v>
      </c>
      <c r="N31" s="455">
        <v>360000</v>
      </c>
      <c r="O31" s="446"/>
      <c r="P31" s="446"/>
      <c r="Q31" s="469"/>
      <c r="R31" s="469"/>
    </row>
    <row r="32" spans="2:18">
      <c r="B32" s="476"/>
      <c r="C32" s="470" t="s">
        <v>1589</v>
      </c>
      <c r="D32" s="120" t="s">
        <v>1590</v>
      </c>
      <c r="E32" s="455">
        <v>220000</v>
      </c>
      <c r="F32" s="446"/>
      <c r="G32" s="446"/>
      <c r="H32" s="469"/>
      <c r="I32" s="469"/>
      <c r="K32" s="476"/>
      <c r="L32" s="470" t="s">
        <v>1589</v>
      </c>
      <c r="M32" s="120" t="s">
        <v>1590</v>
      </c>
      <c r="N32" s="455">
        <v>220000</v>
      </c>
      <c r="O32" s="446"/>
      <c r="P32" s="446"/>
      <c r="Q32" s="469"/>
      <c r="R32" s="469"/>
    </row>
    <row r="33" spans="2:18">
      <c r="B33" s="476"/>
      <c r="C33" s="470" t="s">
        <v>1589</v>
      </c>
      <c r="D33" s="120" t="s">
        <v>1591</v>
      </c>
      <c r="E33" s="455">
        <v>500000</v>
      </c>
      <c r="F33" s="446"/>
      <c r="G33" s="446"/>
      <c r="H33" s="469"/>
      <c r="I33" s="469"/>
      <c r="K33" s="476"/>
      <c r="L33" s="470" t="s">
        <v>1589</v>
      </c>
      <c r="M33" s="120" t="s">
        <v>1591</v>
      </c>
      <c r="N33" s="455">
        <v>500000</v>
      </c>
      <c r="O33" s="446"/>
      <c r="P33" s="446"/>
      <c r="Q33" s="469"/>
      <c r="R33" s="469"/>
    </row>
    <row r="34" spans="2:18">
      <c r="B34" s="476"/>
      <c r="C34" s="470" t="s">
        <v>1589</v>
      </c>
      <c r="D34" s="120" t="s">
        <v>1592</v>
      </c>
      <c r="E34" s="455">
        <v>700000</v>
      </c>
      <c r="F34" s="446"/>
      <c r="G34" s="446"/>
      <c r="H34" s="469"/>
      <c r="I34" s="469"/>
      <c r="K34" s="476"/>
      <c r="L34" s="470" t="s">
        <v>1589</v>
      </c>
      <c r="M34" s="120" t="s">
        <v>1592</v>
      </c>
      <c r="N34" s="455">
        <v>700000</v>
      </c>
      <c r="O34" s="446"/>
      <c r="P34" s="446"/>
      <c r="Q34" s="469"/>
      <c r="R34" s="469"/>
    </row>
    <row r="35" spans="2:18">
      <c r="B35" s="482"/>
      <c r="C35" s="477"/>
      <c r="D35" s="471" t="s">
        <v>24</v>
      </c>
      <c r="E35" s="472">
        <f>SUM(E30:E34)</f>
        <v>2005000</v>
      </c>
      <c r="F35" s="472"/>
      <c r="G35" s="472"/>
      <c r="H35" s="472"/>
      <c r="I35" s="472"/>
      <c r="K35" s="482"/>
      <c r="L35" s="477"/>
      <c r="M35" s="471" t="s">
        <v>24</v>
      </c>
      <c r="N35" s="472">
        <f>SUM(N30:N34)</f>
        <v>2005000</v>
      </c>
      <c r="O35" s="472"/>
      <c r="P35" s="472"/>
      <c r="Q35" s="472"/>
      <c r="R35" s="472"/>
    </row>
    <row r="36" spans="2:18">
      <c r="B36" s="479"/>
      <c r="C36" s="477"/>
      <c r="D36" s="495" t="s">
        <v>21</v>
      </c>
      <c r="E36" s="48"/>
      <c r="F36" s="547">
        <f>E35</f>
        <v>2005000</v>
      </c>
      <c r="G36" s="547"/>
      <c r="H36" s="547"/>
      <c r="I36" s="547"/>
      <c r="K36" s="479"/>
      <c r="L36" s="477"/>
      <c r="M36" s="502" t="s">
        <v>21</v>
      </c>
      <c r="N36" s="48"/>
      <c r="O36" s="547">
        <f>N35</f>
        <v>2005000</v>
      </c>
      <c r="P36" s="547"/>
      <c r="Q36" s="547"/>
      <c r="R36" s="547"/>
    </row>
    <row r="37" spans="2:18">
      <c r="B37" s="546" t="s">
        <v>1280</v>
      </c>
      <c r="C37" s="546"/>
      <c r="D37" s="546"/>
      <c r="E37" s="546"/>
      <c r="F37" s="546"/>
      <c r="G37" s="546"/>
      <c r="H37" s="546"/>
      <c r="I37" s="546"/>
      <c r="K37" s="546" t="s">
        <v>1280</v>
      </c>
      <c r="L37" s="546"/>
      <c r="M37" s="546"/>
      <c r="N37" s="546"/>
      <c r="O37" s="546"/>
      <c r="P37" s="546"/>
      <c r="Q37" s="546"/>
      <c r="R37" s="546"/>
    </row>
    <row r="38" spans="2:18">
      <c r="B38" s="476"/>
      <c r="C38" s="455" t="s">
        <v>1391</v>
      </c>
      <c r="D38" s="446" t="s">
        <v>1484</v>
      </c>
      <c r="E38" s="446">
        <v>500000</v>
      </c>
      <c r="F38" s="495"/>
      <c r="G38" s="495"/>
      <c r="H38" s="495"/>
      <c r="I38" s="495"/>
      <c r="K38" s="476"/>
      <c r="L38" s="455" t="s">
        <v>1391</v>
      </c>
      <c r="M38" s="446" t="s">
        <v>1484</v>
      </c>
      <c r="N38" s="446"/>
      <c r="O38" s="502"/>
      <c r="P38" s="502"/>
      <c r="Q38" s="502"/>
      <c r="R38" s="502"/>
    </row>
    <row r="39" spans="2:18">
      <c r="B39" s="476"/>
      <c r="C39" s="455" t="s">
        <v>1391</v>
      </c>
      <c r="D39" s="446" t="s">
        <v>1485</v>
      </c>
      <c r="E39" s="446">
        <v>500000</v>
      </c>
      <c r="F39" s="495"/>
      <c r="G39" s="495"/>
      <c r="H39" s="495"/>
      <c r="I39" s="495"/>
      <c r="K39" s="476"/>
      <c r="L39" s="455" t="s">
        <v>1391</v>
      </c>
      <c r="M39" s="446" t="s">
        <v>1485</v>
      </c>
      <c r="N39" s="446"/>
      <c r="O39" s="502"/>
      <c r="P39" s="502"/>
      <c r="Q39" s="502"/>
      <c r="R39" s="502"/>
    </row>
    <row r="40" spans="2:18">
      <c r="B40" s="476"/>
      <c r="C40" s="455" t="s">
        <v>1391</v>
      </c>
      <c r="D40" s="446" t="s">
        <v>1486</v>
      </c>
      <c r="E40" s="446">
        <v>1500000</v>
      </c>
      <c r="F40" s="495"/>
      <c r="G40" s="495"/>
      <c r="H40" s="495"/>
      <c r="I40" s="495"/>
      <c r="K40" s="476"/>
      <c r="L40" s="455" t="s">
        <v>1391</v>
      </c>
      <c r="M40" s="446" t="s">
        <v>1486</v>
      </c>
      <c r="N40" s="446"/>
      <c r="O40" s="502"/>
      <c r="P40" s="502"/>
      <c r="Q40" s="502"/>
      <c r="R40" s="502"/>
    </row>
    <row r="41" spans="2:18">
      <c r="B41" s="476"/>
      <c r="C41" s="470" t="s">
        <v>1393</v>
      </c>
      <c r="D41" s="446" t="s">
        <v>1506</v>
      </c>
      <c r="E41" s="446">
        <v>11474000</v>
      </c>
      <c r="F41" s="495"/>
      <c r="G41" s="495"/>
      <c r="H41" s="495"/>
      <c r="I41" s="495"/>
      <c r="K41" s="476"/>
      <c r="L41" s="470" t="s">
        <v>1393</v>
      </c>
      <c r="M41" s="446" t="s">
        <v>1506</v>
      </c>
      <c r="N41" s="446"/>
      <c r="O41" s="502"/>
      <c r="P41" s="502"/>
      <c r="Q41" s="502"/>
      <c r="R41" s="502"/>
    </row>
    <row r="42" spans="2:18">
      <c r="B42" s="483"/>
      <c r="C42" s="455"/>
      <c r="D42" s="446" t="s">
        <v>1344</v>
      </c>
      <c r="E42" s="67">
        <v>1050000</v>
      </c>
      <c r="F42" s="471"/>
      <c r="G42" s="471"/>
      <c r="H42" s="471"/>
      <c r="I42" s="471"/>
      <c r="K42" s="483"/>
      <c r="L42" s="455"/>
      <c r="M42" s="446" t="s">
        <v>1344</v>
      </c>
      <c r="N42" s="67"/>
      <c r="O42" s="471"/>
      <c r="P42" s="471"/>
      <c r="Q42" s="471"/>
      <c r="R42" s="471"/>
    </row>
    <row r="43" spans="2:18">
      <c r="B43" s="483"/>
      <c r="C43" s="455" t="s">
        <v>1551</v>
      </c>
      <c r="D43" s="446" t="s">
        <v>1538</v>
      </c>
      <c r="E43" s="67">
        <f>18000000-12000000</f>
        <v>6000000</v>
      </c>
      <c r="F43" s="471"/>
      <c r="G43" s="471"/>
      <c r="H43" s="471"/>
      <c r="I43" s="471"/>
      <c r="K43" s="483"/>
      <c r="L43" s="455" t="s">
        <v>1551</v>
      </c>
      <c r="M43" s="446" t="s">
        <v>1538</v>
      </c>
      <c r="N43" s="67">
        <f>18000000-12000000</f>
        <v>6000000</v>
      </c>
      <c r="O43" s="471"/>
      <c r="P43" s="471"/>
      <c r="Q43" s="471"/>
      <c r="R43" s="471"/>
    </row>
    <row r="44" spans="2:18">
      <c r="B44" s="483"/>
      <c r="C44" s="455" t="s">
        <v>1593</v>
      </c>
      <c r="D44" s="446" t="s">
        <v>1594</v>
      </c>
      <c r="E44" s="67">
        <v>483000</v>
      </c>
      <c r="F44" s="471"/>
      <c r="G44" s="471"/>
      <c r="H44" s="471"/>
      <c r="I44" s="471"/>
      <c r="K44" s="483"/>
      <c r="L44" s="455" t="s">
        <v>1593</v>
      </c>
      <c r="M44" s="446" t="s">
        <v>1594</v>
      </c>
      <c r="N44" s="67">
        <v>483000</v>
      </c>
      <c r="O44" s="471"/>
      <c r="P44" s="471"/>
      <c r="Q44" s="471"/>
      <c r="R44" s="471"/>
    </row>
    <row r="45" spans="2:18">
      <c r="B45" s="483"/>
      <c r="C45" s="455" t="s">
        <v>1595</v>
      </c>
      <c r="D45" s="446" t="s">
        <v>1596</v>
      </c>
      <c r="E45" s="67">
        <v>600000</v>
      </c>
      <c r="F45" s="471"/>
      <c r="G45" s="471"/>
      <c r="H45" s="471"/>
      <c r="I45" s="471"/>
      <c r="K45" s="483"/>
      <c r="L45" s="455" t="s">
        <v>1595</v>
      </c>
      <c r="M45" s="446" t="s">
        <v>1596</v>
      </c>
      <c r="N45" s="67">
        <v>600000</v>
      </c>
      <c r="O45" s="471"/>
      <c r="P45" s="471"/>
      <c r="Q45" s="471"/>
      <c r="R45" s="471"/>
    </row>
    <row r="46" spans="2:18">
      <c r="B46" s="483"/>
      <c r="C46" s="455" t="s">
        <v>1597</v>
      </c>
      <c r="D46" s="446" t="s">
        <v>1598</v>
      </c>
      <c r="E46" s="67">
        <v>4295000</v>
      </c>
      <c r="F46" s="471"/>
      <c r="G46" s="471"/>
      <c r="H46" s="471"/>
      <c r="I46" s="471"/>
      <c r="K46" s="483"/>
      <c r="L46" s="455" t="s">
        <v>1597</v>
      </c>
      <c r="M46" s="446" t="s">
        <v>1598</v>
      </c>
      <c r="N46" s="67">
        <v>4295000</v>
      </c>
      <c r="O46" s="471"/>
      <c r="P46" s="471"/>
      <c r="Q46" s="471"/>
      <c r="R46" s="471"/>
    </row>
    <row r="47" spans="2:18">
      <c r="B47" s="483"/>
      <c r="C47" s="455" t="s">
        <v>1597</v>
      </c>
      <c r="D47" s="446" t="s">
        <v>1599</v>
      </c>
      <c r="E47" s="67">
        <v>1320000</v>
      </c>
      <c r="F47" s="471"/>
      <c r="G47" s="471"/>
      <c r="H47" s="471"/>
      <c r="I47" s="471"/>
      <c r="K47" s="483"/>
      <c r="L47" s="455" t="s">
        <v>1597</v>
      </c>
      <c r="M47" s="446" t="s">
        <v>1599</v>
      </c>
      <c r="N47" s="67">
        <v>1320000</v>
      </c>
      <c r="O47" s="471"/>
      <c r="P47" s="471"/>
      <c r="Q47" s="471"/>
      <c r="R47" s="471"/>
    </row>
    <row r="48" spans="2:18">
      <c r="B48" s="483"/>
      <c r="C48" s="455" t="s">
        <v>1597</v>
      </c>
      <c r="D48" s="446" t="s">
        <v>1121</v>
      </c>
      <c r="E48" s="67">
        <v>150000</v>
      </c>
      <c r="F48" s="471"/>
      <c r="G48" s="471"/>
      <c r="H48" s="471"/>
      <c r="I48" s="471"/>
      <c r="K48" s="483"/>
      <c r="L48" s="455" t="s">
        <v>1597</v>
      </c>
      <c r="M48" s="446" t="s">
        <v>1121</v>
      </c>
      <c r="N48" s="67">
        <v>150000</v>
      </c>
      <c r="O48" s="471"/>
      <c r="P48" s="471"/>
      <c r="Q48" s="471"/>
      <c r="R48" s="471"/>
    </row>
    <row r="49" spans="2:18">
      <c r="B49" s="483"/>
      <c r="C49" s="455" t="s">
        <v>1597</v>
      </c>
      <c r="D49" s="446" t="s">
        <v>1169</v>
      </c>
      <c r="E49" s="67">
        <v>40000000</v>
      </c>
      <c r="F49" s="471"/>
      <c r="G49" s="471"/>
      <c r="H49" s="471"/>
      <c r="I49" s="471"/>
      <c r="K49" s="483"/>
      <c r="L49" s="455" t="s">
        <v>1597</v>
      </c>
      <c r="M49" s="446" t="s">
        <v>1169</v>
      </c>
      <c r="N49" s="67">
        <v>10000000</v>
      </c>
      <c r="O49" s="471"/>
      <c r="P49" s="471"/>
      <c r="Q49" s="471"/>
      <c r="R49" s="471"/>
    </row>
    <row r="50" spans="2:18">
      <c r="B50" s="483"/>
      <c r="C50" s="455" t="s">
        <v>1597</v>
      </c>
      <c r="D50" s="455" t="s">
        <v>1600</v>
      </c>
      <c r="E50" s="67">
        <v>15000000</v>
      </c>
      <c r="F50" s="471"/>
      <c r="G50" s="471"/>
      <c r="H50" s="471"/>
      <c r="I50" s="471"/>
      <c r="K50" s="483"/>
      <c r="L50" s="455" t="s">
        <v>1597</v>
      </c>
      <c r="M50" s="455" t="s">
        <v>1600</v>
      </c>
      <c r="N50" s="67">
        <v>10000000</v>
      </c>
      <c r="O50" s="471"/>
      <c r="P50" s="471"/>
      <c r="Q50" s="471"/>
      <c r="R50" s="471"/>
    </row>
    <row r="51" spans="2:18">
      <c r="B51" s="483"/>
      <c r="C51" s="455" t="s">
        <v>1597</v>
      </c>
      <c r="D51" s="446" t="s">
        <v>1601</v>
      </c>
      <c r="E51" s="67">
        <v>10000000</v>
      </c>
      <c r="F51" s="471"/>
      <c r="G51" s="471"/>
      <c r="H51" s="471"/>
      <c r="I51" s="471"/>
      <c r="K51" s="483"/>
      <c r="L51" s="455" t="s">
        <v>1597</v>
      </c>
      <c r="M51" s="446" t="s">
        <v>1601</v>
      </c>
      <c r="N51" s="67">
        <v>3000000</v>
      </c>
      <c r="O51" s="471"/>
      <c r="P51" s="471"/>
      <c r="Q51" s="471"/>
      <c r="R51" s="471"/>
    </row>
    <row r="52" spans="2:18">
      <c r="B52" s="483"/>
      <c r="C52" s="455" t="s">
        <v>1597</v>
      </c>
      <c r="D52" s="446" t="s">
        <v>1602</v>
      </c>
      <c r="E52" s="67">
        <v>15000000</v>
      </c>
      <c r="F52" s="471"/>
      <c r="G52" s="471"/>
      <c r="H52" s="471"/>
      <c r="I52" s="471"/>
      <c r="K52" s="483"/>
      <c r="L52" s="455" t="s">
        <v>1597</v>
      </c>
      <c r="M52" s="446" t="s">
        <v>1602</v>
      </c>
      <c r="N52" s="67">
        <v>5000000</v>
      </c>
      <c r="O52" s="471"/>
      <c r="P52" s="471"/>
      <c r="Q52" s="471"/>
      <c r="R52" s="471"/>
    </row>
    <row r="53" spans="2:18">
      <c r="B53" s="483"/>
      <c r="C53" s="455" t="s">
        <v>1597</v>
      </c>
      <c r="D53" s="446" t="s">
        <v>1603</v>
      </c>
      <c r="E53" s="67">
        <v>2000000</v>
      </c>
      <c r="F53" s="471"/>
      <c r="G53" s="471"/>
      <c r="H53" s="471"/>
      <c r="I53" s="471"/>
      <c r="K53" s="483"/>
      <c r="L53" s="455" t="s">
        <v>1597</v>
      </c>
      <c r="M53" s="446" t="s">
        <v>1603</v>
      </c>
      <c r="N53" s="67"/>
      <c r="O53" s="471"/>
      <c r="P53" s="471"/>
      <c r="Q53" s="471"/>
      <c r="R53" s="471"/>
    </row>
    <row r="54" spans="2:18">
      <c r="B54" s="483"/>
      <c r="C54" s="455" t="s">
        <v>1597</v>
      </c>
      <c r="D54" s="446" t="s">
        <v>1604</v>
      </c>
      <c r="E54" s="67">
        <v>1100000</v>
      </c>
      <c r="F54" s="471"/>
      <c r="G54" s="471"/>
      <c r="H54" s="471"/>
      <c r="I54" s="471"/>
      <c r="K54" s="483"/>
      <c r="L54" s="455" t="s">
        <v>1597</v>
      </c>
      <c r="M54" s="446" t="s">
        <v>1604</v>
      </c>
      <c r="N54" s="67"/>
      <c r="O54" s="471"/>
      <c r="P54" s="471"/>
      <c r="Q54" s="471"/>
      <c r="R54" s="471"/>
    </row>
    <row r="55" spans="2:18" hidden="1">
      <c r="B55" s="483"/>
      <c r="C55" s="455"/>
      <c r="D55" s="446"/>
      <c r="E55" s="67"/>
      <c r="F55" s="471"/>
      <c r="G55" s="471"/>
      <c r="H55" s="471"/>
      <c r="I55" s="471"/>
      <c r="K55" s="483"/>
      <c r="L55" s="455"/>
      <c r="M55" s="446"/>
      <c r="N55" s="67"/>
      <c r="O55" s="471"/>
      <c r="P55" s="471"/>
      <c r="Q55" s="471"/>
      <c r="R55" s="471"/>
    </row>
    <row r="56" spans="2:18" hidden="1">
      <c r="B56" s="483"/>
      <c r="C56" s="455"/>
      <c r="D56" s="446"/>
      <c r="E56" s="67"/>
      <c r="F56" s="471"/>
      <c r="G56" s="471"/>
      <c r="H56" s="471"/>
      <c r="I56" s="471"/>
      <c r="K56" s="483"/>
      <c r="L56" s="455"/>
      <c r="M56" s="446"/>
      <c r="N56" s="67"/>
      <c r="O56" s="471"/>
      <c r="P56" s="471"/>
      <c r="Q56" s="471"/>
      <c r="R56" s="471"/>
    </row>
    <row r="57" spans="2:18">
      <c r="B57" s="483"/>
      <c r="C57" s="470"/>
      <c r="D57" s="446"/>
      <c r="E57" s="67"/>
      <c r="F57" s="471"/>
      <c r="G57" s="471"/>
      <c r="H57" s="471"/>
      <c r="I57" s="471"/>
      <c r="K57" s="483"/>
      <c r="L57" s="470"/>
      <c r="M57" s="446"/>
      <c r="N57" s="67"/>
      <c r="O57" s="471"/>
      <c r="P57" s="471"/>
      <c r="Q57" s="471"/>
      <c r="R57" s="471"/>
    </row>
    <row r="58" spans="2:18">
      <c r="B58" s="476"/>
      <c r="C58" s="470"/>
      <c r="D58" s="471" t="s">
        <v>55</v>
      </c>
      <c r="E58" s="472">
        <f>SUM(E38:E57)</f>
        <v>110972000</v>
      </c>
      <c r="F58" s="472">
        <v>0</v>
      </c>
      <c r="G58" s="472">
        <v>0</v>
      </c>
      <c r="H58" s="472"/>
      <c r="I58" s="472"/>
      <c r="K58" s="476"/>
      <c r="L58" s="470"/>
      <c r="M58" s="471" t="s">
        <v>55</v>
      </c>
      <c r="N58" s="472">
        <f>SUM(N38:N57)</f>
        <v>40848000</v>
      </c>
      <c r="O58" s="472">
        <v>0</v>
      </c>
      <c r="P58" s="472">
        <v>0</v>
      </c>
      <c r="Q58" s="472"/>
      <c r="R58" s="472"/>
    </row>
    <row r="59" spans="2:18">
      <c r="B59" s="479"/>
      <c r="C59" s="477"/>
      <c r="D59" s="495" t="s">
        <v>21</v>
      </c>
      <c r="E59" s="48"/>
      <c r="F59" s="547">
        <f>E58</f>
        <v>110972000</v>
      </c>
      <c r="G59" s="547"/>
      <c r="H59" s="547"/>
      <c r="I59" s="547"/>
      <c r="K59" s="479"/>
      <c r="L59" s="477"/>
      <c r="M59" s="502" t="s">
        <v>21</v>
      </c>
      <c r="N59" s="48"/>
      <c r="O59" s="547">
        <f>N58</f>
        <v>40848000</v>
      </c>
      <c r="P59" s="547"/>
      <c r="Q59" s="547"/>
      <c r="R59" s="547"/>
    </row>
    <row r="60" spans="2:18">
      <c r="B60" s="546" t="s">
        <v>1047</v>
      </c>
      <c r="C60" s="546"/>
      <c r="D60" s="546"/>
      <c r="E60" s="546"/>
      <c r="F60" s="546"/>
      <c r="G60" s="546"/>
      <c r="H60" s="546"/>
      <c r="I60" s="546"/>
      <c r="K60" s="546" t="s">
        <v>1047</v>
      </c>
      <c r="L60" s="546"/>
      <c r="M60" s="546"/>
      <c r="N60" s="546"/>
      <c r="O60" s="546"/>
      <c r="P60" s="546"/>
      <c r="Q60" s="546"/>
      <c r="R60" s="546"/>
    </row>
    <row r="61" spans="2:18">
      <c r="B61" s="476"/>
      <c r="C61" s="455" t="s">
        <v>1559</v>
      </c>
      <c r="D61" s="456" t="s">
        <v>1613</v>
      </c>
      <c r="E61" s="455">
        <v>1400000</v>
      </c>
      <c r="F61" s="446"/>
      <c r="G61" s="446"/>
      <c r="H61" s="469"/>
      <c r="I61" s="469"/>
      <c r="K61" s="476"/>
      <c r="L61" s="455" t="s">
        <v>1559</v>
      </c>
      <c r="M61" s="456" t="s">
        <v>1613</v>
      </c>
      <c r="N61" s="455">
        <v>1400000</v>
      </c>
      <c r="O61" s="446"/>
      <c r="P61" s="446"/>
      <c r="Q61" s="469"/>
      <c r="R61" s="469"/>
    </row>
    <row r="62" spans="2:18">
      <c r="B62" s="476"/>
      <c r="C62" s="455" t="s">
        <v>1609</v>
      </c>
      <c r="D62" s="456" t="s">
        <v>1605</v>
      </c>
      <c r="E62" s="455">
        <v>100000</v>
      </c>
      <c r="F62" s="446"/>
      <c r="G62" s="446"/>
      <c r="H62" s="469"/>
      <c r="I62" s="469"/>
      <c r="K62" s="476"/>
      <c r="L62" s="455" t="s">
        <v>1609</v>
      </c>
      <c r="M62" s="456" t="s">
        <v>1605</v>
      </c>
      <c r="N62" s="455">
        <v>100000</v>
      </c>
      <c r="O62" s="446"/>
      <c r="P62" s="446"/>
      <c r="Q62" s="469"/>
      <c r="R62" s="469"/>
    </row>
    <row r="63" spans="2:18">
      <c r="B63" s="476"/>
      <c r="C63" s="455" t="s">
        <v>1609</v>
      </c>
      <c r="D63" s="456" t="s">
        <v>1606</v>
      </c>
      <c r="E63" s="455">
        <v>403000</v>
      </c>
      <c r="F63" s="446"/>
      <c r="G63" s="446"/>
      <c r="H63" s="469"/>
      <c r="I63" s="469"/>
      <c r="K63" s="476"/>
      <c r="L63" s="455" t="s">
        <v>1609</v>
      </c>
      <c r="M63" s="456" t="s">
        <v>1606</v>
      </c>
      <c r="N63" s="455">
        <v>403000</v>
      </c>
      <c r="O63" s="446"/>
      <c r="P63" s="446"/>
      <c r="Q63" s="469"/>
      <c r="R63" s="469"/>
    </row>
    <row r="64" spans="2:18">
      <c r="B64" s="476"/>
      <c r="C64" s="455" t="s">
        <v>1609</v>
      </c>
      <c r="D64" s="456" t="s">
        <v>1607</v>
      </c>
      <c r="E64" s="455">
        <v>50000</v>
      </c>
      <c r="F64" s="446"/>
      <c r="G64" s="446"/>
      <c r="H64" s="469"/>
      <c r="I64" s="469"/>
      <c r="K64" s="476"/>
      <c r="L64" s="455" t="s">
        <v>1609</v>
      </c>
      <c r="M64" s="456" t="s">
        <v>1607</v>
      </c>
      <c r="N64" s="455">
        <v>50000</v>
      </c>
      <c r="O64" s="446"/>
      <c r="P64" s="446"/>
      <c r="Q64" s="469"/>
      <c r="R64" s="469"/>
    </row>
    <row r="65" spans="2:18">
      <c r="B65" s="476"/>
      <c r="C65" s="455" t="s">
        <v>1609</v>
      </c>
      <c r="D65" s="455" t="s">
        <v>1608</v>
      </c>
      <c r="E65" s="455">
        <v>2500</v>
      </c>
      <c r="F65" s="446"/>
      <c r="G65" s="446"/>
      <c r="H65" s="469"/>
      <c r="I65" s="469"/>
      <c r="K65" s="476"/>
      <c r="L65" s="455" t="s">
        <v>1609</v>
      </c>
      <c r="M65" s="455" t="s">
        <v>1608</v>
      </c>
      <c r="N65" s="455">
        <v>2500</v>
      </c>
      <c r="O65" s="446"/>
      <c r="P65" s="446"/>
      <c r="Q65" s="469"/>
      <c r="R65" s="469"/>
    </row>
    <row r="66" spans="2:18">
      <c r="B66" s="476"/>
      <c r="C66" s="455" t="s">
        <v>1610</v>
      </c>
      <c r="D66" s="456" t="s">
        <v>1614</v>
      </c>
      <c r="E66" s="455">
        <v>4860000</v>
      </c>
      <c r="F66" s="446"/>
      <c r="G66" s="446"/>
      <c r="H66" s="469"/>
      <c r="I66" s="469"/>
      <c r="K66" s="476"/>
      <c r="L66" s="455" t="s">
        <v>1610</v>
      </c>
      <c r="M66" s="456" t="s">
        <v>1614</v>
      </c>
      <c r="N66" s="455">
        <v>4860000</v>
      </c>
      <c r="O66" s="446"/>
      <c r="P66" s="446"/>
      <c r="Q66" s="469"/>
      <c r="R66" s="469"/>
    </row>
    <row r="67" spans="2:18">
      <c r="B67" s="476"/>
      <c r="C67" s="455" t="s">
        <v>1610</v>
      </c>
      <c r="D67" s="456" t="s">
        <v>1611</v>
      </c>
      <c r="E67" s="455">
        <v>320000</v>
      </c>
      <c r="F67" s="446"/>
      <c r="G67" s="446"/>
      <c r="H67" s="469"/>
      <c r="I67" s="469"/>
      <c r="K67" s="476"/>
      <c r="L67" s="455" t="s">
        <v>1610</v>
      </c>
      <c r="M67" s="456" t="s">
        <v>1611</v>
      </c>
      <c r="N67" s="455">
        <v>320000</v>
      </c>
      <c r="O67" s="446"/>
      <c r="P67" s="446"/>
      <c r="Q67" s="469"/>
      <c r="R67" s="469"/>
    </row>
    <row r="68" spans="2:18">
      <c r="B68" s="476"/>
      <c r="C68" s="455" t="s">
        <v>1612</v>
      </c>
      <c r="D68" s="456" t="s">
        <v>1049</v>
      </c>
      <c r="E68" s="455">
        <v>6423000</v>
      </c>
      <c r="F68" s="446"/>
      <c r="G68" s="446"/>
      <c r="H68" s="469"/>
      <c r="I68" s="469"/>
      <c r="K68" s="476"/>
      <c r="L68" s="455" t="s">
        <v>1612</v>
      </c>
      <c r="M68" s="456" t="s">
        <v>1049</v>
      </c>
      <c r="N68" s="455">
        <v>6423000</v>
      </c>
      <c r="O68" s="446"/>
      <c r="P68" s="446"/>
      <c r="Q68" s="469"/>
      <c r="R68" s="469"/>
    </row>
    <row r="69" spans="2:18">
      <c r="B69" s="476"/>
      <c r="C69" s="455" t="s">
        <v>1612</v>
      </c>
      <c r="D69" s="456" t="s">
        <v>1127</v>
      </c>
      <c r="E69" s="455">
        <v>750000</v>
      </c>
      <c r="F69" s="446"/>
      <c r="G69" s="446"/>
      <c r="H69" s="469"/>
      <c r="I69" s="469"/>
      <c r="K69" s="476"/>
      <c r="L69" s="455" t="s">
        <v>1612</v>
      </c>
      <c r="M69" s="456" t="s">
        <v>1127</v>
      </c>
      <c r="N69" s="455">
        <v>750000</v>
      </c>
      <c r="O69" s="446"/>
      <c r="P69" s="446"/>
      <c r="Q69" s="469"/>
      <c r="R69" s="469"/>
    </row>
    <row r="70" spans="2:18">
      <c r="B70" s="476"/>
      <c r="C70" s="455" t="s">
        <v>1612</v>
      </c>
      <c r="D70" s="456" t="s">
        <v>1175</v>
      </c>
      <c r="E70" s="455">
        <v>30000</v>
      </c>
      <c r="F70" s="446"/>
      <c r="G70" s="446"/>
      <c r="H70" s="469"/>
      <c r="I70" s="469"/>
      <c r="K70" s="476"/>
      <c r="L70" s="455" t="s">
        <v>1612</v>
      </c>
      <c r="M70" s="456" t="s">
        <v>1175</v>
      </c>
      <c r="N70" s="455">
        <v>30000</v>
      </c>
      <c r="O70" s="446"/>
      <c r="P70" s="446"/>
      <c r="Q70" s="469"/>
      <c r="R70" s="469"/>
    </row>
    <row r="71" spans="2:18">
      <c r="B71" s="476"/>
      <c r="C71" s="455" t="s">
        <v>1612</v>
      </c>
      <c r="D71" s="456" t="s">
        <v>1615</v>
      </c>
      <c r="E71" s="455">
        <v>500000</v>
      </c>
      <c r="F71" s="446"/>
      <c r="G71" s="446"/>
      <c r="H71" s="469"/>
      <c r="I71" s="469"/>
      <c r="K71" s="476"/>
      <c r="L71" s="455" t="s">
        <v>1612</v>
      </c>
      <c r="M71" s="456" t="s">
        <v>1615</v>
      </c>
      <c r="N71" s="455">
        <v>500000</v>
      </c>
      <c r="O71" s="446"/>
      <c r="P71" s="446"/>
      <c r="Q71" s="469"/>
      <c r="R71" s="469"/>
    </row>
    <row r="72" spans="2:18">
      <c r="B72" s="476"/>
      <c r="C72" s="455" t="s">
        <v>1612</v>
      </c>
      <c r="D72" s="456" t="s">
        <v>1635</v>
      </c>
      <c r="E72" s="455">
        <v>600000</v>
      </c>
      <c r="F72" s="446"/>
      <c r="G72" s="446"/>
      <c r="H72" s="469"/>
      <c r="I72" s="469"/>
      <c r="K72" s="476"/>
      <c r="L72" s="455" t="s">
        <v>1612</v>
      </c>
      <c r="M72" s="456" t="s">
        <v>1635</v>
      </c>
      <c r="N72" s="455">
        <v>600000</v>
      </c>
      <c r="O72" s="446"/>
      <c r="P72" s="446"/>
      <c r="Q72" s="469"/>
      <c r="R72" s="469"/>
    </row>
    <row r="73" spans="2:18" hidden="1">
      <c r="B73" s="476"/>
      <c r="C73" s="455"/>
      <c r="D73" s="456"/>
      <c r="E73" s="455"/>
      <c r="F73" s="446"/>
      <c r="G73" s="446"/>
      <c r="H73" s="469"/>
      <c r="I73" s="469"/>
      <c r="K73" s="476"/>
      <c r="L73" s="455"/>
      <c r="M73" s="456"/>
      <c r="N73" s="455"/>
      <c r="O73" s="446"/>
      <c r="P73" s="446"/>
      <c r="Q73" s="469"/>
      <c r="R73" s="469"/>
    </row>
    <row r="74" spans="2:18" hidden="1">
      <c r="B74" s="476"/>
      <c r="C74" s="455"/>
      <c r="D74" s="456"/>
      <c r="E74" s="455"/>
      <c r="F74" s="446"/>
      <c r="G74" s="446"/>
      <c r="H74" s="469"/>
      <c r="I74" s="469"/>
      <c r="K74" s="476"/>
      <c r="L74" s="455"/>
      <c r="M74" s="456"/>
      <c r="N74" s="455"/>
      <c r="O74" s="446"/>
      <c r="P74" s="446"/>
      <c r="Q74" s="469"/>
      <c r="R74" s="469"/>
    </row>
    <row r="75" spans="2:18">
      <c r="B75" s="476"/>
      <c r="C75" s="470"/>
      <c r="D75" s="471" t="s">
        <v>848</v>
      </c>
      <c r="E75" s="472">
        <f>SUM(E61:E74)</f>
        <v>15438500</v>
      </c>
      <c r="F75" s="472">
        <v>0</v>
      </c>
      <c r="G75" s="472">
        <v>0</v>
      </c>
      <c r="H75" s="472"/>
      <c r="I75" s="472"/>
      <c r="K75" s="476"/>
      <c r="L75" s="470"/>
      <c r="M75" s="471" t="s">
        <v>848</v>
      </c>
      <c r="N75" s="472">
        <f>SUM(N61:N74)</f>
        <v>15438500</v>
      </c>
      <c r="O75" s="472">
        <v>0</v>
      </c>
      <c r="P75" s="472">
        <v>0</v>
      </c>
      <c r="Q75" s="472"/>
      <c r="R75" s="472"/>
    </row>
    <row r="76" spans="2:18">
      <c r="B76" s="479"/>
      <c r="C76" s="477"/>
      <c r="D76" s="495" t="s">
        <v>21</v>
      </c>
      <c r="E76" s="48"/>
      <c r="F76" s="547">
        <f>E75</f>
        <v>15438500</v>
      </c>
      <c r="G76" s="547"/>
      <c r="H76" s="547"/>
      <c r="I76" s="547"/>
      <c r="K76" s="479"/>
      <c r="L76" s="477"/>
      <c r="M76" s="502" t="s">
        <v>21</v>
      </c>
      <c r="N76" s="48"/>
      <c r="O76" s="547">
        <f>N75</f>
        <v>15438500</v>
      </c>
      <c r="P76" s="547"/>
      <c r="Q76" s="547"/>
      <c r="R76" s="547"/>
    </row>
    <row r="77" spans="2:18">
      <c r="B77" s="546" t="s">
        <v>1562</v>
      </c>
      <c r="C77" s="546"/>
      <c r="D77" s="546"/>
      <c r="E77" s="546"/>
      <c r="F77" s="546"/>
      <c r="G77" s="546"/>
      <c r="H77" s="546"/>
      <c r="I77" s="546"/>
      <c r="K77" s="546" t="s">
        <v>1562</v>
      </c>
      <c r="L77" s="546"/>
      <c r="M77" s="546"/>
      <c r="N77" s="546"/>
      <c r="O77" s="546"/>
      <c r="P77" s="546"/>
      <c r="Q77" s="546"/>
      <c r="R77" s="546"/>
    </row>
    <row r="78" spans="2:18">
      <c r="B78" s="476"/>
      <c r="C78" s="455" t="s">
        <v>1567</v>
      </c>
      <c r="D78" s="456" t="s">
        <v>1569</v>
      </c>
      <c r="E78" s="455">
        <v>110000</v>
      </c>
      <c r="F78" s="446"/>
      <c r="G78" s="446"/>
      <c r="H78" s="469"/>
      <c r="I78" s="469"/>
      <c r="K78" s="476"/>
      <c r="L78" s="455" t="s">
        <v>1567</v>
      </c>
      <c r="M78" s="456" t="s">
        <v>1569</v>
      </c>
      <c r="N78" s="455">
        <v>110000</v>
      </c>
      <c r="O78" s="446"/>
      <c r="P78" s="446"/>
      <c r="Q78" s="469"/>
      <c r="R78" s="469"/>
    </row>
    <row r="79" spans="2:18">
      <c r="B79" s="476"/>
      <c r="C79" s="455" t="s">
        <v>1570</v>
      </c>
      <c r="D79" s="456" t="s">
        <v>1572</v>
      </c>
      <c r="E79" s="455">
        <v>4043000</v>
      </c>
      <c r="F79" s="446"/>
      <c r="G79" s="446"/>
      <c r="H79" s="469"/>
      <c r="I79" s="469"/>
      <c r="K79" s="476"/>
      <c r="L79" s="455" t="s">
        <v>1570</v>
      </c>
      <c r="M79" s="456" t="s">
        <v>1572</v>
      </c>
      <c r="N79" s="455">
        <v>4043000</v>
      </c>
      <c r="O79" s="446"/>
      <c r="P79" s="446"/>
      <c r="Q79" s="469"/>
      <c r="R79" s="469"/>
    </row>
    <row r="80" spans="2:18">
      <c r="B80" s="476"/>
      <c r="C80" s="455" t="s">
        <v>1573</v>
      </c>
      <c r="D80" s="456" t="s">
        <v>1568</v>
      </c>
      <c r="E80" s="455">
        <v>280000</v>
      </c>
      <c r="F80" s="446"/>
      <c r="G80" s="446"/>
      <c r="H80" s="469"/>
      <c r="I80" s="469"/>
      <c r="K80" s="476"/>
      <c r="L80" s="455" t="s">
        <v>1573</v>
      </c>
      <c r="M80" s="456" t="s">
        <v>1568</v>
      </c>
      <c r="N80" s="455">
        <v>280000</v>
      </c>
      <c r="O80" s="446"/>
      <c r="P80" s="446"/>
      <c r="Q80" s="469"/>
      <c r="R80" s="469"/>
    </row>
    <row r="81" spans="2:18">
      <c r="B81" s="476"/>
      <c r="C81" s="455" t="s">
        <v>1616</v>
      </c>
      <c r="D81" s="456" t="s">
        <v>1617</v>
      </c>
      <c r="E81" s="455">
        <v>6275000</v>
      </c>
      <c r="F81" s="446"/>
      <c r="G81" s="446"/>
      <c r="H81" s="469"/>
      <c r="I81" s="469"/>
      <c r="K81" s="476"/>
      <c r="L81" s="455" t="s">
        <v>1616</v>
      </c>
      <c r="M81" s="456" t="s">
        <v>1617</v>
      </c>
      <c r="N81" s="455"/>
      <c r="O81" s="446"/>
      <c r="P81" s="446"/>
      <c r="Q81" s="469"/>
      <c r="R81" s="469"/>
    </row>
    <row r="82" spans="2:18">
      <c r="B82" s="476"/>
      <c r="C82" s="455" t="s">
        <v>1616</v>
      </c>
      <c r="D82" s="456" t="s">
        <v>1618</v>
      </c>
      <c r="E82" s="455">
        <v>5000</v>
      </c>
      <c r="F82" s="446"/>
      <c r="G82" s="446"/>
      <c r="H82" s="469"/>
      <c r="I82" s="469"/>
      <c r="K82" s="476"/>
      <c r="L82" s="455" t="s">
        <v>1616</v>
      </c>
      <c r="M82" s="456" t="s">
        <v>1618</v>
      </c>
      <c r="N82" s="455">
        <v>5000</v>
      </c>
      <c r="O82" s="446"/>
      <c r="P82" s="446"/>
      <c r="Q82" s="469"/>
      <c r="R82" s="469"/>
    </row>
    <row r="83" spans="2:18">
      <c r="B83" s="476"/>
      <c r="C83" s="455" t="s">
        <v>1619</v>
      </c>
      <c r="D83" s="456" t="s">
        <v>1620</v>
      </c>
      <c r="E83" s="455">
        <v>680000</v>
      </c>
      <c r="F83" s="446"/>
      <c r="G83" s="446"/>
      <c r="H83" s="469"/>
      <c r="I83" s="469"/>
      <c r="K83" s="476"/>
      <c r="L83" s="455" t="s">
        <v>1619</v>
      </c>
      <c r="M83" s="456" t="s">
        <v>1620</v>
      </c>
      <c r="N83" s="455">
        <v>680000</v>
      </c>
      <c r="O83" s="446"/>
      <c r="P83" s="446"/>
      <c r="Q83" s="469"/>
      <c r="R83" s="469"/>
    </row>
    <row r="84" spans="2:18">
      <c r="B84" s="476"/>
      <c r="C84" s="455" t="s">
        <v>1619</v>
      </c>
      <c r="D84" s="456" t="s">
        <v>1618</v>
      </c>
      <c r="E84" s="455">
        <v>5000</v>
      </c>
      <c r="F84" s="446"/>
      <c r="G84" s="446"/>
      <c r="H84" s="469"/>
      <c r="I84" s="469"/>
      <c r="K84" s="476"/>
      <c r="L84" s="455" t="s">
        <v>1619</v>
      </c>
      <c r="M84" s="456" t="s">
        <v>1618</v>
      </c>
      <c r="N84" s="455">
        <v>5000</v>
      </c>
      <c r="O84" s="446"/>
      <c r="P84" s="446"/>
      <c r="Q84" s="469"/>
      <c r="R84" s="469"/>
    </row>
    <row r="85" spans="2:18">
      <c r="B85" s="476"/>
      <c r="C85" s="455" t="s">
        <v>1573</v>
      </c>
      <c r="D85" s="456" t="s">
        <v>1621</v>
      </c>
      <c r="E85" s="455">
        <v>280000</v>
      </c>
      <c r="F85" s="446"/>
      <c r="G85" s="446"/>
      <c r="H85" s="469"/>
      <c r="I85" s="469"/>
      <c r="K85" s="476"/>
      <c r="L85" s="455" t="s">
        <v>1573</v>
      </c>
      <c r="M85" s="456" t="s">
        <v>1621</v>
      </c>
      <c r="N85" s="455"/>
      <c r="O85" s="446"/>
      <c r="P85" s="446"/>
      <c r="Q85" s="469"/>
      <c r="R85" s="469"/>
    </row>
    <row r="86" spans="2:18">
      <c r="B86" s="476"/>
      <c r="C86" s="455" t="s">
        <v>1567</v>
      </c>
      <c r="D86" s="456" t="s">
        <v>1622</v>
      </c>
      <c r="E86" s="455">
        <v>110000</v>
      </c>
      <c r="F86" s="446"/>
      <c r="G86" s="446"/>
      <c r="H86" s="469"/>
      <c r="I86" s="469"/>
      <c r="K86" s="476"/>
      <c r="L86" s="455" t="s">
        <v>1567</v>
      </c>
      <c r="M86" s="456" t="s">
        <v>1622</v>
      </c>
      <c r="N86" s="455"/>
      <c r="O86" s="446"/>
      <c r="P86" s="446"/>
      <c r="Q86" s="469"/>
      <c r="R86" s="469"/>
    </row>
    <row r="87" spans="2:18">
      <c r="B87" s="476"/>
      <c r="C87" s="455"/>
      <c r="D87" s="456" t="s">
        <v>1621</v>
      </c>
      <c r="E87" s="455">
        <v>1628000</v>
      </c>
      <c r="F87" s="446"/>
      <c r="G87" s="446"/>
      <c r="H87" s="469"/>
      <c r="I87" s="469"/>
      <c r="K87" s="476"/>
      <c r="L87" s="455"/>
      <c r="M87" s="456" t="s">
        <v>1621</v>
      </c>
      <c r="N87" s="455"/>
      <c r="O87" s="446"/>
      <c r="P87" s="446"/>
      <c r="Q87" s="469"/>
      <c r="R87" s="469"/>
    </row>
    <row r="88" spans="2:18">
      <c r="B88" s="476"/>
      <c r="C88" s="470"/>
      <c r="D88" s="456" t="s">
        <v>1623</v>
      </c>
      <c r="E88" s="484">
        <v>380000</v>
      </c>
      <c r="F88" s="495"/>
      <c r="G88" s="495"/>
      <c r="H88" s="495"/>
      <c r="I88" s="495"/>
      <c r="K88" s="476"/>
      <c r="L88" s="470"/>
      <c r="M88" s="456" t="s">
        <v>1623</v>
      </c>
      <c r="N88" s="484"/>
      <c r="O88" s="502"/>
      <c r="P88" s="502"/>
      <c r="Q88" s="502"/>
      <c r="R88" s="502"/>
    </row>
    <row r="89" spans="2:18">
      <c r="B89" s="476"/>
      <c r="C89" s="470"/>
      <c r="D89" s="471" t="s">
        <v>34</v>
      </c>
      <c r="E89" s="472">
        <f>SUM(E78:E88)</f>
        <v>13796000</v>
      </c>
      <c r="F89" s="472">
        <v>0</v>
      </c>
      <c r="G89" s="472">
        <v>0</v>
      </c>
      <c r="H89" s="472"/>
      <c r="I89" s="472"/>
      <c r="K89" s="476"/>
      <c r="L89" s="470"/>
      <c r="M89" s="471" t="s">
        <v>34</v>
      </c>
      <c r="N89" s="472">
        <f>SUM(N78:N88)</f>
        <v>5123000</v>
      </c>
      <c r="O89" s="472">
        <v>0</v>
      </c>
      <c r="P89" s="472">
        <v>0</v>
      </c>
      <c r="Q89" s="472"/>
      <c r="R89" s="472"/>
    </row>
    <row r="90" spans="2:18">
      <c r="B90" s="479"/>
      <c r="C90" s="477"/>
      <c r="D90" s="495" t="s">
        <v>21</v>
      </c>
      <c r="E90" s="48"/>
      <c r="F90" s="547">
        <f>E89</f>
        <v>13796000</v>
      </c>
      <c r="G90" s="547"/>
      <c r="H90" s="547"/>
      <c r="I90" s="547"/>
      <c r="K90" s="479"/>
      <c r="L90" s="477"/>
      <c r="M90" s="502" t="s">
        <v>21</v>
      </c>
      <c r="N90" s="48"/>
      <c r="O90" s="547">
        <f>N89</f>
        <v>5123000</v>
      </c>
      <c r="P90" s="547"/>
      <c r="Q90" s="547"/>
      <c r="R90" s="547"/>
    </row>
    <row r="91" spans="2:18">
      <c r="B91" s="546" t="s">
        <v>32</v>
      </c>
      <c r="C91" s="546"/>
      <c r="D91" s="546"/>
      <c r="E91" s="546"/>
      <c r="F91" s="546"/>
      <c r="G91" s="546"/>
      <c r="H91" s="546"/>
      <c r="I91" s="546"/>
      <c r="K91" s="546" t="s">
        <v>32</v>
      </c>
      <c r="L91" s="546"/>
      <c r="M91" s="546"/>
      <c r="N91" s="546"/>
      <c r="O91" s="546"/>
      <c r="P91" s="546"/>
      <c r="Q91" s="546"/>
      <c r="R91" s="546"/>
    </row>
    <row r="92" spans="2:18">
      <c r="B92" s="476"/>
      <c r="C92" s="470" t="s">
        <v>1624</v>
      </c>
      <c r="D92" s="446" t="s">
        <v>198</v>
      </c>
      <c r="E92" s="446">
        <v>150000</v>
      </c>
      <c r="F92" s="495"/>
      <c r="G92" s="495"/>
      <c r="H92" s="495"/>
      <c r="I92" s="495"/>
      <c r="K92" s="476"/>
      <c r="L92" s="470" t="s">
        <v>1624</v>
      </c>
      <c r="M92" s="446" t="s">
        <v>198</v>
      </c>
      <c r="N92" s="446">
        <v>150000</v>
      </c>
      <c r="O92" s="502"/>
      <c r="P92" s="502"/>
      <c r="Q92" s="502"/>
      <c r="R92" s="502"/>
    </row>
    <row r="93" spans="2:18">
      <c r="B93" s="476"/>
      <c r="C93" s="470" t="s">
        <v>1625</v>
      </c>
      <c r="D93" s="446" t="s">
        <v>1626</v>
      </c>
      <c r="E93" s="446">
        <v>15500</v>
      </c>
      <c r="F93" s="495"/>
      <c r="G93" s="495"/>
      <c r="H93" s="495"/>
      <c r="I93" s="495"/>
      <c r="K93" s="476"/>
      <c r="L93" s="470" t="s">
        <v>1625</v>
      </c>
      <c r="M93" s="446" t="s">
        <v>1626</v>
      </c>
      <c r="N93" s="446">
        <v>15500</v>
      </c>
      <c r="O93" s="502"/>
      <c r="P93" s="502"/>
      <c r="Q93" s="502"/>
      <c r="R93" s="502"/>
    </row>
    <row r="94" spans="2:18">
      <c r="B94" s="476"/>
      <c r="C94" s="470" t="s">
        <v>1625</v>
      </c>
      <c r="D94" s="446" t="s">
        <v>1627</v>
      </c>
      <c r="E94" s="446">
        <v>11000</v>
      </c>
      <c r="F94" s="495"/>
      <c r="G94" s="495"/>
      <c r="H94" s="495"/>
      <c r="I94" s="495"/>
      <c r="K94" s="476"/>
      <c r="L94" s="470" t="s">
        <v>1625</v>
      </c>
      <c r="M94" s="446" t="s">
        <v>1627</v>
      </c>
      <c r="N94" s="446">
        <v>11000</v>
      </c>
      <c r="O94" s="502"/>
      <c r="P94" s="502"/>
      <c r="Q94" s="502"/>
      <c r="R94" s="502"/>
    </row>
    <row r="95" spans="2:18">
      <c r="B95" s="476"/>
      <c r="C95" s="470" t="s">
        <v>1625</v>
      </c>
      <c r="D95" s="446" t="s">
        <v>1628</v>
      </c>
      <c r="E95" s="507">
        <v>15000</v>
      </c>
      <c r="F95" s="495"/>
      <c r="G95" s="495"/>
      <c r="H95" s="495"/>
      <c r="I95" s="495"/>
      <c r="K95" s="476"/>
      <c r="L95" s="470" t="s">
        <v>1625</v>
      </c>
      <c r="M95" s="446" t="s">
        <v>1628</v>
      </c>
      <c r="N95" s="507">
        <v>15000</v>
      </c>
      <c r="O95" s="502"/>
      <c r="P95" s="502"/>
      <c r="Q95" s="502"/>
      <c r="R95" s="502"/>
    </row>
    <row r="96" spans="2:18">
      <c r="B96" s="476"/>
      <c r="C96" s="470" t="s">
        <v>1636</v>
      </c>
      <c r="D96" s="446" t="s">
        <v>1637</v>
      </c>
      <c r="E96" s="507">
        <v>681520</v>
      </c>
      <c r="F96" s="502"/>
      <c r="G96" s="502"/>
      <c r="H96" s="502"/>
      <c r="I96" s="502"/>
      <c r="K96" s="476"/>
      <c r="L96" s="470" t="s">
        <v>1636</v>
      </c>
      <c r="M96" s="446" t="s">
        <v>1637</v>
      </c>
      <c r="N96" s="507">
        <v>681520</v>
      </c>
      <c r="O96" s="502"/>
      <c r="P96" s="502"/>
      <c r="Q96" s="502"/>
      <c r="R96" s="502"/>
    </row>
    <row r="97" spans="2:18">
      <c r="B97" s="476"/>
      <c r="C97" s="470"/>
      <c r="D97" s="446"/>
      <c r="E97" s="507"/>
      <c r="F97" s="502"/>
      <c r="G97" s="502"/>
      <c r="H97" s="502"/>
      <c r="I97" s="502"/>
      <c r="K97" s="476"/>
      <c r="L97" s="470"/>
      <c r="M97" s="446" t="s">
        <v>1639</v>
      </c>
      <c r="N97" s="507">
        <v>5000000</v>
      </c>
      <c r="O97" s="502"/>
      <c r="P97" s="502"/>
      <c r="Q97" s="502"/>
      <c r="R97" s="502"/>
    </row>
    <row r="98" spans="2:18">
      <c r="B98" s="476"/>
      <c r="C98" s="470"/>
      <c r="D98" s="446"/>
      <c r="E98" s="507"/>
      <c r="F98" s="502"/>
      <c r="G98" s="502"/>
      <c r="H98" s="502"/>
      <c r="I98" s="502"/>
      <c r="K98" s="476"/>
      <c r="L98" s="470"/>
      <c r="M98" s="446"/>
      <c r="N98" s="507"/>
      <c r="O98" s="502"/>
      <c r="P98" s="502"/>
      <c r="Q98" s="502"/>
      <c r="R98" s="502"/>
    </row>
    <row r="99" spans="2:18">
      <c r="B99" s="476"/>
      <c r="C99" s="470"/>
      <c r="D99" s="446"/>
      <c r="E99" s="484"/>
      <c r="F99" s="495"/>
      <c r="G99" s="495"/>
      <c r="H99" s="495"/>
      <c r="I99" s="495"/>
      <c r="K99" s="476"/>
      <c r="L99" s="470"/>
      <c r="M99" s="446"/>
      <c r="N99" s="484"/>
      <c r="O99" s="502"/>
      <c r="P99" s="502"/>
      <c r="Q99" s="502"/>
      <c r="R99" s="502"/>
    </row>
    <row r="100" spans="2:18">
      <c r="B100" s="476"/>
      <c r="C100" s="470"/>
      <c r="D100" s="471" t="s">
        <v>34</v>
      </c>
      <c r="E100" s="472">
        <f>SUM(E92:E96)</f>
        <v>873020</v>
      </c>
      <c r="F100" s="472">
        <v>0</v>
      </c>
      <c r="G100" s="472">
        <v>0</v>
      </c>
      <c r="H100" s="472"/>
      <c r="I100" s="472"/>
      <c r="K100" s="476"/>
      <c r="L100" s="470"/>
      <c r="M100" s="471" t="s">
        <v>34</v>
      </c>
      <c r="N100" s="472">
        <f>SUM(N92:N97)</f>
        <v>5873020</v>
      </c>
      <c r="O100" s="472">
        <v>0</v>
      </c>
      <c r="P100" s="472">
        <v>0</v>
      </c>
      <c r="Q100" s="472"/>
      <c r="R100" s="472"/>
    </row>
    <row r="101" spans="2:18">
      <c r="B101" s="479"/>
      <c r="C101" s="477"/>
      <c r="D101" s="495" t="s">
        <v>21</v>
      </c>
      <c r="E101" s="48"/>
      <c r="F101" s="547">
        <f>E100</f>
        <v>873020</v>
      </c>
      <c r="G101" s="547"/>
      <c r="H101" s="547"/>
      <c r="I101" s="547"/>
      <c r="K101" s="479"/>
      <c r="L101" s="477"/>
      <c r="M101" s="502" t="s">
        <v>21</v>
      </c>
      <c r="N101" s="48"/>
      <c r="O101" s="547">
        <f>N100</f>
        <v>5873020</v>
      </c>
      <c r="P101" s="547"/>
      <c r="Q101" s="547"/>
      <c r="R101" s="547"/>
    </row>
    <row r="102" spans="2:18">
      <c r="B102" s="548" t="s">
        <v>35</v>
      </c>
      <c r="C102" s="548"/>
      <c r="D102" s="548"/>
      <c r="E102" s="496"/>
      <c r="F102" s="549">
        <f>+F36+F59+F76+F101+F90</f>
        <v>143084520</v>
      </c>
      <c r="G102" s="549"/>
      <c r="H102" s="549"/>
      <c r="I102" s="549"/>
      <c r="K102" s="548" t="s">
        <v>35</v>
      </c>
      <c r="L102" s="548"/>
      <c r="M102" s="548"/>
      <c r="N102" s="503"/>
      <c r="O102" s="549">
        <f>+O36+O59+O76+O101+O90</f>
        <v>69287520</v>
      </c>
      <c r="P102" s="549"/>
      <c r="Q102" s="549"/>
      <c r="R102" s="549"/>
    </row>
    <row r="103" spans="2:18">
      <c r="B103" s="544" t="s">
        <v>36</v>
      </c>
      <c r="C103" s="544"/>
      <c r="D103" s="544"/>
      <c r="E103" s="494"/>
      <c r="F103" s="545">
        <f>+F28+F102</f>
        <v>151978520</v>
      </c>
      <c r="G103" s="545"/>
      <c r="H103" s="545"/>
      <c r="I103" s="545"/>
      <c r="K103" s="544" t="s">
        <v>36</v>
      </c>
      <c r="L103" s="544"/>
      <c r="M103" s="544"/>
      <c r="N103" s="504"/>
      <c r="O103" s="545">
        <f>+O28+O102</f>
        <v>70637520</v>
      </c>
      <c r="P103" s="545"/>
      <c r="Q103" s="545"/>
      <c r="R103" s="545"/>
    </row>
    <row r="104" spans="2:18">
      <c r="B104" s="37"/>
      <c r="C104" s="38"/>
      <c r="D104" s="39"/>
      <c r="E104" s="3"/>
      <c r="F104" s="39"/>
      <c r="G104" s="39"/>
      <c r="H104" s="39"/>
      <c r="I104" s="39"/>
      <c r="K104" s="37"/>
      <c r="L104" s="38"/>
      <c r="M104" s="39"/>
      <c r="N104" s="3"/>
      <c r="O104" s="39"/>
      <c r="P104" s="39"/>
      <c r="Q104" s="39"/>
      <c r="R104" s="39"/>
    </row>
    <row r="105" spans="2:18">
      <c r="B105" s="519" t="s">
        <v>13</v>
      </c>
      <c r="C105" s="520"/>
      <c r="D105" s="520"/>
      <c r="E105" s="520"/>
      <c r="F105" s="521"/>
      <c r="G105" s="39"/>
      <c r="H105" s="39"/>
      <c r="I105" s="40"/>
      <c r="K105" s="519" t="s">
        <v>13</v>
      </c>
      <c r="L105" s="520"/>
      <c r="M105" s="520"/>
      <c r="N105" s="520"/>
      <c r="O105" s="521"/>
      <c r="P105" s="39"/>
      <c r="Q105" s="39"/>
      <c r="R105" s="40"/>
    </row>
    <row r="106" spans="2:18">
      <c r="B106" s="41" t="s">
        <v>39</v>
      </c>
      <c r="C106" s="42" t="s">
        <v>40</v>
      </c>
      <c r="D106" s="495" t="s">
        <v>980</v>
      </c>
      <c r="E106" s="495" t="s">
        <v>42</v>
      </c>
      <c r="F106" s="495" t="s">
        <v>43</v>
      </c>
      <c r="G106" s="39"/>
      <c r="H106" s="39"/>
      <c r="I106" s="39"/>
      <c r="K106" s="41" t="s">
        <v>39</v>
      </c>
      <c r="L106" s="42" t="s">
        <v>40</v>
      </c>
      <c r="M106" s="502" t="s">
        <v>980</v>
      </c>
      <c r="N106" s="502" t="s">
        <v>42</v>
      </c>
      <c r="O106" s="502" t="s">
        <v>43</v>
      </c>
      <c r="P106" s="39"/>
      <c r="Q106" s="39"/>
      <c r="R106" s="39"/>
    </row>
    <row r="107" spans="2:18">
      <c r="B107" s="41"/>
      <c r="C107" s="110"/>
      <c r="D107" s="45"/>
      <c r="E107" s="46"/>
      <c r="F107" s="46"/>
      <c r="G107" s="39"/>
      <c r="H107" s="39"/>
      <c r="I107" s="39"/>
      <c r="K107" s="41"/>
      <c r="L107" s="110">
        <v>46283</v>
      </c>
      <c r="M107" s="45" t="s">
        <v>1638</v>
      </c>
      <c r="N107" s="46">
        <v>70000000</v>
      </c>
      <c r="O107" s="46"/>
      <c r="P107" s="39"/>
      <c r="Q107" s="39"/>
      <c r="R107" s="39"/>
    </row>
    <row r="108" spans="2:18">
      <c r="B108" s="41"/>
      <c r="C108" s="44"/>
      <c r="D108" s="45"/>
      <c r="E108" s="46"/>
      <c r="F108" s="46"/>
      <c r="G108" s="39"/>
      <c r="H108" s="39"/>
      <c r="I108" s="40"/>
      <c r="K108" s="41"/>
      <c r="L108" s="44"/>
      <c r="M108" s="45"/>
      <c r="N108" s="46"/>
      <c r="O108" s="46"/>
      <c r="P108" s="39"/>
      <c r="Q108" s="39"/>
      <c r="R108" s="40"/>
    </row>
    <row r="109" spans="2:18">
      <c r="B109" s="41"/>
      <c r="C109" s="44"/>
      <c r="D109" s="46"/>
      <c r="E109" s="46"/>
      <c r="F109" s="46"/>
      <c r="G109" s="39"/>
      <c r="H109" s="39"/>
      <c r="I109" s="39"/>
      <c r="K109" s="41"/>
      <c r="L109" s="44"/>
      <c r="M109" s="46"/>
      <c r="N109" s="46"/>
      <c r="O109" s="46"/>
      <c r="P109" s="39"/>
      <c r="Q109" s="39"/>
      <c r="R109" s="39"/>
    </row>
    <row r="110" spans="2:18">
      <c r="B110" s="41"/>
      <c r="C110" s="44"/>
      <c r="D110" s="327"/>
      <c r="E110" s="46"/>
      <c r="F110" s="46"/>
      <c r="G110" s="39"/>
      <c r="H110" s="39"/>
      <c r="I110" s="39"/>
      <c r="K110" s="41"/>
      <c r="L110" s="44"/>
      <c r="M110" s="327"/>
      <c r="N110" s="46"/>
      <c r="O110" s="46"/>
      <c r="P110" s="39"/>
      <c r="Q110" s="39"/>
      <c r="R110" s="39"/>
    </row>
    <row r="111" spans="2:18">
      <c r="B111" s="41"/>
      <c r="C111" s="44"/>
      <c r="D111" s="46"/>
      <c r="E111" s="48"/>
      <c r="F111" s="46"/>
      <c r="G111" s="39"/>
      <c r="H111" s="39"/>
      <c r="I111" s="39"/>
      <c r="K111" s="41"/>
      <c r="L111" s="44"/>
      <c r="M111" s="46"/>
      <c r="N111" s="48"/>
      <c r="O111" s="46"/>
      <c r="P111" s="39"/>
      <c r="Q111" s="39"/>
      <c r="R111" s="39"/>
    </row>
    <row r="112" spans="2:18">
      <c r="B112" s="49"/>
      <c r="C112" s="50"/>
      <c r="D112" s="51" t="s">
        <v>44</v>
      </c>
      <c r="E112" s="51">
        <f>SUM(E107:E111)</f>
        <v>0</v>
      </c>
      <c r="F112" s="52"/>
      <c r="G112" s="39"/>
      <c r="H112" s="39"/>
      <c r="I112" s="39"/>
      <c r="K112" s="49"/>
      <c r="L112" s="50"/>
      <c r="M112" s="51" t="s">
        <v>44</v>
      </c>
      <c r="N112" s="51">
        <f>SUM(N107:N111)</f>
        <v>70000000</v>
      </c>
      <c r="O112" s="52"/>
      <c r="P112" s="39"/>
      <c r="Q112" s="39"/>
      <c r="R112" s="39"/>
    </row>
    <row r="113" spans="2:18">
      <c r="B113" s="53"/>
      <c r="C113" s="54"/>
      <c r="D113" s="55" t="s">
        <v>779</v>
      </c>
      <c r="E113" s="56"/>
      <c r="F113" s="3"/>
      <c r="G113" s="39"/>
      <c r="H113" s="39"/>
      <c r="I113" s="39"/>
      <c r="K113" s="53"/>
      <c r="L113" s="54"/>
      <c r="M113" s="55" t="s">
        <v>779</v>
      </c>
      <c r="N113" s="56"/>
      <c r="O113" s="3"/>
      <c r="P113" s="39"/>
      <c r="Q113" s="39"/>
      <c r="R113" s="39"/>
    </row>
  </sheetData>
  <mergeCells count="50">
    <mergeCell ref="K105:O105"/>
    <mergeCell ref="K91:R91"/>
    <mergeCell ref="O101:R101"/>
    <mergeCell ref="K102:M102"/>
    <mergeCell ref="O102:R102"/>
    <mergeCell ref="K103:M103"/>
    <mergeCell ref="O103:R103"/>
    <mergeCell ref="O59:R59"/>
    <mergeCell ref="K60:R60"/>
    <mergeCell ref="O76:R76"/>
    <mergeCell ref="K77:R77"/>
    <mergeCell ref="O90:R90"/>
    <mergeCell ref="K28:N28"/>
    <mergeCell ref="O28:R28"/>
    <mergeCell ref="K29:R29"/>
    <mergeCell ref="O36:R36"/>
    <mergeCell ref="K37:R37"/>
    <mergeCell ref="K3:R3"/>
    <mergeCell ref="K12:Q12"/>
    <mergeCell ref="K13:R13"/>
    <mergeCell ref="K14:K15"/>
    <mergeCell ref="L14:L15"/>
    <mergeCell ref="M14:M15"/>
    <mergeCell ref="N14:N15"/>
    <mergeCell ref="O14:R14"/>
    <mergeCell ref="B3:I3"/>
    <mergeCell ref="B12:H12"/>
    <mergeCell ref="B13:I13"/>
    <mergeCell ref="B14:B15"/>
    <mergeCell ref="C14:C15"/>
    <mergeCell ref="D14:D15"/>
    <mergeCell ref="E14:E15"/>
    <mergeCell ref="F14:I14"/>
    <mergeCell ref="F101:I101"/>
    <mergeCell ref="B28:E28"/>
    <mergeCell ref="F28:I28"/>
    <mergeCell ref="B29:I29"/>
    <mergeCell ref="F36:I36"/>
    <mergeCell ref="B37:I37"/>
    <mergeCell ref="F59:I59"/>
    <mergeCell ref="B60:I60"/>
    <mergeCell ref="F76:I76"/>
    <mergeCell ref="B77:I77"/>
    <mergeCell ref="F90:I90"/>
    <mergeCell ref="B91:I91"/>
    <mergeCell ref="B102:D102"/>
    <mergeCell ref="F102:I102"/>
    <mergeCell ref="B103:D103"/>
    <mergeCell ref="F103:I103"/>
    <mergeCell ref="B105:F105"/>
  </mergeCells>
  <phoneticPr fontId="16" type="noConversion"/>
  <pageMargins left="0.31" right="0.19685039370078741" top="0.31496062992125984" bottom="0.74803149606299213" header="0.19685039370078741" footer="0.31496062992125984"/>
  <pageSetup paperSize="9" scale="85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7CF0E-9F67-466B-9DC1-4E000D614292}">
  <dimension ref="A1:J45"/>
  <sheetViews>
    <sheetView topLeftCell="D1" workbookViewId="0">
      <selection sqref="A1:L1048576"/>
    </sheetView>
  </sheetViews>
  <sheetFormatPr defaultRowHeight="15"/>
  <cols>
    <col min="1" max="1" width="51.5703125" bestFit="1" customWidth="1"/>
    <col min="2" max="2" width="12.5703125" style="77" bestFit="1" customWidth="1"/>
    <col min="3" max="3" width="26.5703125" bestFit="1" customWidth="1"/>
    <col min="4" max="4" width="11.5703125" style="77" bestFit="1" customWidth="1"/>
    <col min="5" max="5" width="32.5703125" bestFit="1" customWidth="1"/>
    <col min="6" max="6" width="11.5703125" bestFit="1" customWidth="1"/>
    <col min="7" max="7" width="60.85546875" bestFit="1" customWidth="1"/>
    <col min="8" max="8" width="12.5703125" bestFit="1" customWidth="1"/>
    <col min="9" max="9" width="19.5703125" bestFit="1" customWidth="1"/>
    <col min="10" max="10" width="10.5703125" bestFit="1" customWidth="1"/>
  </cols>
  <sheetData>
    <row r="1" spans="1:10">
      <c r="A1" t="s">
        <v>1580</v>
      </c>
    </row>
    <row r="3" spans="1:10">
      <c r="A3" s="57" t="s">
        <v>47</v>
      </c>
      <c r="B3" s="58"/>
      <c r="C3" s="58" t="s">
        <v>48</v>
      </c>
      <c r="D3" s="58"/>
      <c r="E3" s="58" t="s">
        <v>49</v>
      </c>
      <c r="F3" s="58"/>
      <c r="G3" s="542" t="s">
        <v>50</v>
      </c>
      <c r="H3" s="543"/>
      <c r="I3" s="58" t="s">
        <v>51</v>
      </c>
      <c r="J3" s="59"/>
    </row>
    <row r="4" spans="1:10">
      <c r="A4" s="120" t="s">
        <v>1590</v>
      </c>
      <c r="B4" s="455">
        <v>220000</v>
      </c>
      <c r="C4" s="119" t="s">
        <v>1631</v>
      </c>
      <c r="D4" s="120">
        <v>800000</v>
      </c>
      <c r="E4" s="120" t="s">
        <v>1508</v>
      </c>
      <c r="F4" s="455">
        <v>225000</v>
      </c>
      <c r="G4" s="120"/>
      <c r="H4" s="455"/>
      <c r="I4" s="456" t="s">
        <v>1613</v>
      </c>
      <c r="J4" s="455">
        <v>1400000</v>
      </c>
    </row>
    <row r="5" spans="1:10">
      <c r="A5" s="446" t="s">
        <v>789</v>
      </c>
      <c r="B5" s="67">
        <v>6000000</v>
      </c>
      <c r="C5" s="119" t="s">
        <v>1632</v>
      </c>
      <c r="D5" s="120">
        <v>300000</v>
      </c>
      <c r="E5" s="120" t="s">
        <v>1023</v>
      </c>
      <c r="F5" s="455">
        <v>360000</v>
      </c>
      <c r="G5" s="120"/>
      <c r="H5" s="455"/>
      <c r="I5" s="456" t="s">
        <v>1606</v>
      </c>
      <c r="J5" s="455">
        <v>403000</v>
      </c>
    </row>
    <row r="6" spans="1:10">
      <c r="A6" s="446" t="s">
        <v>1594</v>
      </c>
      <c r="B6" s="67">
        <v>483000</v>
      </c>
      <c r="C6" s="119" t="s">
        <v>1633</v>
      </c>
      <c r="D6" s="120">
        <v>250000</v>
      </c>
      <c r="E6" s="456" t="s">
        <v>1049</v>
      </c>
      <c r="F6" s="455">
        <v>6423000</v>
      </c>
      <c r="G6" s="446" t="s">
        <v>1596</v>
      </c>
      <c r="H6" s="67">
        <v>600000</v>
      </c>
      <c r="I6" s="456" t="s">
        <v>1607</v>
      </c>
      <c r="J6" s="455">
        <v>50000</v>
      </c>
    </row>
    <row r="7" spans="1:10">
      <c r="A7" s="446" t="s">
        <v>1598</v>
      </c>
      <c r="B7" s="67">
        <v>4295000</v>
      </c>
      <c r="C7" s="446" t="s">
        <v>1121</v>
      </c>
      <c r="D7" s="67">
        <v>150000</v>
      </c>
      <c r="E7" s="456" t="s">
        <v>1175</v>
      </c>
      <c r="F7" s="455">
        <v>30000</v>
      </c>
      <c r="G7" s="489" t="s">
        <v>1169</v>
      </c>
      <c r="H7" s="493">
        <v>10000000</v>
      </c>
      <c r="I7" s="455" t="s">
        <v>1608</v>
      </c>
      <c r="J7" s="455">
        <v>2500</v>
      </c>
    </row>
    <row r="8" spans="1:10">
      <c r="A8" s="446" t="s">
        <v>1599</v>
      </c>
      <c r="B8" s="67">
        <v>1320000</v>
      </c>
      <c r="C8" s="456" t="s">
        <v>1127</v>
      </c>
      <c r="D8" s="455">
        <v>750000</v>
      </c>
      <c r="E8" s="491"/>
      <c r="F8" s="488"/>
      <c r="G8" s="488" t="s">
        <v>1600</v>
      </c>
      <c r="H8" s="493">
        <v>10000000</v>
      </c>
      <c r="I8" s="119"/>
      <c r="J8" s="120"/>
    </row>
    <row r="9" spans="1:10">
      <c r="A9" s="120" t="s">
        <v>1591</v>
      </c>
      <c r="B9" s="455">
        <v>500000</v>
      </c>
      <c r="C9" s="446" t="s">
        <v>198</v>
      </c>
      <c r="D9" s="446">
        <v>150000</v>
      </c>
      <c r="E9" s="491"/>
      <c r="F9" s="488"/>
      <c r="G9" s="489" t="s">
        <v>1601</v>
      </c>
      <c r="H9" s="493">
        <v>3000000</v>
      </c>
      <c r="I9" s="119"/>
      <c r="J9" s="120"/>
    </row>
    <row r="10" spans="1:10">
      <c r="A10" s="120" t="s">
        <v>1592</v>
      </c>
      <c r="B10" s="455">
        <v>700000</v>
      </c>
      <c r="C10" s="446"/>
      <c r="D10" s="446"/>
      <c r="E10" s="120"/>
      <c r="F10" s="455"/>
      <c r="G10" s="489" t="s">
        <v>1602</v>
      </c>
      <c r="H10" s="493">
        <v>5000000</v>
      </c>
      <c r="I10" s="119"/>
      <c r="J10" s="120"/>
    </row>
    <row r="11" spans="1:10">
      <c r="A11" s="489"/>
      <c r="B11" s="493"/>
      <c r="C11" s="455"/>
      <c r="D11" s="455"/>
      <c r="E11" s="120"/>
      <c r="F11" s="455"/>
      <c r="G11" s="456" t="s">
        <v>1605</v>
      </c>
      <c r="H11" s="455">
        <v>100000</v>
      </c>
      <c r="I11" s="119"/>
      <c r="J11" s="120"/>
    </row>
    <row r="12" spans="1:10">
      <c r="A12" s="489"/>
      <c r="B12" s="489"/>
      <c r="C12" s="455"/>
      <c r="D12" s="455"/>
      <c r="E12" s="120"/>
      <c r="F12" s="455"/>
      <c r="G12" s="456" t="s">
        <v>1614</v>
      </c>
      <c r="H12" s="455">
        <v>4860000</v>
      </c>
      <c r="I12" s="119"/>
      <c r="J12" s="120"/>
    </row>
    <row r="13" spans="1:10">
      <c r="A13" s="489"/>
      <c r="B13" s="489"/>
      <c r="C13" s="455"/>
      <c r="D13" s="455"/>
      <c r="E13" s="120"/>
      <c r="F13" s="455"/>
      <c r="G13" s="456" t="s">
        <v>1611</v>
      </c>
      <c r="H13" s="455">
        <v>320000</v>
      </c>
      <c r="I13" s="119"/>
      <c r="J13" s="120"/>
    </row>
    <row r="14" spans="1:10">
      <c r="A14" s="489"/>
      <c r="B14" s="489"/>
      <c r="C14" s="455"/>
      <c r="D14" s="455"/>
      <c r="E14" s="120"/>
      <c r="F14" s="455"/>
      <c r="G14" s="456" t="s">
        <v>1615</v>
      </c>
      <c r="H14" s="455">
        <v>500000</v>
      </c>
      <c r="I14" s="119"/>
      <c r="J14" s="120"/>
    </row>
    <row r="15" spans="1:10">
      <c r="A15" s="489"/>
      <c r="B15" s="489"/>
      <c r="C15" s="455"/>
      <c r="D15" s="455"/>
      <c r="E15" s="120"/>
      <c r="F15" s="455"/>
      <c r="G15" s="490" t="s">
        <v>1635</v>
      </c>
      <c r="H15" s="488">
        <v>600000</v>
      </c>
      <c r="I15" s="119"/>
      <c r="J15" s="120"/>
    </row>
    <row r="16" spans="1:10">
      <c r="A16" s="489"/>
      <c r="B16" s="489"/>
      <c r="C16" s="455"/>
      <c r="D16" s="455"/>
      <c r="E16" s="120"/>
      <c r="F16" s="455"/>
      <c r="G16" s="456" t="s">
        <v>1569</v>
      </c>
      <c r="H16" s="455">
        <v>110000</v>
      </c>
      <c r="I16" s="119"/>
      <c r="J16" s="120"/>
    </row>
    <row r="17" spans="1:10">
      <c r="A17" s="489"/>
      <c r="B17" s="489"/>
      <c r="C17" s="455"/>
      <c r="D17" s="455"/>
      <c r="E17" s="120"/>
      <c r="F17" s="455"/>
      <c r="G17" s="456" t="s">
        <v>1572</v>
      </c>
      <c r="H17" s="455">
        <v>4043000</v>
      </c>
      <c r="I17" s="119"/>
      <c r="J17" s="120"/>
    </row>
    <row r="18" spans="1:10">
      <c r="A18" s="489"/>
      <c r="B18" s="489"/>
      <c r="C18" s="455"/>
      <c r="D18" s="455"/>
      <c r="E18" s="120"/>
      <c r="F18" s="455"/>
      <c r="G18" s="456" t="s">
        <v>1568</v>
      </c>
      <c r="H18" s="455">
        <v>280000</v>
      </c>
      <c r="I18" s="119"/>
      <c r="J18" s="120"/>
    </row>
    <row r="19" spans="1:10">
      <c r="A19" s="446"/>
      <c r="B19" s="446"/>
      <c r="C19" s="455"/>
      <c r="D19" s="455"/>
      <c r="E19" s="120"/>
      <c r="F19" s="455"/>
      <c r="G19" s="490" t="s">
        <v>1618</v>
      </c>
      <c r="H19" s="488">
        <v>5000</v>
      </c>
      <c r="I19" s="119"/>
      <c r="J19" s="120"/>
    </row>
    <row r="20" spans="1:10">
      <c r="A20" s="455"/>
      <c r="B20" s="455"/>
      <c r="C20" s="446"/>
      <c r="D20" s="455"/>
      <c r="E20" s="120"/>
      <c r="F20" s="455"/>
      <c r="G20" s="456" t="s">
        <v>1620</v>
      </c>
      <c r="H20" s="455">
        <v>680000</v>
      </c>
      <c r="I20" s="119"/>
      <c r="J20" s="120"/>
    </row>
    <row r="21" spans="1:10">
      <c r="A21" s="455"/>
      <c r="B21" s="455"/>
      <c r="C21" s="446"/>
      <c r="D21" s="446"/>
      <c r="E21" s="455"/>
      <c r="F21" s="455"/>
      <c r="G21" s="490" t="s">
        <v>1618</v>
      </c>
      <c r="H21" s="488">
        <v>5000</v>
      </c>
      <c r="I21" s="119"/>
      <c r="J21" s="120"/>
    </row>
    <row r="22" spans="1:10">
      <c r="A22" s="455"/>
      <c r="B22" s="455"/>
      <c r="C22" s="120"/>
      <c r="D22" s="455"/>
      <c r="E22" s="455"/>
      <c r="F22" s="455"/>
      <c r="G22" s="489" t="s">
        <v>1626</v>
      </c>
      <c r="H22" s="489">
        <v>15500</v>
      </c>
      <c r="I22" s="119"/>
      <c r="J22" s="120"/>
    </row>
    <row r="23" spans="1:10">
      <c r="A23" s="455"/>
      <c r="B23" s="455"/>
      <c r="C23" s="455"/>
      <c r="D23" s="455"/>
      <c r="E23" s="455"/>
      <c r="F23" s="455"/>
      <c r="G23" s="489" t="s">
        <v>1627</v>
      </c>
      <c r="H23" s="489">
        <v>11000</v>
      </c>
      <c r="I23" s="119"/>
      <c r="J23" s="120"/>
    </row>
    <row r="24" spans="1:10">
      <c r="A24" s="455"/>
      <c r="B24" s="455"/>
      <c r="C24" s="455"/>
      <c r="D24" s="455"/>
      <c r="E24" s="455"/>
      <c r="F24" s="455"/>
      <c r="G24" s="489" t="s">
        <v>1628</v>
      </c>
      <c r="H24" s="370">
        <v>15000</v>
      </c>
      <c r="I24" s="119"/>
      <c r="J24" s="120"/>
    </row>
    <row r="25" spans="1:10">
      <c r="A25" s="455"/>
      <c r="B25" s="455"/>
      <c r="C25" s="455"/>
      <c r="D25" s="455"/>
      <c r="E25" s="120"/>
      <c r="F25" s="455"/>
      <c r="G25" s="489" t="s">
        <v>1637</v>
      </c>
      <c r="H25" s="370">
        <v>681520</v>
      </c>
      <c r="I25" s="119"/>
      <c r="J25" s="120"/>
    </row>
    <row r="26" spans="1:10">
      <c r="A26" s="455"/>
      <c r="B26" s="455"/>
      <c r="C26" s="455"/>
      <c r="D26" s="455"/>
      <c r="E26" s="120"/>
      <c r="F26" s="455"/>
      <c r="G26" s="489" t="s">
        <v>1639</v>
      </c>
      <c r="H26" s="370">
        <v>5000000</v>
      </c>
      <c r="I26" s="119"/>
      <c r="J26" s="120"/>
    </row>
    <row r="27" spans="1:10">
      <c r="A27" s="455"/>
      <c r="B27" s="455"/>
      <c r="C27" s="455"/>
      <c r="D27" s="455"/>
      <c r="E27" s="120"/>
      <c r="F27" s="455"/>
      <c r="G27" s="446"/>
      <c r="H27" s="446"/>
      <c r="I27" s="119"/>
      <c r="J27" s="120"/>
    </row>
    <row r="28" spans="1:10">
      <c r="A28" s="68"/>
      <c r="B28" s="69"/>
      <c r="C28" s="69"/>
      <c r="D28" s="69"/>
      <c r="E28" s="69"/>
      <c r="F28" s="69"/>
      <c r="G28" s="119"/>
      <c r="H28" s="120"/>
      <c r="I28" s="68"/>
      <c r="J28" s="69"/>
    </row>
    <row r="29" spans="1:10">
      <c r="A29" s="70"/>
      <c r="B29" s="371">
        <f>SUM(B4:B21)</f>
        <v>13518000</v>
      </c>
      <c r="C29" s="71">
        <f>SUM(C4:C21)</f>
        <v>0</v>
      </c>
      <c r="D29" s="71">
        <f>SUM(D4:D22)</f>
        <v>2400000</v>
      </c>
      <c r="E29" s="71">
        <f>SUM(E4:E21)</f>
        <v>0</v>
      </c>
      <c r="F29" s="371">
        <f>SUM(F4:F28)</f>
        <v>7038000</v>
      </c>
      <c r="G29" s="71">
        <f>SUM(G4:G21)</f>
        <v>0</v>
      </c>
      <c r="H29" s="71">
        <f>SUM(H4:H28)</f>
        <v>45826020</v>
      </c>
      <c r="I29" s="71">
        <f>SUM(I4:I21)</f>
        <v>0</v>
      </c>
      <c r="J29" s="371">
        <f>SUM(J4:J21)</f>
        <v>1855500</v>
      </c>
    </row>
    <row r="30" spans="1:10">
      <c r="C30" t="s">
        <v>1471</v>
      </c>
      <c r="D30" s="77">
        <v>100000</v>
      </c>
      <c r="H30" s="77"/>
    </row>
    <row r="31" spans="1:10">
      <c r="D31" s="77">
        <v>100000</v>
      </c>
      <c r="H31" s="77"/>
    </row>
    <row r="32" spans="1:10">
      <c r="B32" s="77">
        <v>15108000</v>
      </c>
      <c r="H32" s="77"/>
    </row>
    <row r="33" spans="2:10">
      <c r="D33" s="77">
        <f>+D29-D30-D31</f>
        <v>2200000</v>
      </c>
      <c r="H33" s="77"/>
    </row>
    <row r="34" spans="2:10">
      <c r="B34" s="77">
        <f>+B32-B29</f>
        <v>1590000</v>
      </c>
      <c r="G34" s="279"/>
      <c r="H34" s="487">
        <f>+H16+H17+H18+H20</f>
        <v>5113000</v>
      </c>
    </row>
    <row r="35" spans="2:10">
      <c r="H35" s="72"/>
      <c r="J35" s="72"/>
    </row>
    <row r="36" spans="2:10">
      <c r="H36" s="72"/>
    </row>
    <row r="37" spans="2:10">
      <c r="H37" s="72"/>
      <c r="J37" s="72"/>
    </row>
    <row r="38" spans="2:10">
      <c r="D38" s="77">
        <f>+B29+D29+F29+H29+J29</f>
        <v>70637520</v>
      </c>
      <c r="H38" s="72"/>
    </row>
    <row r="39" spans="2:10">
      <c r="D39" s="77">
        <v>70637000</v>
      </c>
      <c r="H39" s="72"/>
    </row>
    <row r="40" spans="2:10">
      <c r="H40" s="72"/>
    </row>
    <row r="41" spans="2:10">
      <c r="G41" s="456"/>
      <c r="H41" s="72"/>
    </row>
    <row r="42" spans="2:10">
      <c r="H42" s="72"/>
    </row>
    <row r="43" spans="2:10">
      <c r="H43" s="72"/>
    </row>
    <row r="44" spans="2:10">
      <c r="H44" s="72"/>
    </row>
    <row r="45" spans="2:10">
      <c r="H45" s="72"/>
    </row>
  </sheetData>
  <mergeCells count="1">
    <mergeCell ref="G3:H3"/>
  </mergeCells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5D1B-2D9F-4B3E-BBA9-C685ADE3E09F}">
  <dimension ref="A1:U109"/>
  <sheetViews>
    <sheetView tabSelected="1" topLeftCell="D1" workbookViewId="0">
      <selection activeCell="L24" sqref="L24"/>
    </sheetView>
  </sheetViews>
  <sheetFormatPr defaultRowHeight="15"/>
  <cols>
    <col min="1" max="1" width="4.7109375" customWidth="1"/>
    <col min="3" max="3" width="54.28515625" customWidth="1"/>
    <col min="4" max="4" width="12.5703125" style="175" bestFit="1" customWidth="1"/>
    <col min="5" max="5" width="6.85546875" customWidth="1"/>
    <col min="6" max="6" width="6.28515625" bestFit="1" customWidth="1"/>
    <col min="7" max="7" width="6" bestFit="1" customWidth="1"/>
    <col min="8" max="8" width="12" bestFit="1" customWidth="1"/>
    <col min="10" max="10" width="4.7109375" customWidth="1"/>
    <col min="12" max="12" width="54.28515625" customWidth="1"/>
    <col min="13" max="13" width="12.5703125" style="175" bestFit="1" customWidth="1"/>
    <col min="14" max="14" width="6.85546875" customWidth="1"/>
    <col min="15" max="15" width="6.28515625" bestFit="1" customWidth="1"/>
    <col min="16" max="16" width="6" bestFit="1" customWidth="1"/>
    <col min="17" max="17" width="12" bestFit="1" customWidth="1"/>
    <col min="18" max="18" width="10.5703125" style="77" bestFit="1" customWidth="1"/>
    <col min="21" max="21" width="12.5703125" style="77" bestFit="1" customWidth="1"/>
  </cols>
  <sheetData>
    <row r="1" spans="1:17" ht="15.75">
      <c r="A1" s="347" t="s">
        <v>0</v>
      </c>
      <c r="B1" s="2"/>
      <c r="C1" s="3"/>
      <c r="D1" s="3"/>
      <c r="E1" s="3"/>
      <c r="F1" s="3"/>
      <c r="G1" s="3"/>
      <c r="H1" s="3"/>
      <c r="J1" s="347" t="s">
        <v>0</v>
      </c>
      <c r="K1" s="2"/>
      <c r="L1" s="3"/>
      <c r="M1" s="3"/>
      <c r="N1" s="3"/>
      <c r="O1" s="3"/>
      <c r="P1" s="3"/>
      <c r="Q1" s="3"/>
    </row>
    <row r="2" spans="1:17" ht="15.75">
      <c r="A2" s="347" t="s">
        <v>1640</v>
      </c>
      <c r="B2" s="2"/>
      <c r="C2" s="3"/>
      <c r="D2" s="3"/>
      <c r="E2" s="3"/>
      <c r="F2" s="3"/>
      <c r="G2" s="3"/>
      <c r="H2" s="3"/>
      <c r="J2" s="347" t="s">
        <v>1640</v>
      </c>
      <c r="K2" s="2"/>
      <c r="L2" s="3"/>
      <c r="M2" s="3"/>
      <c r="N2" s="3"/>
      <c r="O2" s="3"/>
      <c r="P2" s="3"/>
      <c r="Q2" s="3"/>
    </row>
    <row r="3" spans="1:17">
      <c r="A3" s="550" t="s">
        <v>1</v>
      </c>
      <c r="B3" s="550"/>
      <c r="C3" s="550"/>
      <c r="D3" s="550"/>
      <c r="E3" s="550"/>
      <c r="F3" s="550"/>
      <c r="G3" s="550"/>
      <c r="H3" s="550"/>
      <c r="J3" s="550" t="s">
        <v>1</v>
      </c>
      <c r="K3" s="550"/>
      <c r="L3" s="550"/>
      <c r="M3" s="550"/>
      <c r="N3" s="550"/>
      <c r="O3" s="550"/>
      <c r="P3" s="550"/>
      <c r="Q3" s="550"/>
    </row>
    <row r="4" spans="1:17">
      <c r="A4" s="473"/>
      <c r="B4" s="44"/>
      <c r="C4" s="46" t="s">
        <v>2</v>
      </c>
      <c r="D4" s="507">
        <v>83639000</v>
      </c>
      <c r="E4" s="46"/>
      <c r="F4" s="46"/>
      <c r="G4" s="46"/>
      <c r="H4" s="46"/>
      <c r="J4" s="473"/>
      <c r="K4" s="44"/>
      <c r="L4" s="46" t="s">
        <v>2</v>
      </c>
      <c r="M4" s="507">
        <v>83639000</v>
      </c>
      <c r="N4" s="46"/>
      <c r="O4" s="46"/>
      <c r="P4" s="46"/>
      <c r="Q4" s="46"/>
    </row>
    <row r="5" spans="1:17">
      <c r="A5" s="473"/>
      <c r="B5" s="44"/>
      <c r="C5" s="46" t="s">
        <v>590</v>
      </c>
      <c r="D5" s="46">
        <v>0</v>
      </c>
      <c r="E5" s="46"/>
      <c r="F5" s="46"/>
      <c r="G5" s="46"/>
      <c r="H5" s="46"/>
      <c r="J5" s="473"/>
      <c r="K5" s="44"/>
      <c r="L5" s="46" t="s">
        <v>590</v>
      </c>
      <c r="M5" s="46">
        <v>0</v>
      </c>
      <c r="N5" s="46"/>
      <c r="O5" s="46"/>
      <c r="P5" s="46"/>
      <c r="Q5" s="46"/>
    </row>
    <row r="6" spans="1:17">
      <c r="A6" s="473"/>
      <c r="B6" s="44"/>
      <c r="C6" s="46" t="s">
        <v>3</v>
      </c>
      <c r="D6" s="46">
        <v>0</v>
      </c>
      <c r="E6" s="46"/>
      <c r="F6" s="46"/>
      <c r="G6" s="46"/>
      <c r="H6" s="46"/>
      <c r="J6" s="473"/>
      <c r="K6" s="44"/>
      <c r="L6" s="46" t="s">
        <v>3</v>
      </c>
      <c r="M6" s="46">
        <v>0</v>
      </c>
      <c r="N6" s="46"/>
      <c r="O6" s="46"/>
      <c r="P6" s="46"/>
      <c r="Q6" s="46"/>
    </row>
    <row r="7" spans="1:17">
      <c r="A7" s="473"/>
      <c r="B7" s="44"/>
      <c r="C7" s="46" t="s">
        <v>4</v>
      </c>
      <c r="D7" s="508">
        <v>1139810</v>
      </c>
      <c r="E7" s="46"/>
      <c r="F7" s="46"/>
      <c r="G7" s="46"/>
      <c r="H7" s="46"/>
      <c r="J7" s="473"/>
      <c r="K7" s="44"/>
      <c r="L7" s="46" t="s">
        <v>4</v>
      </c>
      <c r="M7" s="508">
        <v>1139810</v>
      </c>
      <c r="N7" s="46"/>
      <c r="O7" s="46"/>
      <c r="P7" s="46"/>
      <c r="Q7" s="46"/>
    </row>
    <row r="8" spans="1:17">
      <c r="A8" s="473"/>
      <c r="B8" s="44"/>
      <c r="C8" s="46" t="s">
        <v>5</v>
      </c>
      <c r="D8" s="46">
        <v>1146153</v>
      </c>
      <c r="E8" s="46"/>
      <c r="F8" s="46"/>
      <c r="G8" s="46"/>
      <c r="H8" s="46"/>
      <c r="J8" s="473"/>
      <c r="K8" s="44"/>
      <c r="L8" s="46" t="s">
        <v>5</v>
      </c>
      <c r="M8" s="46">
        <v>1146153</v>
      </c>
      <c r="N8" s="46"/>
      <c r="O8" s="46"/>
      <c r="P8" s="46"/>
      <c r="Q8" s="46"/>
    </row>
    <row r="9" spans="1:17">
      <c r="A9" s="473"/>
      <c r="B9" s="44"/>
      <c r="C9" s="46" t="s">
        <v>6</v>
      </c>
      <c r="D9" s="46">
        <v>3297735.5133333281</v>
      </c>
      <c r="E9" s="46"/>
      <c r="F9" s="46"/>
      <c r="G9" s="46"/>
      <c r="H9" s="46"/>
      <c r="J9" s="473"/>
      <c r="K9" s="44"/>
      <c r="L9" s="46" t="s">
        <v>6</v>
      </c>
      <c r="M9" s="46">
        <v>3297735.5133333281</v>
      </c>
      <c r="N9" s="46"/>
      <c r="O9" s="46"/>
      <c r="P9" s="46"/>
      <c r="Q9" s="46"/>
    </row>
    <row r="10" spans="1:17">
      <c r="A10" s="473"/>
      <c r="B10" s="44"/>
      <c r="C10" s="46" t="s">
        <v>7</v>
      </c>
      <c r="D10" s="46">
        <v>2363662</v>
      </c>
      <c r="E10" s="46"/>
      <c r="F10" s="46"/>
      <c r="G10" s="46"/>
      <c r="H10" s="46"/>
      <c r="J10" s="473"/>
      <c r="K10" s="44"/>
      <c r="L10" s="46" t="s">
        <v>7</v>
      </c>
      <c r="M10" s="46">
        <v>2363662</v>
      </c>
      <c r="N10" s="46"/>
      <c r="O10" s="46"/>
      <c r="P10" s="46"/>
      <c r="Q10" s="46"/>
    </row>
    <row r="11" spans="1:17">
      <c r="A11" s="473"/>
      <c r="B11" s="44"/>
      <c r="C11" s="46"/>
      <c r="D11" s="46"/>
      <c r="E11" s="46"/>
      <c r="F11" s="46"/>
      <c r="G11" s="46"/>
      <c r="H11" s="46"/>
      <c r="J11" s="473"/>
      <c r="K11" s="44"/>
      <c r="L11" s="46"/>
      <c r="M11" s="46"/>
      <c r="N11" s="46"/>
      <c r="O11" s="46"/>
      <c r="P11" s="46"/>
      <c r="Q11" s="46"/>
    </row>
    <row r="12" spans="1:17">
      <c r="A12" s="547" t="s">
        <v>1071</v>
      </c>
      <c r="B12" s="547"/>
      <c r="C12" s="547"/>
      <c r="D12" s="547"/>
      <c r="E12" s="547"/>
      <c r="F12" s="547"/>
      <c r="G12" s="547"/>
      <c r="H12" s="48">
        <f>SUM(D4:D10)</f>
        <v>91586360.513333321</v>
      </c>
      <c r="J12" s="547" t="s">
        <v>1071</v>
      </c>
      <c r="K12" s="547"/>
      <c r="L12" s="547"/>
      <c r="M12" s="547"/>
      <c r="N12" s="547"/>
      <c r="O12" s="547"/>
      <c r="P12" s="547"/>
      <c r="Q12" s="48">
        <f>SUM(M4:M10)</f>
        <v>91586360.513333321</v>
      </c>
    </row>
    <row r="13" spans="1:17">
      <c r="A13" s="551" t="s">
        <v>8</v>
      </c>
      <c r="B13" s="551"/>
      <c r="C13" s="551"/>
      <c r="D13" s="551"/>
      <c r="E13" s="551"/>
      <c r="F13" s="551"/>
      <c r="G13" s="551"/>
      <c r="H13" s="551"/>
      <c r="J13" s="551" t="s">
        <v>8</v>
      </c>
      <c r="K13" s="551"/>
      <c r="L13" s="551"/>
      <c r="M13" s="551"/>
      <c r="N13" s="551"/>
      <c r="O13" s="551"/>
      <c r="P13" s="551"/>
      <c r="Q13" s="551"/>
    </row>
    <row r="14" spans="1:17">
      <c r="A14" s="552" t="s">
        <v>9</v>
      </c>
      <c r="B14" s="553" t="s">
        <v>10</v>
      </c>
      <c r="C14" s="554" t="s">
        <v>11</v>
      </c>
      <c r="D14" s="554" t="s">
        <v>12</v>
      </c>
      <c r="E14" s="547" t="s">
        <v>13</v>
      </c>
      <c r="F14" s="547"/>
      <c r="G14" s="547"/>
      <c r="H14" s="547"/>
      <c r="J14" s="552" t="s">
        <v>9</v>
      </c>
      <c r="K14" s="553" t="s">
        <v>10</v>
      </c>
      <c r="L14" s="554" t="s">
        <v>11</v>
      </c>
      <c r="M14" s="554" t="s">
        <v>12</v>
      </c>
      <c r="N14" s="547" t="s">
        <v>13</v>
      </c>
      <c r="O14" s="547"/>
      <c r="P14" s="547"/>
      <c r="Q14" s="547"/>
    </row>
    <row r="15" spans="1:17">
      <c r="A15" s="552"/>
      <c r="B15" s="553"/>
      <c r="C15" s="554"/>
      <c r="D15" s="554"/>
      <c r="E15" s="510" t="s">
        <v>14</v>
      </c>
      <c r="F15" s="510" t="s">
        <v>15</v>
      </c>
      <c r="G15" s="510" t="s">
        <v>16</v>
      </c>
      <c r="H15" s="510" t="s">
        <v>17</v>
      </c>
      <c r="J15" s="552"/>
      <c r="K15" s="553"/>
      <c r="L15" s="554"/>
      <c r="M15" s="554"/>
      <c r="N15" s="514" t="s">
        <v>14</v>
      </c>
      <c r="O15" s="514" t="s">
        <v>15</v>
      </c>
      <c r="P15" s="514" t="s">
        <v>16</v>
      </c>
      <c r="Q15" s="514" t="s">
        <v>17</v>
      </c>
    </row>
    <row r="16" spans="1:17">
      <c r="A16" s="476"/>
      <c r="B16" s="477" t="s">
        <v>1214</v>
      </c>
      <c r="C16" s="119" t="s">
        <v>1215</v>
      </c>
      <c r="D16" s="120">
        <v>1600000</v>
      </c>
      <c r="E16" s="469"/>
      <c r="F16" s="469"/>
      <c r="G16" s="469"/>
      <c r="H16" s="469"/>
      <c r="J16" s="476"/>
      <c r="K16" s="477" t="s">
        <v>1214</v>
      </c>
      <c r="L16" s="119" t="s">
        <v>1215</v>
      </c>
      <c r="M16" s="120"/>
      <c r="N16" s="469"/>
      <c r="O16" s="469"/>
      <c r="P16" s="469"/>
      <c r="Q16" s="469"/>
    </row>
    <row r="17" spans="1:18">
      <c r="A17" s="476"/>
      <c r="B17" s="477" t="s">
        <v>1347</v>
      </c>
      <c r="C17" s="119" t="s">
        <v>1349</v>
      </c>
      <c r="D17" s="120">
        <f>60000*7</f>
        <v>420000</v>
      </c>
      <c r="E17" s="469"/>
      <c r="F17" s="469"/>
      <c r="G17" s="469"/>
      <c r="H17" s="469"/>
      <c r="J17" s="476"/>
      <c r="K17" s="477" t="s">
        <v>1347</v>
      </c>
      <c r="L17" s="119" t="s">
        <v>1349</v>
      </c>
      <c r="M17" s="120"/>
      <c r="N17" s="469"/>
      <c r="O17" s="469"/>
      <c r="P17" s="469"/>
      <c r="Q17" s="469"/>
    </row>
    <row r="18" spans="1:18">
      <c r="A18" s="476"/>
      <c r="B18" s="477" t="s">
        <v>1347</v>
      </c>
      <c r="C18" s="119" t="s">
        <v>1348</v>
      </c>
      <c r="D18" s="120">
        <f>300000*7</f>
        <v>2100000</v>
      </c>
      <c r="E18" s="469"/>
      <c r="F18" s="469"/>
      <c r="G18" s="469"/>
      <c r="H18" s="469"/>
      <c r="J18" s="476"/>
      <c r="K18" s="477" t="s">
        <v>1347</v>
      </c>
      <c r="L18" s="119" t="s">
        <v>1348</v>
      </c>
      <c r="M18" s="120"/>
      <c r="N18" s="469"/>
      <c r="O18" s="469"/>
      <c r="P18" s="469"/>
      <c r="Q18" s="469"/>
    </row>
    <row r="19" spans="1:18">
      <c r="A19" s="476"/>
      <c r="B19" s="477" t="s">
        <v>1432</v>
      </c>
      <c r="C19" s="119" t="s">
        <v>1433</v>
      </c>
      <c r="D19" s="120">
        <v>504000</v>
      </c>
      <c r="E19" s="469"/>
      <c r="F19" s="469"/>
      <c r="G19" s="469"/>
      <c r="H19" s="469"/>
      <c r="J19" s="476"/>
      <c r="K19" s="477" t="s">
        <v>1432</v>
      </c>
      <c r="L19" s="119" t="s">
        <v>1433</v>
      </c>
      <c r="M19" s="120"/>
      <c r="N19" s="469"/>
      <c r="O19" s="469"/>
      <c r="P19" s="469"/>
      <c r="Q19" s="469"/>
    </row>
    <row r="20" spans="1:18">
      <c r="A20" s="476"/>
      <c r="B20" s="477" t="s">
        <v>1444</v>
      </c>
      <c r="C20" s="119" t="s">
        <v>1465</v>
      </c>
      <c r="D20" s="120">
        <v>2000000</v>
      </c>
      <c r="E20" s="469"/>
      <c r="F20" s="469"/>
      <c r="G20" s="469"/>
      <c r="H20" s="469"/>
      <c r="J20" s="476"/>
      <c r="K20" s="477" t="s">
        <v>1444</v>
      </c>
      <c r="L20" s="119" t="s">
        <v>1465</v>
      </c>
      <c r="M20" s="120"/>
      <c r="N20" s="469"/>
      <c r="O20" s="469"/>
      <c r="P20" s="469"/>
      <c r="Q20" s="469"/>
    </row>
    <row r="21" spans="1:18">
      <c r="A21" s="476"/>
      <c r="B21" s="477" t="s">
        <v>1634</v>
      </c>
      <c r="C21" s="119" t="s">
        <v>1630</v>
      </c>
      <c r="D21" s="120">
        <f>120000*6</f>
        <v>720000</v>
      </c>
      <c r="E21" s="469"/>
      <c r="F21" s="469"/>
      <c r="G21" s="469"/>
      <c r="H21" s="469"/>
      <c r="J21" s="476"/>
      <c r="K21" s="477" t="s">
        <v>1634</v>
      </c>
      <c r="L21" s="119" t="s">
        <v>1630</v>
      </c>
      <c r="M21" s="120">
        <f>120000*6</f>
        <v>720000</v>
      </c>
      <c r="N21" s="469"/>
      <c r="O21" s="469"/>
      <c r="P21" s="469"/>
      <c r="Q21" s="469"/>
    </row>
    <row r="22" spans="1:18">
      <c r="A22" s="476"/>
      <c r="B22" s="477" t="s">
        <v>1634</v>
      </c>
      <c r="C22" s="119" t="s">
        <v>1006</v>
      </c>
      <c r="D22" s="120">
        <v>200000</v>
      </c>
      <c r="E22" s="469"/>
      <c r="F22" s="469"/>
      <c r="G22" s="469"/>
      <c r="H22" s="469"/>
      <c r="J22" s="476"/>
      <c r="K22" s="477" t="s">
        <v>1634</v>
      </c>
      <c r="L22" s="119" t="s">
        <v>1006</v>
      </c>
      <c r="M22" s="120">
        <v>200000</v>
      </c>
      <c r="N22" s="469"/>
      <c r="O22" s="469"/>
      <c r="P22" s="469"/>
      <c r="Q22" s="469"/>
    </row>
    <row r="23" spans="1:18">
      <c r="A23" s="476"/>
      <c r="B23" s="477" t="s">
        <v>1641</v>
      </c>
      <c r="C23" s="119" t="s">
        <v>993</v>
      </c>
      <c r="D23" s="120">
        <f>48000+16000</f>
        <v>64000</v>
      </c>
      <c r="E23" s="469"/>
      <c r="F23" s="469"/>
      <c r="G23" s="469"/>
      <c r="H23" s="469"/>
      <c r="J23" s="476"/>
      <c r="K23" s="477" t="s">
        <v>1641</v>
      </c>
      <c r="L23" s="119" t="s">
        <v>993</v>
      </c>
      <c r="M23" s="120">
        <f>48000+16000</f>
        <v>64000</v>
      </c>
      <c r="N23" s="469"/>
      <c r="O23" s="469"/>
      <c r="P23" s="469"/>
      <c r="Q23" s="469"/>
    </row>
    <row r="24" spans="1:18">
      <c r="A24" s="476"/>
      <c r="B24" s="477"/>
      <c r="C24" s="119" t="s">
        <v>1642</v>
      </c>
      <c r="D24" s="120">
        <v>204600</v>
      </c>
      <c r="E24" s="469"/>
      <c r="F24" s="469"/>
      <c r="G24" s="469"/>
      <c r="H24" s="469"/>
      <c r="J24" s="476"/>
      <c r="K24" s="477"/>
      <c r="L24" s="119" t="s">
        <v>1642</v>
      </c>
      <c r="M24" s="120">
        <v>204600</v>
      </c>
      <c r="N24" s="469"/>
      <c r="O24" s="469"/>
      <c r="P24" s="469"/>
      <c r="Q24" s="469"/>
    </row>
    <row r="25" spans="1:18">
      <c r="A25" s="478"/>
      <c r="B25" s="477"/>
      <c r="C25" s="510" t="s">
        <v>20</v>
      </c>
      <c r="D25" s="48">
        <f>SUM(D16:D24)</f>
        <v>7812600</v>
      </c>
      <c r="E25" s="48"/>
      <c r="F25" s="48"/>
      <c r="G25" s="48"/>
      <c r="H25" s="48"/>
      <c r="J25" s="478"/>
      <c r="K25" s="477"/>
      <c r="L25" s="514" t="s">
        <v>20</v>
      </c>
      <c r="M25" s="48">
        <f>SUM(M16:M24)</f>
        <v>1188600</v>
      </c>
      <c r="N25" s="48"/>
      <c r="O25" s="48"/>
      <c r="P25" s="48"/>
      <c r="Q25" s="48"/>
    </row>
    <row r="26" spans="1:18">
      <c r="A26" s="479"/>
      <c r="B26" s="510"/>
      <c r="C26" s="513" t="s">
        <v>21</v>
      </c>
      <c r="D26" s="512"/>
      <c r="E26" s="512"/>
      <c r="F26" s="512"/>
      <c r="G26" s="512"/>
      <c r="H26" s="42">
        <f>+D25</f>
        <v>7812600</v>
      </c>
      <c r="J26" s="479"/>
      <c r="K26" s="514"/>
      <c r="L26" s="518" t="s">
        <v>21</v>
      </c>
      <c r="M26" s="517"/>
      <c r="N26" s="517"/>
      <c r="O26" s="517"/>
      <c r="P26" s="517"/>
      <c r="Q26" s="42">
        <f>+M25</f>
        <v>1188600</v>
      </c>
    </row>
    <row r="27" spans="1:18">
      <c r="A27" s="549" t="s">
        <v>22</v>
      </c>
      <c r="B27" s="549"/>
      <c r="C27" s="549"/>
      <c r="D27" s="549"/>
      <c r="E27" s="549">
        <f>+H26</f>
        <v>7812600</v>
      </c>
      <c r="F27" s="549"/>
      <c r="G27" s="549"/>
      <c r="H27" s="549"/>
      <c r="J27" s="549" t="s">
        <v>22</v>
      </c>
      <c r="K27" s="549"/>
      <c r="L27" s="549"/>
      <c r="M27" s="549"/>
      <c r="N27" s="549">
        <f>+Q26</f>
        <v>1188600</v>
      </c>
      <c r="O27" s="549"/>
      <c r="P27" s="549"/>
      <c r="Q27" s="549"/>
      <c r="R27" s="77">
        <f>+P27*Q27</f>
        <v>0</v>
      </c>
    </row>
    <row r="28" spans="1:18">
      <c r="A28" s="546" t="s">
        <v>23</v>
      </c>
      <c r="B28" s="546"/>
      <c r="C28" s="546"/>
      <c r="D28" s="546"/>
      <c r="E28" s="546"/>
      <c r="F28" s="546"/>
      <c r="G28" s="546"/>
      <c r="H28" s="546"/>
      <c r="J28" s="546" t="s">
        <v>23</v>
      </c>
      <c r="K28" s="546"/>
      <c r="L28" s="546"/>
      <c r="M28" s="546"/>
      <c r="N28" s="546"/>
      <c r="O28" s="546"/>
      <c r="P28" s="546"/>
      <c r="Q28" s="546"/>
      <c r="R28" s="77">
        <f>+P28*Q28</f>
        <v>0</v>
      </c>
    </row>
    <row r="29" spans="1:18">
      <c r="A29" s="476"/>
      <c r="B29" s="470" t="s">
        <v>1643</v>
      </c>
      <c r="C29" s="120" t="s">
        <v>1508</v>
      </c>
      <c r="D29" s="455">
        <v>200000</v>
      </c>
      <c r="E29" s="446"/>
      <c r="F29" s="446"/>
      <c r="G29" s="469"/>
      <c r="H29" s="469"/>
      <c r="J29" s="476"/>
      <c r="K29" s="470" t="s">
        <v>1643</v>
      </c>
      <c r="L29" s="120" t="s">
        <v>1508</v>
      </c>
      <c r="M29" s="455">
        <v>200000</v>
      </c>
      <c r="N29" s="446"/>
      <c r="O29" s="446"/>
      <c r="P29" s="469"/>
      <c r="Q29" s="469"/>
    </row>
    <row r="30" spans="1:18">
      <c r="A30" s="476"/>
      <c r="B30" s="470" t="s">
        <v>1644</v>
      </c>
      <c r="C30" s="120" t="s">
        <v>1469</v>
      </c>
      <c r="D30" s="455">
        <v>130000</v>
      </c>
      <c r="E30" s="446"/>
      <c r="F30" s="446"/>
      <c r="G30" s="469"/>
      <c r="H30" s="469"/>
      <c r="J30" s="476"/>
      <c r="K30" s="470" t="s">
        <v>1644</v>
      </c>
      <c r="L30" s="120" t="s">
        <v>1469</v>
      </c>
      <c r="M30" s="455">
        <v>130000</v>
      </c>
      <c r="N30" s="446"/>
      <c r="O30" s="446"/>
      <c r="P30" s="469"/>
      <c r="Q30" s="469"/>
    </row>
    <row r="31" spans="1:18">
      <c r="A31" s="476"/>
      <c r="B31" s="470" t="s">
        <v>1645</v>
      </c>
      <c r="C31" s="120" t="s">
        <v>1590</v>
      </c>
      <c r="D31" s="455">
        <v>150000</v>
      </c>
      <c r="E31" s="446"/>
      <c r="F31" s="446"/>
      <c r="G31" s="469"/>
      <c r="H31" s="469"/>
      <c r="J31" s="476"/>
      <c r="K31" s="470" t="s">
        <v>1645</v>
      </c>
      <c r="L31" s="120" t="s">
        <v>1590</v>
      </c>
      <c r="M31" s="455">
        <v>150000</v>
      </c>
      <c r="N31" s="446"/>
      <c r="O31" s="446"/>
      <c r="P31" s="469"/>
      <c r="Q31" s="469"/>
      <c r="R31" s="77">
        <f>SUM(R27:R30)</f>
        <v>0</v>
      </c>
    </row>
    <row r="32" spans="1:18">
      <c r="A32" s="476"/>
      <c r="B32" s="470"/>
      <c r="C32" s="120" t="s">
        <v>1674</v>
      </c>
      <c r="D32" s="455">
        <v>325000</v>
      </c>
      <c r="E32" s="446"/>
      <c r="F32" s="446"/>
      <c r="G32" s="469"/>
      <c r="H32" s="469"/>
      <c r="J32" s="476"/>
      <c r="K32" s="470"/>
      <c r="L32" s="120" t="s">
        <v>1674</v>
      </c>
      <c r="M32" s="455">
        <v>325000</v>
      </c>
      <c r="N32" s="446"/>
      <c r="O32" s="446"/>
      <c r="P32" s="469"/>
      <c r="Q32" s="469"/>
      <c r="R32" s="77">
        <v>3965000</v>
      </c>
    </row>
    <row r="33" spans="1:21">
      <c r="A33" s="476"/>
      <c r="B33" s="470"/>
      <c r="C33" s="120"/>
      <c r="D33" s="455"/>
      <c r="E33" s="446"/>
      <c r="F33" s="446"/>
      <c r="G33" s="469"/>
      <c r="H33" s="469"/>
      <c r="J33" s="476"/>
      <c r="K33" s="470"/>
      <c r="L33" s="120"/>
      <c r="M33" s="455"/>
      <c r="N33" s="446"/>
      <c r="O33" s="446"/>
      <c r="P33" s="469"/>
      <c r="Q33" s="469"/>
    </row>
    <row r="34" spans="1:21">
      <c r="A34" s="482"/>
      <c r="B34" s="477"/>
      <c r="C34" s="471" t="s">
        <v>24</v>
      </c>
      <c r="D34" s="472">
        <f>SUM(D29:D33)</f>
        <v>805000</v>
      </c>
      <c r="E34" s="472"/>
      <c r="F34" s="472"/>
      <c r="G34" s="472"/>
      <c r="H34" s="472"/>
      <c r="J34" s="482"/>
      <c r="K34" s="477"/>
      <c r="L34" s="471" t="s">
        <v>24</v>
      </c>
      <c r="M34" s="472">
        <f>SUM(M29:M33)</f>
        <v>805000</v>
      </c>
      <c r="N34" s="472"/>
      <c r="O34" s="472"/>
      <c r="P34" s="472"/>
      <c r="Q34" s="472"/>
      <c r="R34" s="77">
        <f>+R31+R32</f>
        <v>3965000</v>
      </c>
    </row>
    <row r="35" spans="1:21">
      <c r="A35" s="479"/>
      <c r="B35" s="477"/>
      <c r="C35" s="510" t="s">
        <v>21</v>
      </c>
      <c r="D35" s="48"/>
      <c r="E35" s="547">
        <f>D34</f>
        <v>805000</v>
      </c>
      <c r="F35" s="547"/>
      <c r="G35" s="547"/>
      <c r="H35" s="547"/>
      <c r="J35" s="479"/>
      <c r="K35" s="477"/>
      <c r="L35" s="514" t="s">
        <v>21</v>
      </c>
      <c r="M35" s="48"/>
      <c r="N35" s="547">
        <f>M34</f>
        <v>805000</v>
      </c>
      <c r="O35" s="547"/>
      <c r="P35" s="547"/>
      <c r="Q35" s="547"/>
    </row>
    <row r="36" spans="1:21">
      <c r="A36" s="546" t="s">
        <v>1280</v>
      </c>
      <c r="B36" s="546"/>
      <c r="C36" s="546"/>
      <c r="D36" s="546"/>
      <c r="E36" s="546"/>
      <c r="F36" s="546"/>
      <c r="G36" s="546"/>
      <c r="H36" s="546"/>
      <c r="J36" s="546" t="s">
        <v>1280</v>
      </c>
      <c r="K36" s="546"/>
      <c r="L36" s="546"/>
      <c r="M36" s="546"/>
      <c r="N36" s="546"/>
      <c r="O36" s="546"/>
      <c r="P36" s="546"/>
      <c r="Q36" s="546"/>
    </row>
    <row r="37" spans="1:21">
      <c r="A37" s="476"/>
      <c r="B37" s="455" t="s">
        <v>1391</v>
      </c>
      <c r="C37" s="446" t="s">
        <v>1484</v>
      </c>
      <c r="D37" s="446">
        <v>500000</v>
      </c>
      <c r="E37" s="510"/>
      <c r="F37" s="510"/>
      <c r="G37" s="510"/>
      <c r="H37" s="510"/>
      <c r="J37" s="476"/>
      <c r="K37" s="455" t="s">
        <v>1391</v>
      </c>
      <c r="L37" s="446" t="s">
        <v>1484</v>
      </c>
      <c r="M37" s="446"/>
      <c r="N37" s="514"/>
      <c r="O37" s="514"/>
      <c r="P37" s="514"/>
      <c r="Q37" s="514"/>
    </row>
    <row r="38" spans="1:21">
      <c r="A38" s="476"/>
      <c r="B38" s="455" t="s">
        <v>1391</v>
      </c>
      <c r="C38" s="446" t="s">
        <v>1485</v>
      </c>
      <c r="D38" s="446">
        <v>500000</v>
      </c>
      <c r="E38" s="510"/>
      <c r="F38" s="510"/>
      <c r="G38" s="510"/>
      <c r="H38" s="510"/>
      <c r="J38" s="476"/>
      <c r="K38" s="455" t="s">
        <v>1391</v>
      </c>
      <c r="L38" s="446" t="s">
        <v>1485</v>
      </c>
      <c r="M38" s="446"/>
      <c r="N38" s="514"/>
      <c r="O38" s="514"/>
      <c r="P38" s="514"/>
      <c r="Q38" s="514"/>
    </row>
    <row r="39" spans="1:21">
      <c r="A39" s="476"/>
      <c r="B39" s="455" t="s">
        <v>1391</v>
      </c>
      <c r="C39" s="446" t="s">
        <v>1486</v>
      </c>
      <c r="D39" s="446">
        <v>1500000</v>
      </c>
      <c r="E39" s="510"/>
      <c r="F39" s="510"/>
      <c r="G39" s="510"/>
      <c r="H39" s="510"/>
      <c r="J39" s="476"/>
      <c r="K39" s="455" t="s">
        <v>1391</v>
      </c>
      <c r="L39" s="446" t="s">
        <v>1486</v>
      </c>
      <c r="M39" s="446"/>
      <c r="N39" s="514"/>
      <c r="O39" s="514"/>
      <c r="P39" s="514"/>
      <c r="Q39" s="514"/>
    </row>
    <row r="40" spans="1:21">
      <c r="A40" s="476"/>
      <c r="B40" s="470" t="s">
        <v>1393</v>
      </c>
      <c r="C40" s="446" t="s">
        <v>1506</v>
      </c>
      <c r="D40" s="446">
        <v>11474000</v>
      </c>
      <c r="E40" s="510"/>
      <c r="F40" s="510"/>
      <c r="G40" s="510"/>
      <c r="H40" s="510"/>
      <c r="J40" s="476"/>
      <c r="K40" s="470" t="s">
        <v>1393</v>
      </c>
      <c r="L40" s="446" t="s">
        <v>1506</v>
      </c>
      <c r="M40" s="446"/>
      <c r="N40" s="514"/>
      <c r="O40" s="514"/>
      <c r="P40" s="514"/>
      <c r="Q40" s="514"/>
    </row>
    <row r="41" spans="1:21">
      <c r="A41" s="483"/>
      <c r="B41" s="470" t="s">
        <v>1393</v>
      </c>
      <c r="C41" s="446" t="s">
        <v>1344</v>
      </c>
      <c r="D41" s="67">
        <v>1050000</v>
      </c>
      <c r="E41" s="471"/>
      <c r="F41" s="471"/>
      <c r="G41" s="471"/>
      <c r="H41" s="471"/>
      <c r="J41" s="483"/>
      <c r="K41" s="470" t="s">
        <v>1393</v>
      </c>
      <c r="L41" s="446" t="s">
        <v>1344</v>
      </c>
      <c r="M41" s="67"/>
      <c r="N41" s="471"/>
      <c r="O41" s="471"/>
      <c r="P41" s="471"/>
      <c r="Q41" s="471"/>
    </row>
    <row r="42" spans="1:21">
      <c r="A42" s="483"/>
      <c r="B42" s="455" t="s">
        <v>1597</v>
      </c>
      <c r="C42" s="446" t="s">
        <v>1603</v>
      </c>
      <c r="D42" s="67">
        <v>2000000</v>
      </c>
      <c r="E42" s="471"/>
      <c r="F42" s="471"/>
      <c r="G42" s="471"/>
      <c r="H42" s="471"/>
      <c r="J42" s="483"/>
      <c r="K42" s="455" t="s">
        <v>1597</v>
      </c>
      <c r="L42" s="446" t="s">
        <v>1603</v>
      </c>
      <c r="M42" s="67"/>
      <c r="N42" s="471"/>
      <c r="O42" s="471"/>
      <c r="P42" s="471"/>
      <c r="Q42" s="471"/>
      <c r="U42" s="77">
        <v>128900000</v>
      </c>
    </row>
    <row r="43" spans="1:21">
      <c r="A43" s="483"/>
      <c r="B43" s="455" t="s">
        <v>1597</v>
      </c>
      <c r="C43" s="446" t="s">
        <v>1604</v>
      </c>
      <c r="D43" s="67">
        <v>1100000</v>
      </c>
      <c r="E43" s="471"/>
      <c r="F43" s="471"/>
      <c r="G43" s="471"/>
      <c r="H43" s="471"/>
      <c r="J43" s="483"/>
      <c r="K43" s="455" t="s">
        <v>1597</v>
      </c>
      <c r="L43" s="446" t="s">
        <v>1604</v>
      </c>
      <c r="M43" s="67"/>
      <c r="N43" s="471"/>
      <c r="O43" s="471"/>
      <c r="P43" s="471"/>
      <c r="Q43" s="471"/>
      <c r="U43" s="77">
        <v>1000000</v>
      </c>
    </row>
    <row r="44" spans="1:21">
      <c r="A44" s="483"/>
      <c r="B44" s="455" t="s">
        <v>1597</v>
      </c>
      <c r="C44" s="446" t="s">
        <v>1680</v>
      </c>
      <c r="D44" s="67">
        <v>10000000</v>
      </c>
      <c r="E44" s="471"/>
      <c r="F44" s="471"/>
      <c r="G44" s="471"/>
      <c r="H44" s="471"/>
      <c r="J44" s="483"/>
      <c r="K44" s="455" t="s">
        <v>1597</v>
      </c>
      <c r="L44" s="446" t="s">
        <v>1680</v>
      </c>
      <c r="M44" s="67"/>
      <c r="N44" s="471"/>
      <c r="O44" s="471"/>
      <c r="P44" s="471"/>
      <c r="Q44" s="471"/>
    </row>
    <row r="45" spans="1:21">
      <c r="A45" s="483"/>
      <c r="B45" s="455" t="s">
        <v>1597</v>
      </c>
      <c r="C45" s="446" t="s">
        <v>1681</v>
      </c>
      <c r="D45" s="67">
        <v>300000</v>
      </c>
      <c r="E45" s="471"/>
      <c r="F45" s="471"/>
      <c r="G45" s="471"/>
      <c r="H45" s="471"/>
      <c r="J45" s="483"/>
      <c r="K45" s="455" t="s">
        <v>1597</v>
      </c>
      <c r="L45" s="446" t="s">
        <v>1681</v>
      </c>
      <c r="M45" s="67"/>
      <c r="N45" s="471"/>
      <c r="O45" s="471"/>
      <c r="P45" s="471"/>
      <c r="Q45" s="471"/>
    </row>
    <row r="46" spans="1:21">
      <c r="A46" s="483"/>
      <c r="B46" s="455" t="s">
        <v>1646</v>
      </c>
      <c r="C46" s="446" t="s">
        <v>1647</v>
      </c>
      <c r="D46" s="67">
        <v>3000000</v>
      </c>
      <c r="E46" s="471"/>
      <c r="F46" s="471"/>
      <c r="G46" s="471"/>
      <c r="H46" s="471"/>
      <c r="J46" s="483"/>
      <c r="K46" s="455" t="s">
        <v>1646</v>
      </c>
      <c r="L46" s="446" t="s">
        <v>1647</v>
      </c>
      <c r="M46" s="67">
        <v>3000000</v>
      </c>
      <c r="N46" s="471"/>
      <c r="O46" s="471"/>
      <c r="P46" s="471"/>
      <c r="Q46" s="471"/>
      <c r="U46" s="77">
        <f>+U42+U43</f>
        <v>129900000</v>
      </c>
    </row>
    <row r="47" spans="1:21">
      <c r="A47" s="483"/>
      <c r="B47" s="455" t="s">
        <v>1646</v>
      </c>
      <c r="C47" s="446" t="s">
        <v>1675</v>
      </c>
      <c r="D47" s="67">
        <v>8070000</v>
      </c>
      <c r="E47" s="471"/>
      <c r="F47" s="471"/>
      <c r="G47" s="471"/>
      <c r="H47" s="471"/>
      <c r="J47" s="483"/>
      <c r="K47" s="455" t="s">
        <v>1646</v>
      </c>
      <c r="L47" s="446" t="s">
        <v>1675</v>
      </c>
      <c r="M47" s="67">
        <v>8070000</v>
      </c>
      <c r="N47" s="471"/>
      <c r="O47" s="471"/>
      <c r="P47" s="471"/>
      <c r="Q47" s="471"/>
    </row>
    <row r="48" spans="1:21">
      <c r="A48" s="483"/>
      <c r="B48" s="455" t="s">
        <v>1646</v>
      </c>
      <c r="C48" s="446" t="s">
        <v>1648</v>
      </c>
      <c r="D48" s="67">
        <v>40000000</v>
      </c>
      <c r="E48" s="471"/>
      <c r="F48" s="471"/>
      <c r="G48" s="471"/>
      <c r="H48" s="471"/>
      <c r="J48" s="483"/>
      <c r="K48" s="455" t="s">
        <v>1646</v>
      </c>
      <c r="L48" s="446" t="s">
        <v>1648</v>
      </c>
      <c r="M48" s="67">
        <v>10000000</v>
      </c>
      <c r="N48" s="471"/>
      <c r="O48" s="471"/>
      <c r="P48" s="471"/>
      <c r="Q48" s="471"/>
    </row>
    <row r="49" spans="1:17">
      <c r="A49" s="483"/>
      <c r="B49" s="455" t="s">
        <v>1646</v>
      </c>
      <c r="C49" s="446" t="s">
        <v>1650</v>
      </c>
      <c r="D49" s="67">
        <v>10000000</v>
      </c>
      <c r="E49" s="471"/>
      <c r="F49" s="471"/>
      <c r="G49" s="471"/>
      <c r="H49" s="471"/>
      <c r="J49" s="483"/>
      <c r="K49" s="455" t="s">
        <v>1646</v>
      </c>
      <c r="L49" s="446" t="s">
        <v>1650</v>
      </c>
      <c r="M49" s="67">
        <v>10000000</v>
      </c>
      <c r="N49" s="471"/>
      <c r="O49" s="471"/>
      <c r="P49" s="471"/>
      <c r="Q49" s="471"/>
    </row>
    <row r="50" spans="1:17">
      <c r="A50" s="483"/>
      <c r="B50" s="455" t="s">
        <v>1646</v>
      </c>
      <c r="C50" s="446" t="s">
        <v>1649</v>
      </c>
      <c r="D50" s="67">
        <v>10000000</v>
      </c>
      <c r="E50" s="471"/>
      <c r="F50" s="471"/>
      <c r="G50" s="471"/>
      <c r="H50" s="471"/>
      <c r="J50" s="483"/>
      <c r="K50" s="455" t="s">
        <v>1646</v>
      </c>
      <c r="L50" s="446" t="s">
        <v>1649</v>
      </c>
      <c r="M50" s="67">
        <v>5000000</v>
      </c>
      <c r="N50" s="471"/>
      <c r="O50" s="471"/>
      <c r="P50" s="471"/>
      <c r="Q50" s="471"/>
    </row>
    <row r="51" spans="1:17">
      <c r="A51" s="483"/>
      <c r="B51" s="455" t="s">
        <v>1646</v>
      </c>
      <c r="C51" s="446" t="s">
        <v>1651</v>
      </c>
      <c r="D51" s="67">
        <v>126000</v>
      </c>
      <c r="E51" s="471"/>
      <c r="F51" s="471"/>
      <c r="G51" s="471"/>
      <c r="H51" s="471"/>
      <c r="J51" s="483"/>
      <c r="K51" s="455" t="s">
        <v>1646</v>
      </c>
      <c r="L51" s="446" t="s">
        <v>1651</v>
      </c>
      <c r="M51" s="67">
        <v>126000</v>
      </c>
      <c r="N51" s="471"/>
      <c r="O51" s="471"/>
      <c r="P51" s="471"/>
      <c r="Q51" s="471"/>
    </row>
    <row r="52" spans="1:17">
      <c r="A52" s="483"/>
      <c r="B52" s="455" t="s">
        <v>1646</v>
      </c>
      <c r="C52" s="446" t="s">
        <v>1121</v>
      </c>
      <c r="D52" s="67">
        <v>450000</v>
      </c>
      <c r="E52" s="471"/>
      <c r="F52" s="471"/>
      <c r="G52" s="471"/>
      <c r="H52" s="471"/>
      <c r="J52" s="483"/>
      <c r="K52" s="455" t="s">
        <v>1646</v>
      </c>
      <c r="L52" s="446" t="s">
        <v>1121</v>
      </c>
      <c r="M52" s="67">
        <v>450000</v>
      </c>
      <c r="N52" s="471"/>
      <c r="O52" s="471"/>
      <c r="P52" s="471"/>
      <c r="Q52" s="471"/>
    </row>
    <row r="53" spans="1:17">
      <c r="A53" s="483"/>
      <c r="B53" s="455" t="s">
        <v>1646</v>
      </c>
      <c r="C53" s="446" t="s">
        <v>1655</v>
      </c>
      <c r="D53" s="67">
        <f>1100000-800000</f>
        <v>300000</v>
      </c>
      <c r="E53" s="471"/>
      <c r="F53" s="471"/>
      <c r="G53" s="471"/>
      <c r="H53" s="471"/>
      <c r="J53" s="483"/>
      <c r="K53" s="455" t="s">
        <v>1646</v>
      </c>
      <c r="L53" s="446" t="s">
        <v>1655</v>
      </c>
      <c r="M53" s="67">
        <f>1100000-800000</f>
        <v>300000</v>
      </c>
      <c r="N53" s="471"/>
      <c r="O53" s="471"/>
      <c r="P53" s="471"/>
      <c r="Q53" s="471"/>
    </row>
    <row r="54" spans="1:17">
      <c r="A54" s="483"/>
      <c r="B54" s="455" t="s">
        <v>1668</v>
      </c>
      <c r="C54" s="446" t="s">
        <v>1669</v>
      </c>
      <c r="D54" s="67">
        <v>9419500</v>
      </c>
      <c r="E54" s="471"/>
      <c r="F54" s="471"/>
      <c r="G54" s="471"/>
      <c r="H54" s="471"/>
      <c r="J54" s="483"/>
      <c r="K54" s="455" t="s">
        <v>1668</v>
      </c>
      <c r="L54" s="446" t="s">
        <v>1669</v>
      </c>
      <c r="M54" s="67">
        <v>9419500</v>
      </c>
      <c r="N54" s="471"/>
      <c r="O54" s="471"/>
      <c r="P54" s="471"/>
      <c r="Q54" s="471"/>
    </row>
    <row r="55" spans="1:17">
      <c r="A55" s="483"/>
      <c r="B55" s="455" t="s">
        <v>1673</v>
      </c>
      <c r="C55" s="446" t="s">
        <v>1670</v>
      </c>
      <c r="D55" s="67">
        <v>944000</v>
      </c>
      <c r="E55" s="471"/>
      <c r="F55" s="471"/>
      <c r="G55" s="471"/>
      <c r="H55" s="471"/>
      <c r="J55" s="483"/>
      <c r="K55" s="455" t="s">
        <v>1673</v>
      </c>
      <c r="L55" s="446" t="s">
        <v>1670</v>
      </c>
      <c r="M55" s="67">
        <v>944000</v>
      </c>
      <c r="N55" s="471"/>
      <c r="O55" s="471"/>
      <c r="P55" s="471"/>
      <c r="Q55" s="471"/>
    </row>
    <row r="56" spans="1:17">
      <c r="A56" s="483"/>
      <c r="B56" s="455" t="s">
        <v>1672</v>
      </c>
      <c r="C56" s="446" t="s">
        <v>1671</v>
      </c>
      <c r="D56" s="67">
        <v>5022000</v>
      </c>
      <c r="E56" s="471"/>
      <c r="F56" s="471"/>
      <c r="G56" s="471"/>
      <c r="H56" s="471"/>
      <c r="J56" s="483"/>
      <c r="K56" s="455" t="s">
        <v>1672</v>
      </c>
      <c r="L56" s="446" t="s">
        <v>1671</v>
      </c>
      <c r="M56" s="67"/>
      <c r="N56" s="471"/>
      <c r="O56" s="471"/>
      <c r="P56" s="471"/>
      <c r="Q56" s="471"/>
    </row>
    <row r="57" spans="1:17">
      <c r="A57" s="476"/>
      <c r="B57" s="470"/>
      <c r="C57" s="471" t="s">
        <v>55</v>
      </c>
      <c r="D57" s="472">
        <f>SUM(D37:D56)</f>
        <v>115755500</v>
      </c>
      <c r="E57" s="472">
        <v>0</v>
      </c>
      <c r="F57" s="472">
        <v>0</v>
      </c>
      <c r="G57" s="472"/>
      <c r="H57" s="472"/>
      <c r="J57" s="476"/>
      <c r="K57" s="470"/>
      <c r="L57" s="471" t="s">
        <v>55</v>
      </c>
      <c r="M57" s="472">
        <f>SUM(M37:M56)</f>
        <v>47309500</v>
      </c>
      <c r="N57" s="472">
        <v>0</v>
      </c>
      <c r="O57" s="472">
        <v>0</v>
      </c>
      <c r="P57" s="472"/>
      <c r="Q57" s="472"/>
    </row>
    <row r="58" spans="1:17">
      <c r="A58" s="479"/>
      <c r="B58" s="477"/>
      <c r="C58" s="510" t="s">
        <v>21</v>
      </c>
      <c r="D58" s="48"/>
      <c r="E58" s="547">
        <f>D57</f>
        <v>115755500</v>
      </c>
      <c r="F58" s="547"/>
      <c r="G58" s="547"/>
      <c r="H58" s="547"/>
      <c r="J58" s="479"/>
      <c r="K58" s="477"/>
      <c r="L58" s="514" t="s">
        <v>21</v>
      </c>
      <c r="M58" s="48"/>
      <c r="N58" s="547">
        <f>M57</f>
        <v>47309500</v>
      </c>
      <c r="O58" s="547"/>
      <c r="P58" s="547"/>
      <c r="Q58" s="547"/>
    </row>
    <row r="59" spans="1:17">
      <c r="A59" s="546" t="s">
        <v>1654</v>
      </c>
      <c r="B59" s="546"/>
      <c r="C59" s="546"/>
      <c r="D59" s="546"/>
      <c r="E59" s="546"/>
      <c r="F59" s="546"/>
      <c r="G59" s="546"/>
      <c r="H59" s="546"/>
      <c r="J59" s="546" t="s">
        <v>1654</v>
      </c>
      <c r="K59" s="546"/>
      <c r="L59" s="546"/>
      <c r="M59" s="546"/>
      <c r="N59" s="546"/>
      <c r="O59" s="546"/>
      <c r="P59" s="546"/>
      <c r="Q59" s="546"/>
    </row>
    <row r="60" spans="1:17">
      <c r="A60" s="476"/>
      <c r="B60" s="455" t="s">
        <v>1652</v>
      </c>
      <c r="C60" s="456" t="s">
        <v>1049</v>
      </c>
      <c r="D60" s="455">
        <v>7788500</v>
      </c>
      <c r="E60" s="446"/>
      <c r="F60" s="446"/>
      <c r="G60" s="469"/>
      <c r="H60" s="469"/>
      <c r="J60" s="476"/>
      <c r="K60" s="455" t="s">
        <v>1652</v>
      </c>
      <c r="L60" s="456" t="s">
        <v>1049</v>
      </c>
      <c r="M60" s="455">
        <v>7788500</v>
      </c>
      <c r="N60" s="446"/>
      <c r="O60" s="446"/>
      <c r="P60" s="469"/>
      <c r="Q60" s="469"/>
    </row>
    <row r="61" spans="1:17">
      <c r="A61" s="476"/>
      <c r="B61" s="455" t="s">
        <v>1652</v>
      </c>
      <c r="C61" s="456" t="s">
        <v>1127</v>
      </c>
      <c r="D61" s="455">
        <v>600000</v>
      </c>
      <c r="E61" s="446"/>
      <c r="F61" s="446"/>
      <c r="G61" s="469"/>
      <c r="H61" s="469"/>
      <c r="J61" s="476"/>
      <c r="K61" s="455" t="s">
        <v>1652</v>
      </c>
      <c r="L61" s="456" t="s">
        <v>1127</v>
      </c>
      <c r="M61" s="455">
        <v>600000</v>
      </c>
      <c r="N61" s="446"/>
      <c r="O61" s="446"/>
      <c r="P61" s="469"/>
      <c r="Q61" s="469"/>
    </row>
    <row r="62" spans="1:17">
      <c r="A62" s="476"/>
      <c r="B62" s="455" t="s">
        <v>1652</v>
      </c>
      <c r="C62" s="456" t="s">
        <v>1175</v>
      </c>
      <c r="D62" s="455">
        <v>36000</v>
      </c>
      <c r="E62" s="446"/>
      <c r="F62" s="446"/>
      <c r="G62" s="469"/>
      <c r="H62" s="469"/>
      <c r="J62" s="476"/>
      <c r="K62" s="455" t="s">
        <v>1652</v>
      </c>
      <c r="L62" s="456" t="s">
        <v>1175</v>
      </c>
      <c r="M62" s="455">
        <v>36000</v>
      </c>
      <c r="N62" s="446"/>
      <c r="O62" s="446"/>
      <c r="P62" s="469"/>
      <c r="Q62" s="469"/>
    </row>
    <row r="63" spans="1:17">
      <c r="A63" s="476"/>
      <c r="B63" s="455" t="s">
        <v>1652</v>
      </c>
      <c r="C63" s="456" t="s">
        <v>1653</v>
      </c>
      <c r="D63" s="455">
        <v>500000</v>
      </c>
      <c r="E63" s="446"/>
      <c r="F63" s="446"/>
      <c r="G63" s="469"/>
      <c r="H63" s="469"/>
      <c r="J63" s="476"/>
      <c r="K63" s="455" t="s">
        <v>1652</v>
      </c>
      <c r="L63" s="456" t="s">
        <v>1653</v>
      </c>
      <c r="M63" s="455">
        <v>500000</v>
      </c>
      <c r="N63" s="446"/>
      <c r="O63" s="446"/>
      <c r="P63" s="469"/>
      <c r="Q63" s="469"/>
    </row>
    <row r="64" spans="1:17">
      <c r="A64" s="476"/>
      <c r="B64" s="455" t="s">
        <v>1656</v>
      </c>
      <c r="C64" s="455" t="s">
        <v>1657</v>
      </c>
      <c r="D64" s="455">
        <v>100000</v>
      </c>
      <c r="E64" s="446"/>
      <c r="F64" s="446"/>
      <c r="G64" s="469"/>
      <c r="H64" s="469"/>
      <c r="J64" s="476"/>
      <c r="K64" s="455" t="s">
        <v>1656</v>
      </c>
      <c r="L64" s="455" t="s">
        <v>1657</v>
      </c>
      <c r="M64" s="455">
        <v>100000</v>
      </c>
      <c r="N64" s="446"/>
      <c r="O64" s="446"/>
      <c r="P64" s="469"/>
      <c r="Q64" s="469"/>
    </row>
    <row r="65" spans="1:17">
      <c r="A65" s="476"/>
      <c r="B65" s="455" t="s">
        <v>1652</v>
      </c>
      <c r="C65" s="456" t="s">
        <v>1678</v>
      </c>
      <c r="D65" s="455">
        <v>165000</v>
      </c>
      <c r="E65" s="446"/>
      <c r="F65" s="446"/>
      <c r="G65" s="469"/>
      <c r="H65" s="469"/>
      <c r="J65" s="476"/>
      <c r="K65" s="455" t="s">
        <v>1652</v>
      </c>
      <c r="L65" s="456" t="s">
        <v>1678</v>
      </c>
      <c r="M65" s="455">
        <v>165000</v>
      </c>
      <c r="N65" s="446"/>
      <c r="O65" s="446"/>
      <c r="P65" s="469"/>
      <c r="Q65" s="469"/>
    </row>
    <row r="66" spans="1:17">
      <c r="A66" s="476"/>
      <c r="B66" s="455" t="s">
        <v>1682</v>
      </c>
      <c r="C66" s="455" t="s">
        <v>1684</v>
      </c>
      <c r="D66" s="455">
        <v>2000000</v>
      </c>
      <c r="E66" s="446"/>
      <c r="F66" s="446"/>
      <c r="G66" s="469"/>
      <c r="H66" s="469"/>
      <c r="J66" s="476"/>
      <c r="K66" s="455" t="s">
        <v>1682</v>
      </c>
      <c r="L66" s="455" t="s">
        <v>1684</v>
      </c>
      <c r="M66" s="455">
        <v>2000000</v>
      </c>
      <c r="N66" s="446"/>
      <c r="O66" s="446"/>
      <c r="P66" s="469"/>
      <c r="Q66" s="469"/>
    </row>
    <row r="67" spans="1:17">
      <c r="A67" s="476"/>
      <c r="B67" s="455" t="s">
        <v>1682</v>
      </c>
      <c r="C67" s="456" t="s">
        <v>1683</v>
      </c>
      <c r="D67" s="455">
        <v>885000</v>
      </c>
      <c r="E67" s="446"/>
      <c r="F67" s="446"/>
      <c r="G67" s="469"/>
      <c r="H67" s="469"/>
      <c r="J67" s="476"/>
      <c r="K67" s="455" t="s">
        <v>1682</v>
      </c>
      <c r="L67" s="456" t="s">
        <v>1683</v>
      </c>
      <c r="M67" s="455">
        <v>885000</v>
      </c>
      <c r="N67" s="446"/>
      <c r="O67" s="446"/>
      <c r="P67" s="469"/>
      <c r="Q67" s="469"/>
    </row>
    <row r="68" spans="1:17">
      <c r="A68" s="476"/>
      <c r="B68" s="470"/>
      <c r="C68" s="471" t="s">
        <v>848</v>
      </c>
      <c r="D68" s="472">
        <f>SUM(D60:D67)</f>
        <v>12074500</v>
      </c>
      <c r="E68" s="472">
        <v>0</v>
      </c>
      <c r="F68" s="472">
        <v>0</v>
      </c>
      <c r="G68" s="472"/>
      <c r="H68" s="472"/>
      <c r="J68" s="476"/>
      <c r="K68" s="470"/>
      <c r="L68" s="471" t="s">
        <v>848</v>
      </c>
      <c r="M68" s="472">
        <f>SUM(M60:M67)</f>
        <v>12074500</v>
      </c>
      <c r="N68" s="472">
        <v>0</v>
      </c>
      <c r="O68" s="472">
        <v>0</v>
      </c>
      <c r="P68" s="472"/>
      <c r="Q68" s="472"/>
    </row>
    <row r="69" spans="1:17">
      <c r="A69" s="479"/>
      <c r="B69" s="477"/>
      <c r="C69" s="510" t="s">
        <v>21</v>
      </c>
      <c r="D69" s="48"/>
      <c r="E69" s="547">
        <f>D68</f>
        <v>12074500</v>
      </c>
      <c r="F69" s="547"/>
      <c r="G69" s="547"/>
      <c r="H69" s="547"/>
      <c r="J69" s="479"/>
      <c r="K69" s="477"/>
      <c r="L69" s="514" t="s">
        <v>21</v>
      </c>
      <c r="M69" s="48"/>
      <c r="N69" s="547">
        <f>M68</f>
        <v>12074500</v>
      </c>
      <c r="O69" s="547"/>
      <c r="P69" s="547"/>
      <c r="Q69" s="547"/>
    </row>
    <row r="70" spans="1:17">
      <c r="A70" s="546" t="s">
        <v>1562</v>
      </c>
      <c r="B70" s="546"/>
      <c r="C70" s="546"/>
      <c r="D70" s="546"/>
      <c r="E70" s="546"/>
      <c r="F70" s="546"/>
      <c r="G70" s="546"/>
      <c r="H70" s="546"/>
      <c r="J70" s="546" t="s">
        <v>1562</v>
      </c>
      <c r="K70" s="546"/>
      <c r="L70" s="546"/>
      <c r="M70" s="546"/>
      <c r="N70" s="546"/>
      <c r="O70" s="546"/>
      <c r="P70" s="546"/>
      <c r="Q70" s="546"/>
    </row>
    <row r="71" spans="1:17">
      <c r="A71" s="476"/>
      <c r="B71" s="455" t="s">
        <v>1616</v>
      </c>
      <c r="C71" s="456" t="s">
        <v>1617</v>
      </c>
      <c r="D71" s="455">
        <v>6275000</v>
      </c>
      <c r="E71" s="446"/>
      <c r="F71" s="446"/>
      <c r="G71" s="469"/>
      <c r="H71" s="469"/>
      <c r="J71" s="476"/>
      <c r="K71" s="455" t="s">
        <v>1616</v>
      </c>
      <c r="L71" s="456" t="s">
        <v>1617</v>
      </c>
      <c r="M71" s="455">
        <v>6275000</v>
      </c>
      <c r="N71" s="446"/>
      <c r="O71" s="446"/>
      <c r="P71" s="469"/>
      <c r="Q71" s="469"/>
    </row>
    <row r="72" spans="1:17">
      <c r="A72" s="476"/>
      <c r="B72" s="455" t="s">
        <v>1573</v>
      </c>
      <c r="C72" s="456" t="s">
        <v>1621</v>
      </c>
      <c r="D72" s="455">
        <v>280000</v>
      </c>
      <c r="E72" s="446"/>
      <c r="F72" s="446"/>
      <c r="G72" s="469"/>
      <c r="H72" s="469"/>
      <c r="J72" s="476"/>
      <c r="K72" s="455" t="s">
        <v>1573</v>
      </c>
      <c r="L72" s="456" t="s">
        <v>1621</v>
      </c>
      <c r="M72" s="455">
        <v>280000</v>
      </c>
      <c r="N72" s="446"/>
      <c r="O72" s="446"/>
      <c r="P72" s="469"/>
      <c r="Q72" s="469"/>
    </row>
    <row r="73" spans="1:17">
      <c r="A73" s="476"/>
      <c r="B73" s="455" t="s">
        <v>1567</v>
      </c>
      <c r="C73" s="456" t="s">
        <v>1622</v>
      </c>
      <c r="D73" s="455">
        <v>110000</v>
      </c>
      <c r="E73" s="446"/>
      <c r="F73" s="446"/>
      <c r="G73" s="469"/>
      <c r="H73" s="469"/>
      <c r="J73" s="476"/>
      <c r="K73" s="455" t="s">
        <v>1567</v>
      </c>
      <c r="L73" s="456" t="s">
        <v>1622</v>
      </c>
      <c r="M73" s="455">
        <v>110000</v>
      </c>
      <c r="N73" s="446"/>
      <c r="O73" s="446"/>
      <c r="P73" s="469"/>
      <c r="Q73" s="469"/>
    </row>
    <row r="74" spans="1:17">
      <c r="A74" s="476"/>
      <c r="B74" s="470" t="s">
        <v>1664</v>
      </c>
      <c r="C74" s="456" t="s">
        <v>1621</v>
      </c>
      <c r="D74" s="455">
        <v>1628000</v>
      </c>
      <c r="E74" s="446"/>
      <c r="F74" s="446"/>
      <c r="G74" s="469"/>
      <c r="H74" s="469"/>
      <c r="J74" s="476"/>
      <c r="K74" s="470" t="s">
        <v>1664</v>
      </c>
      <c r="L74" s="456" t="s">
        <v>1621</v>
      </c>
      <c r="M74" s="455">
        <v>1628000</v>
      </c>
      <c r="N74" s="446"/>
      <c r="O74" s="446"/>
      <c r="P74" s="469"/>
      <c r="Q74" s="469"/>
    </row>
    <row r="75" spans="1:17">
      <c r="A75" s="476"/>
      <c r="B75" s="470" t="s">
        <v>1663</v>
      </c>
      <c r="C75" s="456" t="s">
        <v>1623</v>
      </c>
      <c r="D75" s="484">
        <v>380000</v>
      </c>
      <c r="E75" s="510"/>
      <c r="F75" s="510"/>
      <c r="G75" s="510"/>
      <c r="H75" s="510"/>
      <c r="J75" s="476"/>
      <c r="K75" s="470" t="s">
        <v>1663</v>
      </c>
      <c r="L75" s="456" t="s">
        <v>1623</v>
      </c>
      <c r="M75" s="484">
        <v>380000</v>
      </c>
      <c r="N75" s="514"/>
      <c r="O75" s="514"/>
      <c r="P75" s="514"/>
      <c r="Q75" s="514"/>
    </row>
    <row r="76" spans="1:17">
      <c r="A76" s="476"/>
      <c r="B76" s="470" t="s">
        <v>1663</v>
      </c>
      <c r="C76" s="456" t="s">
        <v>1296</v>
      </c>
      <c r="D76" s="484">
        <v>5000</v>
      </c>
      <c r="E76" s="510"/>
      <c r="F76" s="510"/>
      <c r="G76" s="510"/>
      <c r="H76" s="510"/>
      <c r="J76" s="476"/>
      <c r="K76" s="470" t="s">
        <v>1663</v>
      </c>
      <c r="L76" s="456" t="s">
        <v>1296</v>
      </c>
      <c r="M76" s="484">
        <v>5000</v>
      </c>
      <c r="N76" s="514"/>
      <c r="O76" s="514"/>
      <c r="P76" s="514"/>
      <c r="Q76" s="514"/>
    </row>
    <row r="77" spans="1:17">
      <c r="A77" s="476"/>
      <c r="B77" s="470" t="s">
        <v>1658</v>
      </c>
      <c r="C77" s="456" t="s">
        <v>1659</v>
      </c>
      <c r="D77" s="484">
        <v>544000</v>
      </c>
      <c r="E77" s="510"/>
      <c r="F77" s="510"/>
      <c r="G77" s="510"/>
      <c r="H77" s="510"/>
      <c r="J77" s="476"/>
      <c r="K77" s="470" t="s">
        <v>1658</v>
      </c>
      <c r="L77" s="456" t="s">
        <v>1659</v>
      </c>
      <c r="M77" s="484">
        <v>544000</v>
      </c>
      <c r="N77" s="514"/>
      <c r="O77" s="514"/>
      <c r="P77" s="514"/>
      <c r="Q77" s="514"/>
    </row>
    <row r="78" spans="1:17">
      <c r="A78" s="476"/>
      <c r="B78" s="470" t="s">
        <v>1660</v>
      </c>
      <c r="C78" s="456" t="s">
        <v>1662</v>
      </c>
      <c r="D78" s="484">
        <v>115000</v>
      </c>
      <c r="E78" s="510"/>
      <c r="F78" s="510"/>
      <c r="G78" s="510"/>
      <c r="H78" s="510"/>
      <c r="J78" s="476"/>
      <c r="K78" s="470" t="s">
        <v>1660</v>
      </c>
      <c r="L78" s="456" t="s">
        <v>1662</v>
      </c>
      <c r="M78" s="484"/>
      <c r="N78" s="514"/>
      <c r="O78" s="514"/>
      <c r="P78" s="514"/>
      <c r="Q78" s="514"/>
    </row>
    <row r="79" spans="1:17">
      <c r="A79" s="476"/>
      <c r="B79" s="470" t="s">
        <v>1663</v>
      </c>
      <c r="C79" s="456" t="s">
        <v>1661</v>
      </c>
      <c r="D79" s="484">
        <v>1596000</v>
      </c>
      <c r="E79" s="510"/>
      <c r="F79" s="510"/>
      <c r="G79" s="510"/>
      <c r="H79" s="510"/>
      <c r="J79" s="476"/>
      <c r="K79" s="470" t="s">
        <v>1663</v>
      </c>
      <c r="L79" s="456" t="s">
        <v>1661</v>
      </c>
      <c r="M79" s="484"/>
      <c r="N79" s="514"/>
      <c r="O79" s="514"/>
      <c r="P79" s="514"/>
      <c r="Q79" s="514"/>
    </row>
    <row r="80" spans="1:17">
      <c r="A80" s="476"/>
      <c r="B80" s="470" t="s">
        <v>1664</v>
      </c>
      <c r="C80" s="456" t="s">
        <v>1665</v>
      </c>
      <c r="D80" s="484">
        <v>1503000</v>
      </c>
      <c r="E80" s="510"/>
      <c r="F80" s="510"/>
      <c r="G80" s="510"/>
      <c r="H80" s="510"/>
      <c r="J80" s="476"/>
      <c r="K80" s="470" t="s">
        <v>1664</v>
      </c>
      <c r="L80" s="456" t="s">
        <v>1665</v>
      </c>
      <c r="M80" s="484"/>
      <c r="N80" s="514"/>
      <c r="O80" s="514"/>
      <c r="P80" s="514"/>
      <c r="Q80" s="514"/>
    </row>
    <row r="81" spans="1:17">
      <c r="A81" s="476"/>
      <c r="B81" s="470" t="s">
        <v>1664</v>
      </c>
      <c r="C81" s="456" t="s">
        <v>1666</v>
      </c>
      <c r="D81" s="484">
        <v>2550000</v>
      </c>
      <c r="E81" s="510"/>
      <c r="F81" s="510"/>
      <c r="G81" s="510"/>
      <c r="H81" s="510"/>
      <c r="J81" s="476"/>
      <c r="K81" s="470" t="s">
        <v>1664</v>
      </c>
      <c r="L81" s="456" t="s">
        <v>1666</v>
      </c>
      <c r="M81" s="484"/>
      <c r="N81" s="514"/>
      <c r="O81" s="514"/>
      <c r="P81" s="514"/>
      <c r="Q81" s="514"/>
    </row>
    <row r="82" spans="1:17">
      <c r="A82" s="476"/>
      <c r="B82" s="470" t="s">
        <v>1664</v>
      </c>
      <c r="C82" s="456" t="s">
        <v>1667</v>
      </c>
      <c r="D82" s="484">
        <v>1407100</v>
      </c>
      <c r="E82" s="510"/>
      <c r="F82" s="510"/>
      <c r="G82" s="510"/>
      <c r="H82" s="510"/>
      <c r="J82" s="476"/>
      <c r="K82" s="470" t="s">
        <v>1664</v>
      </c>
      <c r="L82" s="456" t="s">
        <v>1667</v>
      </c>
      <c r="M82" s="484"/>
      <c r="N82" s="514"/>
      <c r="O82" s="514"/>
      <c r="P82" s="514"/>
      <c r="Q82" s="514"/>
    </row>
    <row r="83" spans="1:17">
      <c r="A83" s="476"/>
      <c r="B83" s="470" t="s">
        <v>1664</v>
      </c>
      <c r="C83" s="456" t="s">
        <v>1667</v>
      </c>
      <c r="D83" s="484">
        <v>75000</v>
      </c>
      <c r="E83" s="510"/>
      <c r="F83" s="510"/>
      <c r="G83" s="510"/>
      <c r="H83" s="510"/>
      <c r="J83" s="476"/>
      <c r="K83" s="470" t="s">
        <v>1664</v>
      </c>
      <c r="L83" s="456" t="s">
        <v>1667</v>
      </c>
      <c r="M83" s="484"/>
      <c r="N83" s="514"/>
      <c r="O83" s="514"/>
      <c r="P83" s="514"/>
      <c r="Q83" s="514"/>
    </row>
    <row r="84" spans="1:17">
      <c r="A84" s="476"/>
      <c r="B84" s="470" t="s">
        <v>1664</v>
      </c>
      <c r="C84" s="456" t="s">
        <v>1296</v>
      </c>
      <c r="D84" s="484">
        <v>20000</v>
      </c>
      <c r="E84" s="510"/>
      <c r="F84" s="510"/>
      <c r="G84" s="510"/>
      <c r="H84" s="510"/>
      <c r="J84" s="476"/>
      <c r="K84" s="470" t="s">
        <v>1664</v>
      </c>
      <c r="L84" s="456" t="s">
        <v>1296</v>
      </c>
      <c r="M84" s="484">
        <v>20000</v>
      </c>
      <c r="N84" s="514"/>
      <c r="O84" s="514"/>
      <c r="P84" s="514"/>
      <c r="Q84" s="514"/>
    </row>
    <row r="85" spans="1:17">
      <c r="A85" s="476"/>
      <c r="B85" s="470"/>
      <c r="C85" s="471" t="s">
        <v>34</v>
      </c>
      <c r="D85" s="472">
        <f>SUM(D71:D84)</f>
        <v>16488100</v>
      </c>
      <c r="E85" s="472">
        <v>0</v>
      </c>
      <c r="F85" s="472">
        <v>0</v>
      </c>
      <c r="G85" s="472"/>
      <c r="H85" s="472"/>
      <c r="J85" s="476"/>
      <c r="K85" s="470"/>
      <c r="L85" s="471" t="s">
        <v>34</v>
      </c>
      <c r="M85" s="472">
        <f>SUM(M71:M84)</f>
        <v>9242000</v>
      </c>
      <c r="N85" s="472">
        <v>0</v>
      </c>
      <c r="O85" s="472">
        <v>0</v>
      </c>
      <c r="P85" s="472"/>
      <c r="Q85" s="472"/>
    </row>
    <row r="86" spans="1:17">
      <c r="A86" s="479"/>
      <c r="B86" s="477"/>
      <c r="C86" s="510" t="s">
        <v>21</v>
      </c>
      <c r="D86" s="48"/>
      <c r="E86" s="547">
        <f>D85</f>
        <v>16488100</v>
      </c>
      <c r="F86" s="547"/>
      <c r="G86" s="547"/>
      <c r="H86" s="547"/>
      <c r="J86" s="479"/>
      <c r="K86" s="477"/>
      <c r="L86" s="514" t="s">
        <v>21</v>
      </c>
      <c r="M86" s="48"/>
      <c r="N86" s="547">
        <f>M85</f>
        <v>9242000</v>
      </c>
      <c r="O86" s="547"/>
      <c r="P86" s="547"/>
      <c r="Q86" s="547"/>
    </row>
    <row r="87" spans="1:17">
      <c r="A87" s="546" t="s">
        <v>32</v>
      </c>
      <c r="B87" s="546"/>
      <c r="C87" s="546"/>
      <c r="D87" s="546"/>
      <c r="E87" s="546"/>
      <c r="F87" s="546"/>
      <c r="G87" s="546"/>
      <c r="H87" s="546"/>
      <c r="J87" s="546" t="s">
        <v>32</v>
      </c>
      <c r="K87" s="546"/>
      <c r="L87" s="546"/>
      <c r="M87" s="546"/>
      <c r="N87" s="546"/>
      <c r="O87" s="546"/>
      <c r="P87" s="546"/>
      <c r="Q87" s="546"/>
    </row>
    <row r="88" spans="1:17">
      <c r="A88" s="476"/>
      <c r="B88" s="470" t="s">
        <v>1677</v>
      </c>
      <c r="C88" s="446" t="s">
        <v>1676</v>
      </c>
      <c r="D88" s="446">
        <v>3644000</v>
      </c>
      <c r="E88" s="510"/>
      <c r="F88" s="510"/>
      <c r="G88" s="510"/>
      <c r="H88" s="510"/>
      <c r="J88" s="476"/>
      <c r="K88" s="470" t="s">
        <v>1677</v>
      </c>
      <c r="L88" s="446" t="s">
        <v>1676</v>
      </c>
      <c r="M88" s="446">
        <v>3644000</v>
      </c>
      <c r="N88" s="514"/>
      <c r="O88" s="514"/>
      <c r="P88" s="514"/>
      <c r="Q88" s="514"/>
    </row>
    <row r="89" spans="1:17">
      <c r="A89" s="476"/>
      <c r="B89" s="470" t="s">
        <v>1677</v>
      </c>
      <c r="C89" s="446" t="s">
        <v>1679</v>
      </c>
      <c r="D89" s="446">
        <v>60000000</v>
      </c>
      <c r="E89" s="510"/>
      <c r="F89" s="510"/>
      <c r="G89" s="510"/>
      <c r="H89" s="510"/>
      <c r="J89" s="476"/>
      <c r="K89" s="470" t="s">
        <v>1677</v>
      </c>
      <c r="L89" s="446" t="s">
        <v>1679</v>
      </c>
      <c r="M89" s="446">
        <v>60000000</v>
      </c>
      <c r="N89" s="514"/>
      <c r="O89" s="514"/>
      <c r="P89" s="514"/>
      <c r="Q89" s="514"/>
    </row>
    <row r="90" spans="1:17">
      <c r="A90" s="476"/>
      <c r="B90" s="470"/>
      <c r="C90" s="446"/>
      <c r="D90" s="446"/>
      <c r="E90" s="510"/>
      <c r="F90" s="510"/>
      <c r="G90" s="510"/>
      <c r="H90" s="510"/>
      <c r="J90" s="476"/>
      <c r="K90" s="470"/>
      <c r="L90" s="446"/>
      <c r="M90" s="446"/>
      <c r="N90" s="514"/>
      <c r="O90" s="514"/>
      <c r="P90" s="514"/>
      <c r="Q90" s="514"/>
    </row>
    <row r="91" spans="1:17">
      <c r="A91" s="476"/>
      <c r="B91" s="470"/>
      <c r="C91" s="446"/>
      <c r="D91" s="507"/>
      <c r="E91" s="510"/>
      <c r="F91" s="510"/>
      <c r="G91" s="510"/>
      <c r="H91" s="510"/>
      <c r="J91" s="476"/>
      <c r="K91" s="470"/>
      <c r="L91" s="446"/>
      <c r="M91" s="507"/>
      <c r="N91" s="514"/>
      <c r="O91" s="514"/>
      <c r="P91" s="514"/>
      <c r="Q91" s="514"/>
    </row>
    <row r="92" spans="1:17">
      <c r="A92" s="476"/>
      <c r="B92" s="470"/>
      <c r="C92" s="446"/>
      <c r="D92" s="507"/>
      <c r="E92" s="510"/>
      <c r="F92" s="510"/>
      <c r="G92" s="510"/>
      <c r="H92" s="510"/>
      <c r="J92" s="476"/>
      <c r="K92" s="470"/>
      <c r="L92" s="446"/>
      <c r="M92" s="507"/>
      <c r="N92" s="514"/>
      <c r="O92" s="514"/>
      <c r="P92" s="514"/>
      <c r="Q92" s="514"/>
    </row>
    <row r="93" spans="1:17">
      <c r="A93" s="476"/>
      <c r="B93" s="470"/>
      <c r="C93" s="446"/>
      <c r="D93" s="507"/>
      <c r="E93" s="510"/>
      <c r="F93" s="510"/>
      <c r="G93" s="510"/>
      <c r="H93" s="510"/>
      <c r="J93" s="476"/>
      <c r="K93" s="470"/>
      <c r="L93" s="446"/>
      <c r="M93" s="507"/>
      <c r="N93" s="514"/>
      <c r="O93" s="514"/>
      <c r="P93" s="514"/>
      <c r="Q93" s="514"/>
    </row>
    <row r="94" spans="1:17">
      <c r="A94" s="476"/>
      <c r="B94" s="470"/>
      <c r="C94" s="446"/>
      <c r="D94" s="507"/>
      <c r="E94" s="510"/>
      <c r="F94" s="510"/>
      <c r="G94" s="510"/>
      <c r="H94" s="510"/>
      <c r="J94" s="476"/>
      <c r="K94" s="470"/>
      <c r="L94" s="446"/>
      <c r="M94" s="507"/>
      <c r="N94" s="514"/>
      <c r="O94" s="514"/>
      <c r="P94" s="514"/>
      <c r="Q94" s="514"/>
    </row>
    <row r="95" spans="1:17">
      <c r="A95" s="476"/>
      <c r="B95" s="470"/>
      <c r="C95" s="446"/>
      <c r="D95" s="484"/>
      <c r="E95" s="510"/>
      <c r="F95" s="510"/>
      <c r="G95" s="510"/>
      <c r="H95" s="510"/>
      <c r="J95" s="476"/>
      <c r="K95" s="470"/>
      <c r="L95" s="446"/>
      <c r="M95" s="484"/>
      <c r="N95" s="514"/>
      <c r="O95" s="514"/>
      <c r="P95" s="514"/>
      <c r="Q95" s="514"/>
    </row>
    <row r="96" spans="1:17">
      <c r="A96" s="476"/>
      <c r="B96" s="470"/>
      <c r="C96" s="471" t="s">
        <v>34</v>
      </c>
      <c r="D96" s="472">
        <f>SUM(D88:D92)</f>
        <v>63644000</v>
      </c>
      <c r="E96" s="472">
        <v>0</v>
      </c>
      <c r="F96" s="472">
        <v>0</v>
      </c>
      <c r="G96" s="472"/>
      <c r="H96" s="472"/>
      <c r="J96" s="476"/>
      <c r="K96" s="470"/>
      <c r="L96" s="471" t="s">
        <v>34</v>
      </c>
      <c r="M96" s="472">
        <f>SUM(M88:M92)</f>
        <v>63644000</v>
      </c>
      <c r="N96" s="472">
        <v>0</v>
      </c>
      <c r="O96" s="472">
        <v>0</v>
      </c>
      <c r="P96" s="472"/>
      <c r="Q96" s="472"/>
    </row>
    <row r="97" spans="1:17">
      <c r="A97" s="479"/>
      <c r="B97" s="477"/>
      <c r="C97" s="510" t="s">
        <v>21</v>
      </c>
      <c r="D97" s="48"/>
      <c r="E97" s="547">
        <f>D96</f>
        <v>63644000</v>
      </c>
      <c r="F97" s="547"/>
      <c r="G97" s="547"/>
      <c r="H97" s="547"/>
      <c r="J97" s="479"/>
      <c r="K97" s="477"/>
      <c r="L97" s="514" t="s">
        <v>21</v>
      </c>
      <c r="M97" s="48"/>
      <c r="N97" s="547">
        <f>M96</f>
        <v>63644000</v>
      </c>
      <c r="O97" s="547"/>
      <c r="P97" s="547"/>
      <c r="Q97" s="547"/>
    </row>
    <row r="98" spans="1:17">
      <c r="A98" s="548" t="s">
        <v>35</v>
      </c>
      <c r="B98" s="548"/>
      <c r="C98" s="548"/>
      <c r="D98" s="511"/>
      <c r="E98" s="549">
        <f>+E35+E58+E69+E97+E86</f>
        <v>208767100</v>
      </c>
      <c r="F98" s="549"/>
      <c r="G98" s="549"/>
      <c r="H98" s="549"/>
      <c r="J98" s="548" t="s">
        <v>35</v>
      </c>
      <c r="K98" s="548"/>
      <c r="L98" s="548"/>
      <c r="M98" s="515"/>
      <c r="N98" s="549">
        <f>+N35+N58+N69+N97+N86</f>
        <v>133075000</v>
      </c>
      <c r="O98" s="549"/>
      <c r="P98" s="549"/>
      <c r="Q98" s="549"/>
    </row>
    <row r="99" spans="1:17">
      <c r="A99" s="544" t="s">
        <v>36</v>
      </c>
      <c r="B99" s="544"/>
      <c r="C99" s="544"/>
      <c r="D99" s="509"/>
      <c r="E99" s="545">
        <f>+E27+E98</f>
        <v>216579700</v>
      </c>
      <c r="F99" s="545"/>
      <c r="G99" s="545"/>
      <c r="H99" s="545"/>
      <c r="J99" s="544" t="s">
        <v>36</v>
      </c>
      <c r="K99" s="544"/>
      <c r="L99" s="544"/>
      <c r="M99" s="516"/>
      <c r="N99" s="545">
        <f>+N27+N98</f>
        <v>134263600</v>
      </c>
      <c r="O99" s="545"/>
      <c r="P99" s="545"/>
      <c r="Q99" s="545"/>
    </row>
    <row r="100" spans="1:17">
      <c r="A100" s="37"/>
      <c r="B100" s="38"/>
      <c r="C100" s="39"/>
      <c r="D100" s="3"/>
      <c r="E100" s="39"/>
      <c r="F100" s="39"/>
      <c r="G100" s="39"/>
      <c r="H100" s="39"/>
      <c r="J100" s="37"/>
      <c r="K100" s="38"/>
      <c r="L100" s="39"/>
      <c r="M100" s="3"/>
      <c r="N100" s="39"/>
      <c r="O100" s="39"/>
      <c r="P100" s="39"/>
      <c r="Q100" s="39"/>
    </row>
    <row r="101" spans="1:17">
      <c r="A101" s="519" t="s">
        <v>13</v>
      </c>
      <c r="B101" s="520"/>
      <c r="C101" s="520"/>
      <c r="D101" s="520"/>
      <c r="E101" s="521"/>
      <c r="F101" s="39"/>
      <c r="G101" s="39"/>
      <c r="H101" s="40"/>
      <c r="J101" s="519" t="s">
        <v>13</v>
      </c>
      <c r="K101" s="520"/>
      <c r="L101" s="520"/>
      <c r="M101" s="520"/>
      <c r="N101" s="521"/>
      <c r="O101" s="39"/>
      <c r="P101" s="39"/>
      <c r="Q101" s="40"/>
    </row>
    <row r="102" spans="1:17">
      <c r="A102" s="41" t="s">
        <v>39</v>
      </c>
      <c r="B102" s="42" t="s">
        <v>40</v>
      </c>
      <c r="C102" s="510" t="s">
        <v>980</v>
      </c>
      <c r="D102" s="510" t="s">
        <v>42</v>
      </c>
      <c r="E102" s="510" t="s">
        <v>43</v>
      </c>
      <c r="F102" s="39"/>
      <c r="G102" s="39"/>
      <c r="H102" s="39"/>
      <c r="J102" s="41" t="s">
        <v>39</v>
      </c>
      <c r="K102" s="42" t="s">
        <v>40</v>
      </c>
      <c r="L102" s="514" t="s">
        <v>980</v>
      </c>
      <c r="M102" s="514" t="s">
        <v>42</v>
      </c>
      <c r="N102" s="514" t="s">
        <v>43</v>
      </c>
      <c r="O102" s="39"/>
      <c r="P102" s="39"/>
      <c r="Q102" s="39"/>
    </row>
    <row r="103" spans="1:17">
      <c r="A103" s="41"/>
      <c r="B103" s="110"/>
      <c r="C103" s="45"/>
      <c r="D103" s="46"/>
      <c r="E103" s="46"/>
      <c r="F103" s="39"/>
      <c r="G103" s="39"/>
      <c r="H103" s="39"/>
      <c r="J103" s="41"/>
      <c r="K103" s="110"/>
      <c r="L103" s="45" t="s">
        <v>1685</v>
      </c>
      <c r="M103" s="46">
        <v>83639000</v>
      </c>
      <c r="N103" s="46"/>
      <c r="O103" s="39"/>
      <c r="P103" s="39"/>
      <c r="Q103" s="39"/>
    </row>
    <row r="104" spans="1:17">
      <c r="A104" s="41"/>
      <c r="B104" s="44"/>
      <c r="C104" s="45"/>
      <c r="D104" s="46"/>
      <c r="E104" s="46"/>
      <c r="F104" s="39"/>
      <c r="G104" s="39"/>
      <c r="H104" s="40"/>
      <c r="J104" s="41"/>
      <c r="K104" s="44"/>
      <c r="L104" s="45" t="s">
        <v>1686</v>
      </c>
      <c r="M104" s="46">
        <v>19000000</v>
      </c>
      <c r="N104" s="46"/>
      <c r="O104" s="39"/>
      <c r="P104" s="39"/>
      <c r="Q104" s="40"/>
    </row>
    <row r="105" spans="1:17">
      <c r="A105" s="41"/>
      <c r="B105" s="44"/>
      <c r="C105" s="46"/>
      <c r="D105" s="46"/>
      <c r="E105" s="46"/>
      <c r="F105" s="39"/>
      <c r="G105" s="39"/>
      <c r="H105" s="39"/>
      <c r="J105" s="41"/>
      <c r="K105" s="44"/>
      <c r="L105" s="46"/>
      <c r="M105" s="46"/>
      <c r="N105" s="46"/>
      <c r="O105" s="39"/>
      <c r="P105" s="39"/>
      <c r="Q105" s="39"/>
    </row>
    <row r="106" spans="1:17">
      <c r="A106" s="41"/>
      <c r="B106" s="44"/>
      <c r="C106" s="327"/>
      <c r="D106" s="46"/>
      <c r="E106" s="46"/>
      <c r="F106" s="39"/>
      <c r="G106" s="39"/>
      <c r="H106" s="39"/>
      <c r="J106" s="41"/>
      <c r="K106" s="44"/>
      <c r="L106" s="327"/>
      <c r="M106" s="46"/>
      <c r="N106" s="46"/>
      <c r="O106" s="39"/>
      <c r="P106" s="39"/>
      <c r="Q106" s="39"/>
    </row>
    <row r="107" spans="1:17">
      <c r="A107" s="41"/>
      <c r="B107" s="44"/>
      <c r="C107" s="46"/>
      <c r="D107" s="48"/>
      <c r="E107" s="46"/>
      <c r="F107" s="39"/>
      <c r="G107" s="39"/>
      <c r="H107" s="39"/>
      <c r="J107" s="41"/>
      <c r="K107" s="44"/>
      <c r="L107" s="46"/>
      <c r="M107" s="48"/>
      <c r="N107" s="46"/>
      <c r="O107" s="39"/>
      <c r="P107" s="39"/>
      <c r="Q107" s="39"/>
    </row>
    <row r="108" spans="1:17">
      <c r="A108" s="49"/>
      <c r="B108" s="50"/>
      <c r="C108" s="51" t="s">
        <v>44</v>
      </c>
      <c r="D108" s="51">
        <f>SUM(D103:D107)</f>
        <v>0</v>
      </c>
      <c r="E108" s="52"/>
      <c r="F108" s="39"/>
      <c r="G108" s="39"/>
      <c r="H108" s="39"/>
      <c r="J108" s="49"/>
      <c r="K108" s="50"/>
      <c r="L108" s="51" t="s">
        <v>44</v>
      </c>
      <c r="M108" s="51">
        <f>SUM(M103:M107)</f>
        <v>102639000</v>
      </c>
      <c r="N108" s="52"/>
      <c r="O108" s="39"/>
      <c r="P108" s="39"/>
      <c r="Q108" s="39"/>
    </row>
    <row r="109" spans="1:17">
      <c r="A109" s="53"/>
      <c r="B109" s="54"/>
      <c r="C109" s="55" t="s">
        <v>779</v>
      </c>
      <c r="D109" s="56"/>
      <c r="E109" s="3"/>
      <c r="F109" s="39"/>
      <c r="G109" s="39"/>
      <c r="H109" s="39"/>
      <c r="J109" s="53"/>
      <c r="K109" s="54"/>
      <c r="L109" s="55" t="s">
        <v>779</v>
      </c>
      <c r="M109" s="56"/>
      <c r="N109" s="3"/>
      <c r="O109" s="39"/>
      <c r="P109" s="39"/>
      <c r="Q109" s="39"/>
    </row>
  </sheetData>
  <mergeCells count="50">
    <mergeCell ref="J101:N101"/>
    <mergeCell ref="J87:Q87"/>
    <mergeCell ref="N97:Q97"/>
    <mergeCell ref="J98:L98"/>
    <mergeCell ref="N98:Q98"/>
    <mergeCell ref="J99:L99"/>
    <mergeCell ref="N99:Q99"/>
    <mergeCell ref="N58:Q58"/>
    <mergeCell ref="J59:Q59"/>
    <mergeCell ref="N69:Q69"/>
    <mergeCell ref="J70:Q70"/>
    <mergeCell ref="N86:Q86"/>
    <mergeCell ref="J27:M27"/>
    <mergeCell ref="N27:Q27"/>
    <mergeCell ref="J28:Q28"/>
    <mergeCell ref="N35:Q35"/>
    <mergeCell ref="J36:Q36"/>
    <mergeCell ref="J3:Q3"/>
    <mergeCell ref="J12:P12"/>
    <mergeCell ref="J13:Q13"/>
    <mergeCell ref="J14:J15"/>
    <mergeCell ref="K14:K15"/>
    <mergeCell ref="L14:L15"/>
    <mergeCell ref="M14:M15"/>
    <mergeCell ref="N14:Q14"/>
    <mergeCell ref="A3:H3"/>
    <mergeCell ref="A12:G12"/>
    <mergeCell ref="A13:H13"/>
    <mergeCell ref="A14:A15"/>
    <mergeCell ref="B14:B15"/>
    <mergeCell ref="C14:C15"/>
    <mergeCell ref="D14:D15"/>
    <mergeCell ref="E14:H14"/>
    <mergeCell ref="E97:H97"/>
    <mergeCell ref="A27:D27"/>
    <mergeCell ref="E27:H27"/>
    <mergeCell ref="A28:H28"/>
    <mergeCell ref="E35:H35"/>
    <mergeCell ref="A36:H36"/>
    <mergeCell ref="E58:H58"/>
    <mergeCell ref="A59:H59"/>
    <mergeCell ref="E69:H69"/>
    <mergeCell ref="A70:H70"/>
    <mergeCell ref="E86:H86"/>
    <mergeCell ref="A87:H87"/>
    <mergeCell ref="A98:C98"/>
    <mergeCell ref="E98:H98"/>
    <mergeCell ref="A99:C99"/>
    <mergeCell ref="E99:H99"/>
    <mergeCell ref="A101:E101"/>
  </mergeCells>
  <phoneticPr fontId="16" type="noConversion"/>
  <pageMargins left="0.45" right="0.17" top="0.37" bottom="0.25" header="0.17" footer="0.12"/>
  <pageSetup paperSize="9" scale="85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E6F9D-3281-4477-A22C-39EEE373DBA6}">
  <dimension ref="A1:J45"/>
  <sheetViews>
    <sheetView topLeftCell="B13" workbookViewId="0">
      <selection activeCell="G31" sqref="G31"/>
    </sheetView>
  </sheetViews>
  <sheetFormatPr defaultRowHeight="15"/>
  <cols>
    <col min="1" max="1" width="51.5703125" bestFit="1" customWidth="1"/>
    <col min="2" max="2" width="12.5703125" style="77" bestFit="1" customWidth="1"/>
    <col min="3" max="3" width="26.5703125" bestFit="1" customWidth="1"/>
    <col min="4" max="4" width="12.5703125" style="77" bestFit="1" customWidth="1"/>
    <col min="5" max="5" width="32.5703125" bestFit="1" customWidth="1"/>
    <col min="6" max="6" width="11.5703125" bestFit="1" customWidth="1"/>
    <col min="7" max="7" width="60.85546875" bestFit="1" customWidth="1"/>
    <col min="8" max="8" width="12.5703125" bestFit="1" customWidth="1"/>
    <col min="9" max="9" width="19.5703125" bestFit="1" customWidth="1"/>
    <col min="10" max="10" width="10.5703125" bestFit="1" customWidth="1"/>
  </cols>
  <sheetData>
    <row r="1" spans="1:10">
      <c r="A1" t="s">
        <v>1580</v>
      </c>
    </row>
    <row r="3" spans="1:10">
      <c r="A3" s="57" t="s">
        <v>47</v>
      </c>
      <c r="B3" s="58"/>
      <c r="C3" s="58" t="s">
        <v>48</v>
      </c>
      <c r="D3" s="58"/>
      <c r="E3" s="58" t="s">
        <v>49</v>
      </c>
      <c r="F3" s="58"/>
      <c r="G3" s="542" t="s">
        <v>50</v>
      </c>
      <c r="H3" s="543"/>
      <c r="I3" s="58" t="s">
        <v>51</v>
      </c>
      <c r="J3" s="59"/>
    </row>
    <row r="4" spans="1:10">
      <c r="A4" s="446" t="s">
        <v>1675</v>
      </c>
      <c r="B4" s="67">
        <v>8070000</v>
      </c>
      <c r="C4" s="446" t="s">
        <v>1121</v>
      </c>
      <c r="D4" s="67">
        <v>450000</v>
      </c>
      <c r="E4" s="120" t="s">
        <v>1508</v>
      </c>
      <c r="F4" s="455">
        <v>200000</v>
      </c>
      <c r="G4" s="120" t="s">
        <v>1674</v>
      </c>
      <c r="H4" s="455">
        <v>325000</v>
      </c>
      <c r="I4" s="119" t="s">
        <v>1630</v>
      </c>
      <c r="J4" s="120">
        <f>120000*6</f>
        <v>720000</v>
      </c>
    </row>
    <row r="5" spans="1:10">
      <c r="A5" s="446" t="s">
        <v>1651</v>
      </c>
      <c r="B5" s="67">
        <v>126000</v>
      </c>
      <c r="C5" s="456" t="s">
        <v>1127</v>
      </c>
      <c r="D5" s="455">
        <v>600000</v>
      </c>
      <c r="E5" s="120" t="s">
        <v>1469</v>
      </c>
      <c r="F5" s="455">
        <v>130000</v>
      </c>
      <c r="G5" s="446" t="s">
        <v>1647</v>
      </c>
      <c r="H5" s="67">
        <v>3000000</v>
      </c>
      <c r="I5" s="119" t="s">
        <v>1006</v>
      </c>
      <c r="J5" s="120">
        <v>200000</v>
      </c>
    </row>
    <row r="6" spans="1:10">
      <c r="A6" s="446" t="s">
        <v>1655</v>
      </c>
      <c r="B6" s="67">
        <v>300000</v>
      </c>
      <c r="C6" s="119"/>
      <c r="D6" s="120"/>
      <c r="E6" s="120" t="s">
        <v>1590</v>
      </c>
      <c r="F6" s="455">
        <v>150000</v>
      </c>
      <c r="G6" s="446" t="s">
        <v>1648</v>
      </c>
      <c r="H6" s="67">
        <v>10000000</v>
      </c>
      <c r="I6" s="119" t="s">
        <v>993</v>
      </c>
      <c r="J6" s="120">
        <f>48000+16000</f>
        <v>64000</v>
      </c>
    </row>
    <row r="7" spans="1:10">
      <c r="A7" s="446" t="s">
        <v>1669</v>
      </c>
      <c r="B7" s="67">
        <v>9419500</v>
      </c>
      <c r="C7" s="446"/>
      <c r="D7" s="67"/>
      <c r="E7" s="456" t="s">
        <v>1049</v>
      </c>
      <c r="F7" s="455">
        <v>7788500</v>
      </c>
      <c r="G7" s="446" t="s">
        <v>1650</v>
      </c>
      <c r="H7" s="67">
        <v>10000000</v>
      </c>
      <c r="I7" s="119" t="s">
        <v>1642</v>
      </c>
      <c r="J7" s="120">
        <v>204600</v>
      </c>
    </row>
    <row r="8" spans="1:10">
      <c r="A8" s="446" t="s">
        <v>1670</v>
      </c>
      <c r="B8" s="67">
        <v>944000</v>
      </c>
      <c r="C8" s="456"/>
      <c r="D8" s="455"/>
      <c r="E8" s="456" t="s">
        <v>1175</v>
      </c>
      <c r="F8" s="455">
        <v>36000</v>
      </c>
      <c r="G8" s="446" t="s">
        <v>1649</v>
      </c>
      <c r="H8" s="67">
        <v>5000000</v>
      </c>
      <c r="I8" s="119"/>
      <c r="J8" s="120"/>
    </row>
    <row r="9" spans="1:10">
      <c r="A9" s="120"/>
      <c r="B9" s="455"/>
      <c r="C9" s="446"/>
      <c r="D9" s="446"/>
      <c r="E9" s="491"/>
      <c r="F9" s="488"/>
      <c r="G9" s="456" t="s">
        <v>1653</v>
      </c>
      <c r="H9" s="455">
        <v>500000</v>
      </c>
      <c r="I9" s="119"/>
      <c r="J9" s="120"/>
    </row>
    <row r="10" spans="1:10">
      <c r="A10" s="120"/>
      <c r="B10" s="455"/>
      <c r="C10" s="446"/>
      <c r="D10" s="446"/>
      <c r="E10" s="120"/>
      <c r="F10" s="455"/>
      <c r="G10" s="455" t="s">
        <v>1657</v>
      </c>
      <c r="H10" s="455">
        <v>100000</v>
      </c>
      <c r="I10" s="119"/>
      <c r="J10" s="120"/>
    </row>
    <row r="11" spans="1:10">
      <c r="A11" s="489"/>
      <c r="B11" s="493"/>
      <c r="C11" s="455"/>
      <c r="D11" s="455"/>
      <c r="E11" s="120"/>
      <c r="F11" s="455"/>
      <c r="G11" s="456" t="s">
        <v>1678</v>
      </c>
      <c r="H11" s="455">
        <v>165000</v>
      </c>
      <c r="I11" s="119"/>
      <c r="J11" s="120"/>
    </row>
    <row r="12" spans="1:10">
      <c r="A12" s="489"/>
      <c r="B12" s="489"/>
      <c r="C12" s="455"/>
      <c r="D12" s="455"/>
      <c r="E12" s="120"/>
      <c r="F12" s="455"/>
      <c r="G12" s="455" t="s">
        <v>1684</v>
      </c>
      <c r="H12" s="455">
        <v>2000000</v>
      </c>
      <c r="I12" s="119"/>
      <c r="J12" s="120"/>
    </row>
    <row r="13" spans="1:10">
      <c r="A13" s="489"/>
      <c r="B13" s="489"/>
      <c r="C13" s="455"/>
      <c r="D13" s="455"/>
      <c r="E13" s="120"/>
      <c r="F13" s="455"/>
      <c r="G13" s="456" t="s">
        <v>1683</v>
      </c>
      <c r="H13" s="455">
        <v>885000</v>
      </c>
      <c r="I13" s="119"/>
      <c r="J13" s="120"/>
    </row>
    <row r="14" spans="1:10">
      <c r="A14" s="489"/>
      <c r="B14" s="489"/>
      <c r="C14" s="455"/>
      <c r="D14" s="455"/>
      <c r="E14" s="120"/>
      <c r="F14" s="455"/>
      <c r="G14" s="456" t="s">
        <v>1617</v>
      </c>
      <c r="H14" s="455">
        <v>6275000</v>
      </c>
      <c r="I14" s="119"/>
      <c r="J14" s="120"/>
    </row>
    <row r="15" spans="1:10">
      <c r="A15" s="489"/>
      <c r="B15" s="489"/>
      <c r="C15" s="455"/>
      <c r="D15" s="455"/>
      <c r="E15" s="120"/>
      <c r="F15" s="455"/>
      <c r="G15" s="456" t="s">
        <v>1621</v>
      </c>
      <c r="H15" s="455">
        <v>280000</v>
      </c>
      <c r="I15" s="119"/>
      <c r="J15" s="120"/>
    </row>
    <row r="16" spans="1:10">
      <c r="A16" s="489"/>
      <c r="B16" s="489"/>
      <c r="C16" s="455"/>
      <c r="D16" s="455"/>
      <c r="E16" s="120"/>
      <c r="F16" s="455"/>
      <c r="G16" s="456" t="s">
        <v>1622</v>
      </c>
      <c r="H16" s="455">
        <v>110000</v>
      </c>
      <c r="I16" s="119"/>
      <c r="J16" s="120"/>
    </row>
    <row r="17" spans="1:10">
      <c r="A17" s="489"/>
      <c r="B17" s="489"/>
      <c r="C17" s="455"/>
      <c r="D17" s="455"/>
      <c r="E17" s="120"/>
      <c r="F17" s="455"/>
      <c r="G17" s="456" t="s">
        <v>1621</v>
      </c>
      <c r="H17" s="455">
        <v>1628000</v>
      </c>
      <c r="I17" s="119"/>
      <c r="J17" s="120"/>
    </row>
    <row r="18" spans="1:10">
      <c r="A18" s="489"/>
      <c r="B18" s="489"/>
      <c r="C18" s="455"/>
      <c r="D18" s="455"/>
      <c r="E18" s="120"/>
      <c r="F18" s="455"/>
      <c r="G18" s="456" t="s">
        <v>1623</v>
      </c>
      <c r="H18" s="484">
        <v>380000</v>
      </c>
      <c r="I18" s="119"/>
      <c r="J18" s="120"/>
    </row>
    <row r="19" spans="1:10">
      <c r="A19" s="446"/>
      <c r="B19" s="446"/>
      <c r="C19" s="455"/>
      <c r="D19" s="455"/>
      <c r="E19" s="120"/>
      <c r="F19" s="455"/>
      <c r="G19" s="456" t="s">
        <v>1296</v>
      </c>
      <c r="H19" s="484">
        <v>5000</v>
      </c>
      <c r="I19" s="119"/>
      <c r="J19" s="120"/>
    </row>
    <row r="20" spans="1:10">
      <c r="A20" s="455"/>
      <c r="B20" s="455"/>
      <c r="C20" s="446"/>
      <c r="D20" s="455"/>
      <c r="E20" s="120"/>
      <c r="F20" s="455"/>
      <c r="G20" s="456" t="s">
        <v>1659</v>
      </c>
      <c r="H20" s="484">
        <v>544000</v>
      </c>
      <c r="I20" s="119"/>
      <c r="J20" s="120"/>
    </row>
    <row r="21" spans="1:10">
      <c r="A21" s="455"/>
      <c r="B21" s="455"/>
      <c r="C21" s="446"/>
      <c r="D21" s="446"/>
      <c r="E21" s="455"/>
      <c r="F21" s="455"/>
      <c r="G21" s="456" t="s">
        <v>1296</v>
      </c>
      <c r="H21" s="484">
        <v>20000</v>
      </c>
      <c r="I21" s="119"/>
      <c r="J21" s="120"/>
    </row>
    <row r="22" spans="1:10">
      <c r="A22" s="455"/>
      <c r="B22" s="455"/>
      <c r="C22" s="120"/>
      <c r="D22" s="455"/>
      <c r="E22" s="455"/>
      <c r="F22" s="455"/>
      <c r="G22" s="446" t="s">
        <v>1676</v>
      </c>
      <c r="H22" s="446">
        <v>3644000</v>
      </c>
      <c r="I22" s="119"/>
      <c r="J22" s="120"/>
    </row>
    <row r="23" spans="1:10">
      <c r="A23" s="455"/>
      <c r="B23" s="455"/>
      <c r="C23" s="455"/>
      <c r="D23" s="455"/>
      <c r="E23" s="455"/>
      <c r="F23" s="455"/>
      <c r="G23" s="446" t="s">
        <v>1679</v>
      </c>
      <c r="H23" s="446">
        <v>60000000</v>
      </c>
      <c r="I23" s="119"/>
      <c r="J23" s="120"/>
    </row>
    <row r="24" spans="1:10">
      <c r="A24" s="455"/>
      <c r="B24" s="455"/>
      <c r="C24" s="455"/>
      <c r="D24" s="455"/>
      <c r="E24" s="455"/>
      <c r="F24" s="455"/>
      <c r="G24" s="489"/>
      <c r="H24" s="370"/>
      <c r="I24" s="119"/>
      <c r="J24" s="120"/>
    </row>
    <row r="25" spans="1:10">
      <c r="A25" s="455"/>
      <c r="B25" s="455"/>
      <c r="C25" s="455"/>
      <c r="D25" s="455"/>
      <c r="E25" s="120"/>
      <c r="F25" s="455"/>
      <c r="G25" s="489"/>
      <c r="H25" s="370"/>
      <c r="I25" s="119"/>
      <c r="J25" s="120"/>
    </row>
    <row r="26" spans="1:10">
      <c r="A26" s="455"/>
      <c r="B26" s="455"/>
      <c r="C26" s="455"/>
      <c r="D26" s="455"/>
      <c r="E26" s="120"/>
      <c r="F26" s="455"/>
      <c r="G26" s="489"/>
      <c r="H26" s="370"/>
      <c r="I26" s="119"/>
      <c r="J26" s="120"/>
    </row>
    <row r="27" spans="1:10">
      <c r="A27" s="455"/>
      <c r="B27" s="455"/>
      <c r="C27" s="455"/>
      <c r="D27" s="455"/>
      <c r="E27" s="120"/>
      <c r="F27" s="455"/>
      <c r="G27" s="446"/>
      <c r="H27" s="446"/>
      <c r="I27" s="119"/>
      <c r="J27" s="120"/>
    </row>
    <row r="28" spans="1:10">
      <c r="A28" s="68"/>
      <c r="B28" s="69"/>
      <c r="C28" s="69"/>
      <c r="D28" s="69"/>
      <c r="E28" s="69"/>
      <c r="F28" s="69"/>
      <c r="G28" s="119"/>
      <c r="H28" s="120"/>
      <c r="I28" s="68"/>
      <c r="J28" s="69"/>
    </row>
    <row r="29" spans="1:10">
      <c r="A29" s="70"/>
      <c r="B29" s="371">
        <f>SUM(B4:B21)</f>
        <v>18859500</v>
      </c>
      <c r="C29" s="71">
        <f>SUM(C4:C21)</f>
        <v>0</v>
      </c>
      <c r="D29" s="71">
        <f>SUM(D4:D22)</f>
        <v>1050000</v>
      </c>
      <c r="E29" s="71">
        <f>SUM(E4:E21)</f>
        <v>0</v>
      </c>
      <c r="F29" s="371">
        <f>SUM(F4:F28)</f>
        <v>8304500</v>
      </c>
      <c r="G29" s="71">
        <f>SUM(G4:G21)</f>
        <v>0</v>
      </c>
      <c r="H29" s="71">
        <f>SUM(H4:H28)</f>
        <v>104861000</v>
      </c>
      <c r="I29" s="71">
        <f>SUM(I4:I21)</f>
        <v>0</v>
      </c>
      <c r="J29" s="371">
        <f>SUM(J4:J21)</f>
        <v>1188600</v>
      </c>
    </row>
    <row r="30" spans="1:10">
      <c r="C30" t="s">
        <v>1471</v>
      </c>
      <c r="D30" s="77">
        <v>100000</v>
      </c>
      <c r="H30" s="77"/>
    </row>
    <row r="31" spans="1:10">
      <c r="D31" s="77">
        <v>100000</v>
      </c>
      <c r="H31" s="77"/>
    </row>
    <row r="32" spans="1:10">
      <c r="H32" s="77"/>
    </row>
    <row r="33" spans="4:10">
      <c r="D33" s="77">
        <f>+D29-D30-D31</f>
        <v>850000</v>
      </c>
      <c r="H33" s="77"/>
    </row>
    <row r="34" spans="4:10">
      <c r="G34" s="279"/>
      <c r="H34" s="487"/>
    </row>
    <row r="35" spans="4:10">
      <c r="H35" s="72"/>
      <c r="J35" s="72"/>
    </row>
    <row r="36" spans="4:10">
      <c r="H36" s="72"/>
    </row>
    <row r="37" spans="4:10">
      <c r="H37" s="72"/>
      <c r="J37" s="72"/>
    </row>
    <row r="38" spans="4:10">
      <c r="D38" s="77">
        <f>+B29+F29+D29+H29+J29</f>
        <v>134263600</v>
      </c>
      <c r="H38" s="72"/>
    </row>
    <row r="39" spans="4:10">
      <c r="H39" s="72"/>
    </row>
    <row r="40" spans="4:10">
      <c r="H40" s="72"/>
    </row>
    <row r="41" spans="4:10">
      <c r="G41" s="456"/>
      <c r="H41" s="72"/>
    </row>
    <row r="42" spans="4:10">
      <c r="H42" s="72"/>
    </row>
    <row r="43" spans="4:10">
      <c r="H43" s="72"/>
    </row>
    <row r="44" spans="4:10">
      <c r="H44" s="72"/>
    </row>
    <row r="45" spans="4:10">
      <c r="H45" s="72"/>
    </row>
  </sheetData>
  <mergeCells count="1"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36</vt:i4>
      </vt:variant>
    </vt:vector>
  </HeadingPairs>
  <TitlesOfParts>
    <vt:vector size="116" baseType="lpstr">
      <vt:lpstr>Tgl 9</vt:lpstr>
      <vt:lpstr>Sheet2</vt:lpstr>
      <vt:lpstr>Tgl 10</vt:lpstr>
      <vt:lpstr>Pengan Juan Rt Bu Ani</vt:lpstr>
      <vt:lpstr>Sheet5</vt:lpstr>
      <vt:lpstr>Sheet8</vt:lpstr>
      <vt:lpstr>Pengajuan RT BU Ani </vt:lpstr>
      <vt:lpstr>Sheet6</vt:lpstr>
      <vt:lpstr>Sheet9</vt:lpstr>
      <vt:lpstr>Pengajuan RT Bu Ani 3</vt:lpstr>
      <vt:lpstr>Sheet11</vt:lpstr>
      <vt:lpstr>Sheet 12</vt:lpstr>
      <vt:lpstr>Pengajuan RT bu Ani ke 4</vt:lpstr>
      <vt:lpstr>Sheet14</vt:lpstr>
      <vt:lpstr>Sheet 15</vt:lpstr>
      <vt:lpstr>Pengajuan RT bu Ani ke 5</vt:lpstr>
      <vt:lpstr>Sheet 16</vt:lpstr>
      <vt:lpstr>Sheet17</vt:lpstr>
      <vt:lpstr>Pengajuan Ke 6 </vt:lpstr>
      <vt:lpstr>Sheet19</vt:lpstr>
      <vt:lpstr>Sheet1</vt:lpstr>
      <vt:lpstr>Pengauan Ke 7 RT BU Ani </vt:lpstr>
      <vt:lpstr>Sheet4</vt:lpstr>
      <vt:lpstr>Sheet3</vt:lpstr>
      <vt:lpstr>Pengajuan Ke 8 RT BU Ani </vt:lpstr>
      <vt:lpstr>Sheet7</vt:lpstr>
      <vt:lpstr>Sheet10</vt:lpstr>
      <vt:lpstr>Sheet12</vt:lpstr>
      <vt:lpstr>Sheet13</vt:lpstr>
      <vt:lpstr>Sheet15</vt:lpstr>
      <vt:lpstr>Sheet16</vt:lpstr>
      <vt:lpstr>Sheet18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2 JULI</vt:lpstr>
      <vt:lpstr>Sheet43</vt:lpstr>
      <vt:lpstr>10 JULI</vt:lpstr>
      <vt:lpstr>Sheet42</vt:lpstr>
      <vt:lpstr>16 JULI </vt:lpstr>
      <vt:lpstr>Sheet44</vt:lpstr>
      <vt:lpstr>24 JULI</vt:lpstr>
      <vt:lpstr>Sheet45</vt:lpstr>
      <vt:lpstr>31 JULI</vt:lpstr>
      <vt:lpstr>Sheet46</vt:lpstr>
      <vt:lpstr>7 Agustus </vt:lpstr>
      <vt:lpstr>Sheet47</vt:lpstr>
      <vt:lpstr>14 Agustus</vt:lpstr>
      <vt:lpstr>Sheet48</vt:lpstr>
      <vt:lpstr>21 Agustus</vt:lpstr>
      <vt:lpstr>Sheet49</vt:lpstr>
      <vt:lpstr>27 Agustus</vt:lpstr>
      <vt:lpstr>Sheet50</vt:lpstr>
      <vt:lpstr>4 SEPTEMBER</vt:lpstr>
      <vt:lpstr>Sheet52</vt:lpstr>
      <vt:lpstr>11 SEPTEMBER</vt:lpstr>
      <vt:lpstr>Sheet51</vt:lpstr>
      <vt:lpstr>17 SEPTEMBER</vt:lpstr>
      <vt:lpstr>Sheet53</vt:lpstr>
      <vt:lpstr>25 SEPTEMBER</vt:lpstr>
      <vt:lpstr>Sheet55</vt:lpstr>
      <vt:lpstr>'10 JULI'!Print_Area</vt:lpstr>
      <vt:lpstr>'11 SEPTEMBER'!Print_Area</vt:lpstr>
      <vt:lpstr>'16 JULI '!Print_Area</vt:lpstr>
      <vt:lpstr>'17 SEPTEMBER'!Print_Area</vt:lpstr>
      <vt:lpstr>'2 JULI'!Print_Area</vt:lpstr>
      <vt:lpstr>'21 Agustus'!Print_Area</vt:lpstr>
      <vt:lpstr>'25 SEPTEMBER'!Print_Area</vt:lpstr>
      <vt:lpstr>'27 Agustus'!Print_Area</vt:lpstr>
      <vt:lpstr>'31 JULI'!Print_Area</vt:lpstr>
      <vt:lpstr>'4 SEPTEMBER'!Print_Area</vt:lpstr>
      <vt:lpstr>'7 Agustus '!Print_Area</vt:lpstr>
      <vt:lpstr>'Pengajuan RT BU Ani '!Print_Area</vt:lpstr>
      <vt:lpstr>'Pengan Juan Rt Bu Ani'!Print_Area</vt:lpstr>
      <vt:lpstr>'Sheet 12'!Print_Area</vt:lpstr>
      <vt:lpstr>'Sheet 15'!Print_Area</vt:lpstr>
      <vt:lpstr>Sheet1!Print_Area</vt:lpstr>
      <vt:lpstr>Sheet10!Print_Area</vt:lpstr>
      <vt:lpstr>Sheet12!Print_Area</vt:lpstr>
      <vt:lpstr>Sheet13!Print_Area</vt:lpstr>
      <vt:lpstr>Sheet16!Print_Area</vt:lpstr>
      <vt:lpstr>Sheet20!Print_Area</vt:lpstr>
      <vt:lpstr>Sheet22!Print_Area</vt:lpstr>
      <vt:lpstr>Sheet24!Print_Area</vt:lpstr>
      <vt:lpstr>Sheet26!Print_Area</vt:lpstr>
      <vt:lpstr>Sheet28!Print_Area</vt:lpstr>
      <vt:lpstr>Sheet3!Print_Area</vt:lpstr>
      <vt:lpstr>Sheet30!Print_Area</vt:lpstr>
      <vt:lpstr>Sheet32!Print_Area</vt:lpstr>
      <vt:lpstr>Sheet34!Print_Area</vt:lpstr>
      <vt:lpstr>Sheet36!Print_Area</vt:lpstr>
      <vt:lpstr>Sheet38!Print_Area</vt:lpstr>
      <vt:lpstr>Sheet40!Print_Area</vt:lpstr>
      <vt:lpstr>Sheet8!Print_Area</vt:lpstr>
      <vt:lpstr>Sheet9!Print_Area</vt:lpstr>
      <vt:lpstr>'Tgl 10'!Print_Area</vt:lpstr>
      <vt:lpstr>'Tgl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MyPC</cp:lastModifiedBy>
  <cp:lastPrinted>2026-09-24T09:51:22Z</cp:lastPrinted>
  <dcterms:created xsi:type="dcterms:W3CDTF">2026-01-07T02:00:36Z</dcterms:created>
  <dcterms:modified xsi:type="dcterms:W3CDTF">2026-09-25T09:06:34Z</dcterms:modified>
</cp:coreProperties>
</file>